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6323" documentId="8_{83A56579-2C3B-4870-BCBD-2CB275403D5F}" xr6:coauthVersionLast="47" xr6:coauthVersionMax="47" xr10:uidLastSave="{ACF4DAC1-0AF4-41F8-971A-D0E82219375A}"/>
  <bookViews>
    <workbookView xWindow="-108" yWindow="-108" windowWidth="23256" windowHeight="13176" firstSheet="2" activeTab="4" xr2:uid="{0D1D2E98-4417-484B-A8DD-603FBBA476EC}"/>
    <workbookView xWindow="-108" yWindow="-108" windowWidth="23256" windowHeight="13176" activeTab="4" xr2:uid="{12BD3643-17BD-45F1-ABB2-952255E3FFBE}"/>
  </bookViews>
  <sheets>
    <sheet name="Burn &amp; RunW" sheetId="60" r:id="rId1"/>
    <sheet name="Ppto Ene. 2026" sheetId="52" r:id="rId2"/>
    <sheet name="Revenue" sheetId="8" r:id="rId3"/>
    <sheet name="Inputs" sheetId="7" r:id="rId4"/>
    <sheet name="Modelo Base" sheetId="25" r:id="rId5"/>
    <sheet name="Consol. Pptos" sheetId="43" r:id="rId6"/>
    <sheet name="Informe Accionista" sheetId="47" r:id="rId7"/>
    <sheet name="Consolidado " sheetId="59" r:id="rId8"/>
    <sheet name="Dashboard Gráficos" sheetId="57" r:id="rId9"/>
    <sheet name="Ppto Combinado 2026" sheetId="62" r:id="rId10"/>
  </sheets>
  <definedNames>
    <definedName name="_xlchart.v1.0" hidden="1">'Consolidado '!$B$101:$B$107</definedName>
    <definedName name="_xlchart.v1.1" hidden="1">'Consolidado '!$C$100</definedName>
    <definedName name="_xlchart.v1.2" hidden="1">'Consolidado '!$C$101:$C$107</definedName>
    <definedName name="CostoVentasBase">Inputs!$C$40</definedName>
    <definedName name="DeltaModQ2">Inputs!$D$75</definedName>
    <definedName name="DeltaModQ3">Inputs!$D$76</definedName>
    <definedName name="DeltaModQ4">Inputs!$D$77</definedName>
    <definedName name="DeltaVtasQ2">Inputs!$E$75</definedName>
    <definedName name="DeltaVtasQ3">Inputs!$E$76</definedName>
    <definedName name="DeltaVtasQ4">Inputs!$E$77</definedName>
    <definedName name="GtosAdminBase">Inputs!$C$44</definedName>
    <definedName name="GtosNoOpBase">Inputs!$C$54</definedName>
    <definedName name="GtosOpInflado">Inputs!$D$55</definedName>
    <definedName name="GtosVentasBase">Inputs!$C$48</definedName>
    <definedName name="InflacionAnual">Inputs!$C$11</definedName>
    <definedName name="IngNoOpBase">Inputs!$C$53</definedName>
    <definedName name="_xlnm.Print_Area" localSheetId="2">Revenue!$A$1:$Z$85</definedName>
    <definedName name="TasaDeudaLp">Inputs!$C$28</definedName>
    <definedName name="TasaImpuesto">Inputs!$C$25</definedName>
    <definedName name="TrmLargoPlazo">Inputs!$C$6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25" l="1"/>
  <c r="H46" i="25"/>
  <c r="G46" i="25"/>
  <c r="F46" i="25"/>
  <c r="I45" i="25"/>
  <c r="H45" i="25"/>
  <c r="G45" i="25"/>
  <c r="F45" i="25"/>
  <c r="I44" i="25"/>
  <c r="H44" i="25"/>
  <c r="G44" i="25"/>
  <c r="F44" i="25"/>
  <c r="I43" i="25"/>
  <c r="H43" i="25"/>
  <c r="G43" i="25"/>
  <c r="F43" i="25"/>
  <c r="I42" i="25"/>
  <c r="H42" i="25"/>
  <c r="G42" i="25"/>
  <c r="F42" i="25"/>
  <c r="I41" i="25"/>
  <c r="H41" i="25"/>
  <c r="G41" i="25"/>
  <c r="F41" i="25"/>
  <c r="I40" i="25"/>
  <c r="H40" i="25"/>
  <c r="G40" i="25"/>
  <c r="F40" i="25"/>
  <c r="I39" i="25"/>
  <c r="H39" i="25"/>
  <c r="G39" i="25"/>
  <c r="F39" i="25"/>
  <c r="I38" i="25"/>
  <c r="H38" i="25"/>
  <c r="G38" i="25"/>
  <c r="F38" i="25"/>
  <c r="I37" i="25"/>
  <c r="H37" i="25"/>
  <c r="G37" i="25"/>
  <c r="F37" i="25"/>
  <c r="I36" i="25"/>
  <c r="H36" i="25"/>
  <c r="G36" i="25"/>
  <c r="F36" i="25"/>
  <c r="I35" i="25"/>
  <c r="H35" i="25"/>
  <c r="G35" i="25"/>
  <c r="F35" i="25"/>
  <c r="I34" i="25"/>
  <c r="H34" i="25"/>
  <c r="G34" i="25"/>
  <c r="F34" i="25"/>
  <c r="G33" i="60"/>
  <c r="G34" i="60"/>
  <c r="G35" i="60"/>
  <c r="G36" i="60"/>
  <c r="G37" i="60"/>
  <c r="C9" i="47"/>
  <c r="C10" i="47" s="1"/>
  <c r="C11" i="47" s="1"/>
  <c r="C8" i="47"/>
  <c r="C10" i="60"/>
  <c r="B110" i="60"/>
  <c r="B109" i="60"/>
  <c r="B108" i="60"/>
  <c r="B107" i="60"/>
  <c r="B106" i="60"/>
  <c r="C90" i="60"/>
  <c r="C39" i="60"/>
  <c r="G39" i="60" s="1"/>
  <c r="L60" i="25"/>
  <c r="C67" i="60"/>
  <c r="C65" i="60"/>
  <c r="C57" i="60"/>
  <c r="C55" i="60"/>
  <c r="C54" i="60"/>
  <c r="C53" i="60"/>
  <c r="C52" i="60"/>
  <c r="C50" i="60"/>
  <c r="C49" i="60"/>
  <c r="C46" i="60"/>
  <c r="C44" i="60"/>
  <c r="D27" i="60"/>
  <c r="I27" i="60"/>
  <c r="C95" i="60" s="1"/>
  <c r="D165" i="7"/>
  <c r="D164" i="7"/>
  <c r="D163" i="7"/>
  <c r="D162" i="7"/>
  <c r="D161" i="7"/>
  <c r="D160" i="7"/>
  <c r="I59" i="62"/>
  <c r="L46" i="25"/>
  <c r="L100" i="25" s="1"/>
  <c r="L45" i="25"/>
  <c r="L99" i="25" s="1"/>
  <c r="L44" i="25"/>
  <c r="L88" i="25" s="1"/>
  <c r="L43" i="25"/>
  <c r="L91" i="25" s="1"/>
  <c r="L42" i="25"/>
  <c r="L90" i="25" s="1"/>
  <c r="L41" i="25"/>
  <c r="L94" i="25" s="1"/>
  <c r="L39" i="25"/>
  <c r="L84" i="25" s="1"/>
  <c r="L38" i="25"/>
  <c r="L83" i="25" s="1"/>
  <c r="L36" i="25"/>
  <c r="L80" i="25" s="1"/>
  <c r="L35" i="25"/>
  <c r="L79" i="25" s="1"/>
  <c r="L34" i="25"/>
  <c r="L78" i="25" s="1"/>
  <c r="L69" i="25"/>
  <c r="L154" i="7"/>
  <c r="K154" i="7"/>
  <c r="L122" i="7"/>
  <c r="K122" i="7"/>
  <c r="L121" i="7"/>
  <c r="K121" i="7"/>
  <c r="L116" i="7"/>
  <c r="K116" i="7"/>
  <c r="L113" i="7"/>
  <c r="K113" i="7"/>
  <c r="L112" i="7"/>
  <c r="K112" i="7"/>
  <c r="L110" i="7"/>
  <c r="K110" i="7"/>
  <c r="L108" i="7"/>
  <c r="K108" i="7"/>
  <c r="L102" i="7"/>
  <c r="K102" i="7"/>
  <c r="L101" i="7"/>
  <c r="K101" i="7"/>
  <c r="L96" i="7"/>
  <c r="K96" i="7"/>
  <c r="L95" i="7"/>
  <c r="K95" i="7"/>
  <c r="L94" i="7"/>
  <c r="K94" i="7"/>
  <c r="L93" i="7"/>
  <c r="K93" i="7"/>
  <c r="N150" i="7"/>
  <c r="D167" i="7" s="1"/>
  <c r="N146" i="7"/>
  <c r="D166" i="7" s="1"/>
  <c r="N132" i="7"/>
  <c r="N137" i="7" s="1"/>
  <c r="N144" i="7" s="1"/>
  <c r="J123" i="7"/>
  <c r="J117" i="7"/>
  <c r="J109" i="7"/>
  <c r="J114" i="7" s="1"/>
  <c r="J103" i="7"/>
  <c r="J98" i="7"/>
  <c r="J97" i="7"/>
  <c r="L37" i="25" s="1"/>
  <c r="L81" i="25" s="1"/>
  <c r="C80" i="60" l="1"/>
  <c r="C48" i="60"/>
  <c r="L40" i="25"/>
  <c r="L89" i="25" s="1"/>
  <c r="L109" i="7"/>
  <c r="K109" i="7"/>
  <c r="J118" i="7"/>
  <c r="N153" i="7"/>
  <c r="N155" i="7" s="1"/>
  <c r="J104" i="7"/>
  <c r="C170" i="7" s="1"/>
  <c r="M111" i="62"/>
  <c r="K111" i="62"/>
  <c r="I111" i="62"/>
  <c r="G111" i="62"/>
  <c r="E111" i="62"/>
  <c r="C111" i="62"/>
  <c r="M110" i="62"/>
  <c r="K110" i="62"/>
  <c r="I110" i="62"/>
  <c r="G110" i="62"/>
  <c r="E110" i="62"/>
  <c r="C110" i="62"/>
  <c r="M109" i="62"/>
  <c r="K109" i="62"/>
  <c r="I109" i="62"/>
  <c r="G109" i="62"/>
  <c r="E109" i="62"/>
  <c r="M108" i="62"/>
  <c r="K108" i="62"/>
  <c r="I108" i="62"/>
  <c r="G108" i="62"/>
  <c r="D108" i="62"/>
  <c r="E108" i="62" s="1"/>
  <c r="H59" i="62"/>
  <c r="I60" i="62" s="1"/>
  <c r="Q58" i="62" s="1"/>
  <c r="G59" i="62"/>
  <c r="F59" i="62"/>
  <c r="E59" i="62"/>
  <c r="D59" i="62"/>
  <c r="C59" i="62"/>
  <c r="C60" i="62" s="1"/>
  <c r="K58" i="62" s="1"/>
  <c r="J49" i="60"/>
  <c r="H46" i="60"/>
  <c r="G46" i="60"/>
  <c r="H44" i="60"/>
  <c r="G44" i="60"/>
  <c r="C38" i="60"/>
  <c r="D26" i="60"/>
  <c r="I25" i="60"/>
  <c r="D25" i="60"/>
  <c r="C93" i="60"/>
  <c r="D23" i="62"/>
  <c r="E23" i="62"/>
  <c r="E24" i="62" s="1"/>
  <c r="F23" i="62"/>
  <c r="F24" i="62" s="1"/>
  <c r="G23" i="62"/>
  <c r="G24" i="62" s="1"/>
  <c r="H23" i="62"/>
  <c r="H24" i="62" s="1"/>
  <c r="I23" i="62"/>
  <c r="I24" i="62" s="1"/>
  <c r="J23" i="62"/>
  <c r="J24" i="62" s="1"/>
  <c r="K23" i="62"/>
  <c r="K24" i="62" s="1"/>
  <c r="L23" i="62"/>
  <c r="L24" i="62" s="1"/>
  <c r="M23" i="62"/>
  <c r="M24" i="62" s="1"/>
  <c r="N23" i="62"/>
  <c r="N24" i="62" s="1"/>
  <c r="O23" i="62"/>
  <c r="O24" i="62" s="1"/>
  <c r="D12" i="62"/>
  <c r="D13" i="62" s="1"/>
  <c r="E12" i="62"/>
  <c r="E13" i="62" s="1"/>
  <c r="F12" i="62"/>
  <c r="F13" i="62" s="1"/>
  <c r="G12" i="62"/>
  <c r="G13" i="62" s="1"/>
  <c r="F108" i="59"/>
  <c r="E107" i="59"/>
  <c r="D106" i="59"/>
  <c r="E105" i="59"/>
  <c r="E104" i="59"/>
  <c r="E103" i="59"/>
  <c r="E102" i="59"/>
  <c r="F101" i="59"/>
  <c r="C68" i="59"/>
  <c r="C67" i="59"/>
  <c r="C66" i="59"/>
  <c r="C65" i="59"/>
  <c r="F32" i="59"/>
  <c r="F35" i="59" s="1"/>
  <c r="D32" i="59"/>
  <c r="D35" i="59" s="1"/>
  <c r="G48" i="59"/>
  <c r="E37" i="59"/>
  <c r="E39" i="59" s="1"/>
  <c r="E43" i="59" s="1"/>
  <c r="E47" i="59" s="1"/>
  <c r="E49" i="59" s="1"/>
  <c r="C37" i="59"/>
  <c r="C39" i="59" s="1"/>
  <c r="C43" i="59" s="1"/>
  <c r="C47" i="59" s="1"/>
  <c r="C49" i="59" s="1"/>
  <c r="O17" i="59"/>
  <c r="N22" i="59"/>
  <c r="N23" i="59" s="1"/>
  <c r="I22" i="59"/>
  <c r="D22" i="59"/>
  <c r="D20" i="59"/>
  <c r="Q20" i="59" s="1"/>
  <c r="M17" i="59"/>
  <c r="J17" i="59"/>
  <c r="H17" i="59"/>
  <c r="E17" i="59"/>
  <c r="C17" i="59"/>
  <c r="P15" i="59"/>
  <c r="N15" i="59"/>
  <c r="K15" i="59"/>
  <c r="I15" i="59"/>
  <c r="F15" i="59"/>
  <c r="D15" i="59"/>
  <c r="P13" i="59"/>
  <c r="Q13" i="59" s="1"/>
  <c r="K13" i="59"/>
  <c r="L13" i="59" s="1"/>
  <c r="F13" i="59"/>
  <c r="G13" i="59" s="1"/>
  <c r="P12" i="59"/>
  <c r="Q12" i="59" s="1"/>
  <c r="K12" i="59"/>
  <c r="L12" i="59" s="1"/>
  <c r="F12" i="59"/>
  <c r="G12" i="59" s="1"/>
  <c r="P11" i="59"/>
  <c r="K11" i="59"/>
  <c r="F11" i="59"/>
  <c r="P9" i="59"/>
  <c r="Q9" i="59" s="1"/>
  <c r="K9" i="59"/>
  <c r="I9" i="59"/>
  <c r="F9" i="59"/>
  <c r="G9" i="59" s="1"/>
  <c r="P7" i="59"/>
  <c r="K7" i="59"/>
  <c r="L7" i="59" s="1"/>
  <c r="F7" i="59"/>
  <c r="G7" i="59" s="1"/>
  <c r="P6" i="59"/>
  <c r="N6" i="59"/>
  <c r="K6" i="59"/>
  <c r="I6" i="59"/>
  <c r="F6" i="59"/>
  <c r="D6" i="59"/>
  <c r="G38" i="60" l="1"/>
  <c r="G40" i="60" s="1"/>
  <c r="C40" i="60"/>
  <c r="C8" i="60"/>
  <c r="D29" i="60"/>
  <c r="J124" i="7"/>
  <c r="C171" i="7" s="1"/>
  <c r="H60" i="62"/>
  <c r="P58" i="62" s="1"/>
  <c r="D60" i="62"/>
  <c r="L58" i="62" s="1"/>
  <c r="G60" i="62"/>
  <c r="O58" i="62" s="1"/>
  <c r="F60" i="62"/>
  <c r="N58" i="62" s="1"/>
  <c r="E60" i="62"/>
  <c r="M58" i="62" s="1"/>
  <c r="I46" i="60"/>
  <c r="J46" i="60" s="1"/>
  <c r="H45" i="60"/>
  <c r="G45" i="60"/>
  <c r="I44" i="60"/>
  <c r="E25" i="60"/>
  <c r="E24" i="60"/>
  <c r="F53" i="62"/>
  <c r="E53" i="62"/>
  <c r="D53" i="62"/>
  <c r="C53" i="62"/>
  <c r="G30" i="62"/>
  <c r="F30" i="62"/>
  <c r="E30" i="62"/>
  <c r="D30" i="62"/>
  <c r="F31" i="62"/>
  <c r="E31" i="62"/>
  <c r="F35" i="62"/>
  <c r="G35" i="62"/>
  <c r="E35" i="62"/>
  <c r="G31" i="62"/>
  <c r="D35" i="62"/>
  <c r="P23" i="62"/>
  <c r="D24" i="62"/>
  <c r="P24" i="62" s="1"/>
  <c r="C69" i="59"/>
  <c r="F46" i="59"/>
  <c r="G46" i="59" s="1"/>
  <c r="F45" i="59"/>
  <c r="D45" i="59"/>
  <c r="F44" i="59"/>
  <c r="G44" i="59" s="1"/>
  <c r="C105" i="59" s="1"/>
  <c r="F42" i="59"/>
  <c r="D42" i="59"/>
  <c r="D40" i="59"/>
  <c r="F41" i="59"/>
  <c r="G41" i="59" s="1"/>
  <c r="C103" i="59" s="1"/>
  <c r="F36" i="59"/>
  <c r="G36" i="59" s="1"/>
  <c r="F40" i="59"/>
  <c r="F38" i="59"/>
  <c r="G38" i="59" s="1"/>
  <c r="D37" i="59"/>
  <c r="D39" i="59" s="1"/>
  <c r="Q11" i="59"/>
  <c r="G6" i="59"/>
  <c r="Q15" i="59"/>
  <c r="L9" i="59"/>
  <c r="G15" i="59"/>
  <c r="Q6" i="59"/>
  <c r="L15" i="59"/>
  <c r="I17" i="59"/>
  <c r="C16" i="60" s="1"/>
  <c r="G11" i="59"/>
  <c r="K17" i="59"/>
  <c r="P17" i="59"/>
  <c r="L11" i="59"/>
  <c r="F17" i="59"/>
  <c r="N17" i="59"/>
  <c r="D17" i="59"/>
  <c r="C15" i="60" s="1"/>
  <c r="Q7" i="59"/>
  <c r="L6" i="59"/>
  <c r="Q22" i="59"/>
  <c r="D23" i="59"/>
  <c r="I23" i="59"/>
  <c r="J125" i="7" l="1"/>
  <c r="I45" i="60"/>
  <c r="J45" i="60" s="1"/>
  <c r="J44" i="60"/>
  <c r="D31" i="62"/>
  <c r="G40" i="59"/>
  <c r="C102" i="59" s="1"/>
  <c r="D43" i="59"/>
  <c r="D47" i="59" s="1"/>
  <c r="D49" i="59" s="1"/>
  <c r="G42" i="59"/>
  <c r="C104" i="59" s="1"/>
  <c r="G45" i="59"/>
  <c r="C106" i="59" s="1"/>
  <c r="F37" i="59"/>
  <c r="F39" i="59" s="1"/>
  <c r="F43" i="59" s="1"/>
  <c r="F47" i="59" s="1"/>
  <c r="F49" i="59" s="1"/>
  <c r="G35" i="59"/>
  <c r="G37" i="59" s="1"/>
  <c r="H48" i="59" s="1"/>
  <c r="C17" i="60"/>
  <c r="C11" i="60" s="1"/>
  <c r="C12" i="60" s="1"/>
  <c r="Q17" i="59"/>
  <c r="G17" i="59"/>
  <c r="L17" i="59"/>
  <c r="Q23" i="59"/>
  <c r="AJ87" i="57"/>
  <c r="AI87" i="57"/>
  <c r="AH87" i="57"/>
  <c r="AG87" i="57"/>
  <c r="AF87" i="57"/>
  <c r="AE87" i="57"/>
  <c r="AD87" i="57"/>
  <c r="AC87" i="57"/>
  <c r="AB87" i="57"/>
  <c r="AA87" i="57"/>
  <c r="Z87" i="57"/>
  <c r="Y87" i="57"/>
  <c r="AJ82" i="57"/>
  <c r="AI82" i="57"/>
  <c r="AH82" i="57"/>
  <c r="AG82" i="57"/>
  <c r="AF82" i="57"/>
  <c r="AE82" i="57"/>
  <c r="AD82" i="57"/>
  <c r="AC82" i="57"/>
  <c r="AB82" i="57"/>
  <c r="AA82" i="57"/>
  <c r="Z82" i="57"/>
  <c r="AJ78" i="57"/>
  <c r="AI78" i="57"/>
  <c r="AH78" i="57"/>
  <c r="AG78" i="57"/>
  <c r="AF78" i="57"/>
  <c r="AE78" i="57"/>
  <c r="AD78" i="57"/>
  <c r="AC78" i="57"/>
  <c r="AB78" i="57"/>
  <c r="AA78" i="57"/>
  <c r="Z78" i="57"/>
  <c r="AJ74" i="57"/>
  <c r="AI74" i="57"/>
  <c r="AH74" i="57"/>
  <c r="AG74" i="57"/>
  <c r="AF74" i="57"/>
  <c r="AE74" i="57"/>
  <c r="AD74" i="57"/>
  <c r="AC74" i="57"/>
  <c r="AB74" i="57"/>
  <c r="AA74" i="57"/>
  <c r="Z74" i="57"/>
  <c r="AJ70" i="57"/>
  <c r="AI70" i="57"/>
  <c r="AH70" i="57"/>
  <c r="AG70" i="57"/>
  <c r="AF70" i="57"/>
  <c r="AE70" i="57"/>
  <c r="AD70" i="57"/>
  <c r="AC70" i="57"/>
  <c r="AB70" i="57"/>
  <c r="AA70" i="57"/>
  <c r="Z70" i="57"/>
  <c r="AJ66" i="57"/>
  <c r="AI66" i="57"/>
  <c r="AH66" i="57"/>
  <c r="AG66" i="57"/>
  <c r="AF66" i="57"/>
  <c r="AE66" i="57"/>
  <c r="AD66" i="57"/>
  <c r="AC66" i="57"/>
  <c r="AB66" i="57"/>
  <c r="AA66" i="57"/>
  <c r="Z66" i="57"/>
  <c r="AJ61" i="57"/>
  <c r="AI61" i="57"/>
  <c r="AH61" i="57"/>
  <c r="AG61" i="57"/>
  <c r="AF61" i="57"/>
  <c r="AE61" i="57"/>
  <c r="AD61" i="57"/>
  <c r="AC61" i="57"/>
  <c r="AB61" i="57"/>
  <c r="AA61" i="57"/>
  <c r="Z61" i="57"/>
  <c r="AJ56" i="57"/>
  <c r="AI56" i="57"/>
  <c r="AH56" i="57"/>
  <c r="AG56" i="57"/>
  <c r="AF56" i="57"/>
  <c r="AE56" i="57"/>
  <c r="AD56" i="57"/>
  <c r="AC56" i="57"/>
  <c r="AB56" i="57"/>
  <c r="AA56" i="57"/>
  <c r="Z56" i="57"/>
  <c r="AJ51" i="57"/>
  <c r="AI51" i="57"/>
  <c r="AH51" i="57"/>
  <c r="AG51" i="57"/>
  <c r="AF51" i="57"/>
  <c r="AE51" i="57"/>
  <c r="AD51" i="57"/>
  <c r="AC51" i="57"/>
  <c r="AB51" i="57"/>
  <c r="AA51" i="57"/>
  <c r="Z51" i="57"/>
  <c r="Y82" i="57"/>
  <c r="Y78" i="57"/>
  <c r="Y74" i="57"/>
  <c r="Y70" i="57"/>
  <c r="Y66" i="57"/>
  <c r="Y61" i="57"/>
  <c r="Y56" i="57"/>
  <c r="Y51" i="57"/>
  <c r="AJ44" i="57"/>
  <c r="AI44" i="57"/>
  <c r="AH44" i="57"/>
  <c r="AG44" i="57"/>
  <c r="AF44" i="57"/>
  <c r="AE44" i="57"/>
  <c r="AD44" i="57"/>
  <c r="AC44" i="57"/>
  <c r="AB44" i="57"/>
  <c r="AA44" i="57"/>
  <c r="Z44" i="57"/>
  <c r="AJ38" i="57"/>
  <c r="AI38" i="57"/>
  <c r="AH38" i="57"/>
  <c r="AG38" i="57"/>
  <c r="AF38" i="57"/>
  <c r="AE38" i="57"/>
  <c r="AD38" i="57"/>
  <c r="AC38" i="57"/>
  <c r="AB38" i="57"/>
  <c r="AA38" i="57"/>
  <c r="Z38" i="57"/>
  <c r="AJ32" i="57"/>
  <c r="AI32" i="57"/>
  <c r="AH32" i="57"/>
  <c r="AG32" i="57"/>
  <c r="AF32" i="57"/>
  <c r="AE32" i="57"/>
  <c r="AD32" i="57"/>
  <c r="AC32" i="57"/>
  <c r="AB32" i="57"/>
  <c r="AA32" i="57"/>
  <c r="Z32" i="57"/>
  <c r="AJ26" i="57"/>
  <c r="AI26" i="57"/>
  <c r="AH26" i="57"/>
  <c r="AG26" i="57"/>
  <c r="AF26" i="57"/>
  <c r="AE26" i="57"/>
  <c r="AD26" i="57"/>
  <c r="AC26" i="57"/>
  <c r="AB26" i="57"/>
  <c r="AA26" i="57"/>
  <c r="Z26" i="57"/>
  <c r="Y44" i="57"/>
  <c r="Y38" i="57"/>
  <c r="Y32" i="57"/>
  <c r="Y26" i="57"/>
  <c r="AJ21" i="57"/>
  <c r="AI21" i="57"/>
  <c r="AH21" i="57"/>
  <c r="AG21" i="57"/>
  <c r="AF21" i="57"/>
  <c r="AE21" i="57"/>
  <c r="AD21" i="57"/>
  <c r="AC21" i="57"/>
  <c r="AB21" i="57"/>
  <c r="AA21" i="57"/>
  <c r="Z21" i="57"/>
  <c r="Y21" i="57"/>
  <c r="AJ14" i="57"/>
  <c r="AI14" i="57"/>
  <c r="AH14" i="57"/>
  <c r="AG14" i="57"/>
  <c r="AF14" i="57"/>
  <c r="AE14" i="57"/>
  <c r="AD14" i="57"/>
  <c r="AC14" i="57"/>
  <c r="AB14" i="57"/>
  <c r="AA14" i="57"/>
  <c r="Z14" i="57"/>
  <c r="Y14" i="57"/>
  <c r="AJ8" i="57"/>
  <c r="AI8" i="57"/>
  <c r="AH8" i="57"/>
  <c r="AG8" i="57"/>
  <c r="AF8" i="57"/>
  <c r="AE8" i="57"/>
  <c r="AD8" i="57"/>
  <c r="AC8" i="57"/>
  <c r="AB8" i="57"/>
  <c r="AA8" i="57"/>
  <c r="Z8" i="57"/>
  <c r="Y8" i="57"/>
  <c r="AJ2" i="57"/>
  <c r="AJ92" i="57" s="1"/>
  <c r="AI2" i="57"/>
  <c r="AI92" i="57" s="1"/>
  <c r="AH2" i="57"/>
  <c r="AH92" i="57" s="1"/>
  <c r="AG2" i="57"/>
  <c r="AG92" i="57" s="1"/>
  <c r="AF2" i="57"/>
  <c r="AF92" i="57" s="1"/>
  <c r="AE2" i="57"/>
  <c r="AE92" i="57" s="1"/>
  <c r="AD2" i="57"/>
  <c r="AD92" i="57" s="1"/>
  <c r="AC2" i="57"/>
  <c r="AC92" i="57" s="1"/>
  <c r="AB2" i="57"/>
  <c r="AB92" i="57" s="1"/>
  <c r="AA2" i="57"/>
  <c r="AA92" i="57" s="1"/>
  <c r="Z2" i="57"/>
  <c r="Z92" i="57" s="1"/>
  <c r="Y2" i="57"/>
  <c r="Y92" i="57" s="1"/>
  <c r="K290" i="25"/>
  <c r="J290" i="25"/>
  <c r="B300" i="25"/>
  <c r="B299" i="25"/>
  <c r="B294" i="25"/>
  <c r="B289" i="25"/>
  <c r="B284" i="25"/>
  <c r="A301" i="25"/>
  <c r="B301" i="25" s="1"/>
  <c r="A300" i="25"/>
  <c r="A299" i="25"/>
  <c r="A297" i="25"/>
  <c r="B297" i="25" s="1"/>
  <c r="A295" i="25"/>
  <c r="B295" i="25" s="1"/>
  <c r="A294" i="25"/>
  <c r="A292" i="25"/>
  <c r="B292" i="25" s="1"/>
  <c r="A291" i="25"/>
  <c r="B291" i="25" s="1"/>
  <c r="A290" i="25"/>
  <c r="B290" i="25" s="1"/>
  <c r="A289" i="25"/>
  <c r="A288" i="25"/>
  <c r="B288" i="25" s="1"/>
  <c r="A287" i="25"/>
  <c r="B287" i="25" s="1"/>
  <c r="A286" i="25"/>
  <c r="B286" i="25" s="1"/>
  <c r="A284" i="25"/>
  <c r="A283" i="25"/>
  <c r="B283" i="25" s="1"/>
  <c r="A282" i="25"/>
  <c r="B282" i="25" s="1"/>
  <c r="A281" i="25"/>
  <c r="B281" i="25" s="1"/>
  <c r="F18" i="25"/>
  <c r="E18" i="25"/>
  <c r="I47" i="60" l="1"/>
  <c r="J47" i="60"/>
  <c r="E26" i="60" s="1"/>
  <c r="E29" i="60" s="1"/>
  <c r="H45" i="59"/>
  <c r="H42" i="59"/>
  <c r="H40" i="59"/>
  <c r="H44" i="59"/>
  <c r="H38" i="59"/>
  <c r="H46" i="59"/>
  <c r="H41" i="59"/>
  <c r="G39" i="59"/>
  <c r="C101" i="59" s="1"/>
  <c r="H37" i="59"/>
  <c r="AJ111" i="57"/>
  <c r="AI111" i="57"/>
  <c r="AH111" i="57"/>
  <c r="AG111" i="57"/>
  <c r="AF111" i="57"/>
  <c r="AE111" i="57"/>
  <c r="AD111" i="57"/>
  <c r="AC111" i="57"/>
  <c r="AB111" i="57"/>
  <c r="AA111" i="57"/>
  <c r="Z111" i="57"/>
  <c r="Y111" i="57"/>
  <c r="AJ106" i="57"/>
  <c r="AI106" i="57"/>
  <c r="AH106" i="57"/>
  <c r="AG106" i="57"/>
  <c r="AF106" i="57"/>
  <c r="AE106" i="57"/>
  <c r="AD106" i="57"/>
  <c r="AC106" i="57"/>
  <c r="AB106" i="57"/>
  <c r="AA106" i="57"/>
  <c r="Z106" i="57"/>
  <c r="Y106" i="57"/>
  <c r="AJ102" i="57"/>
  <c r="AI102" i="57"/>
  <c r="AH102" i="57"/>
  <c r="AG102" i="57"/>
  <c r="AF102" i="57"/>
  <c r="AE102" i="57"/>
  <c r="AD102" i="57"/>
  <c r="AC102" i="57"/>
  <c r="AB102" i="57"/>
  <c r="AA102" i="57"/>
  <c r="Z102" i="57"/>
  <c r="Y102" i="57"/>
  <c r="AJ96" i="57"/>
  <c r="AI96" i="57"/>
  <c r="AH96" i="57"/>
  <c r="AG96" i="57"/>
  <c r="AF96" i="57"/>
  <c r="AE96" i="57"/>
  <c r="AD96" i="57"/>
  <c r="AC96" i="57"/>
  <c r="AB96" i="57"/>
  <c r="AA96" i="57"/>
  <c r="Z96" i="57"/>
  <c r="Y96" i="57"/>
  <c r="E28" i="60" l="1"/>
  <c r="I26" i="60"/>
  <c r="I29" i="60" s="1"/>
  <c r="H39" i="59"/>
  <c r="G43" i="59"/>
  <c r="H43" i="59" s="1"/>
  <c r="K175" i="25"/>
  <c r="K143" i="25"/>
  <c r="K142" i="25"/>
  <c r="K136" i="25"/>
  <c r="K135" i="25"/>
  <c r="K69" i="25"/>
  <c r="K50" i="25"/>
  <c r="K189" i="25" s="1"/>
  <c r="K46" i="25"/>
  <c r="K100" i="25" s="1"/>
  <c r="K155" i="25" s="1"/>
  <c r="K45" i="25"/>
  <c r="K99" i="25" s="1"/>
  <c r="K149" i="25" s="1"/>
  <c r="K44" i="25"/>
  <c r="K88" i="25" s="1"/>
  <c r="K133" i="25" s="1"/>
  <c r="K43" i="25"/>
  <c r="K91" i="25" s="1"/>
  <c r="K42" i="25"/>
  <c r="K90" i="25" s="1"/>
  <c r="K41" i="25"/>
  <c r="K94" i="25" s="1"/>
  <c r="K95" i="25" s="1"/>
  <c r="K40" i="25"/>
  <c r="K89" i="25" s="1"/>
  <c r="K39" i="25"/>
  <c r="K84" i="25" s="1"/>
  <c r="K38" i="25"/>
  <c r="K83" i="25" s="1"/>
  <c r="K126" i="25" s="1"/>
  <c r="K36" i="25"/>
  <c r="K80" i="25" s="1"/>
  <c r="K35" i="25"/>
  <c r="K79" i="25" s="1"/>
  <c r="K34" i="25"/>
  <c r="K78" i="25" s="1"/>
  <c r="K186" i="25" s="1"/>
  <c r="K20" i="25"/>
  <c r="I123" i="7"/>
  <c r="L123" i="7" s="1"/>
  <c r="I117" i="7"/>
  <c r="I114" i="7"/>
  <c r="I111" i="7"/>
  <c r="I103" i="7"/>
  <c r="I98" i="7"/>
  <c r="I97" i="7"/>
  <c r="I151" i="7"/>
  <c r="I148" i="7"/>
  <c r="L148" i="7" s="1"/>
  <c r="I147" i="7"/>
  <c r="I142" i="7"/>
  <c r="I141" i="7"/>
  <c r="I139" i="7"/>
  <c r="I135" i="7"/>
  <c r="I134" i="7"/>
  <c r="I133" i="7"/>
  <c r="M150" i="7"/>
  <c r="M146" i="7"/>
  <c r="M132" i="7"/>
  <c r="M137" i="7" s="1"/>
  <c r="M144" i="7" s="1"/>
  <c r="J143" i="25"/>
  <c r="J142" i="25"/>
  <c r="J46" i="25"/>
  <c r="J100" i="25" s="1"/>
  <c r="J155" i="25" s="1"/>
  <c r="K152" i="25" s="1"/>
  <c r="J45" i="25"/>
  <c r="J99" i="25" s="1"/>
  <c r="J149" i="25" s="1"/>
  <c r="K147" i="25" s="1"/>
  <c r="J44" i="25"/>
  <c r="J88" i="25" s="1"/>
  <c r="J133" i="25" s="1"/>
  <c r="J43" i="25"/>
  <c r="J91" i="25" s="1"/>
  <c r="J42" i="25"/>
  <c r="J90" i="25" s="1"/>
  <c r="J117" i="25" s="1"/>
  <c r="J41" i="25"/>
  <c r="J94" i="25" s="1"/>
  <c r="J95" i="25" s="1"/>
  <c r="J40" i="25"/>
  <c r="J89" i="25" s="1"/>
  <c r="J116" i="25" s="1"/>
  <c r="J39" i="25"/>
  <c r="J84" i="25" s="1"/>
  <c r="J38" i="25"/>
  <c r="J83" i="25" s="1"/>
  <c r="J126" i="25" s="1"/>
  <c r="K123" i="25" s="1"/>
  <c r="K125" i="25" s="1"/>
  <c r="K167" i="25" s="1"/>
  <c r="J36" i="25"/>
  <c r="J80" i="25" s="1"/>
  <c r="J111" i="25" s="1"/>
  <c r="J35" i="25"/>
  <c r="J79" i="25" s="1"/>
  <c r="J110" i="25" s="1"/>
  <c r="J34" i="25"/>
  <c r="J78" i="25" s="1"/>
  <c r="J186" i="25" s="1"/>
  <c r="AC22" i="57" s="1"/>
  <c r="J69" i="25"/>
  <c r="J14" i="25"/>
  <c r="J13" i="25"/>
  <c r="J12" i="25"/>
  <c r="J11" i="25"/>
  <c r="H123" i="7"/>
  <c r="G123" i="7"/>
  <c r="F123" i="7"/>
  <c r="E123" i="7"/>
  <c r="D123" i="7"/>
  <c r="H117" i="7"/>
  <c r="G117" i="7"/>
  <c r="F117" i="7"/>
  <c r="E117" i="7"/>
  <c r="D117" i="7"/>
  <c r="H114" i="7"/>
  <c r="G114" i="7"/>
  <c r="F114" i="7"/>
  <c r="E114" i="7"/>
  <c r="D114" i="7"/>
  <c r="H111" i="7"/>
  <c r="G111" i="7"/>
  <c r="F111" i="7"/>
  <c r="E111" i="7"/>
  <c r="D111" i="7"/>
  <c r="H103" i="7"/>
  <c r="G103" i="7"/>
  <c r="F103" i="7"/>
  <c r="E103" i="7"/>
  <c r="D103" i="7"/>
  <c r="H98" i="7"/>
  <c r="G98" i="7"/>
  <c r="F98" i="7"/>
  <c r="E98" i="7"/>
  <c r="D98" i="7"/>
  <c r="H97" i="7"/>
  <c r="H150" i="7"/>
  <c r="H146" i="7"/>
  <c r="J15" i="25" s="1"/>
  <c r="H132" i="7"/>
  <c r="A92" i="52"/>
  <c r="AB90" i="52" s="1"/>
  <c r="AH68" i="52" s="1"/>
  <c r="AB91" i="52"/>
  <c r="A90" i="52"/>
  <c r="AB88" i="52" s="1"/>
  <c r="AH67" i="52" s="1"/>
  <c r="AB86" i="52"/>
  <c r="A86" i="52"/>
  <c r="AB84" i="52" s="1"/>
  <c r="AH66" i="52" s="1"/>
  <c r="A85" i="52"/>
  <c r="AB83" i="52" s="1"/>
  <c r="AH65" i="52" s="1"/>
  <c r="AB81" i="52"/>
  <c r="AB80" i="52"/>
  <c r="A80" i="52"/>
  <c r="AB78" i="52" s="1"/>
  <c r="A79" i="52"/>
  <c r="AB77" i="52" s="1"/>
  <c r="A78" i="52"/>
  <c r="AB76" i="52" s="1"/>
  <c r="A77" i="52"/>
  <c r="AB75" i="52" s="1"/>
  <c r="AH64" i="52" s="1"/>
  <c r="A75" i="52"/>
  <c r="AB73" i="52" s="1"/>
  <c r="A74" i="52"/>
  <c r="AB72" i="52" s="1"/>
  <c r="A73" i="52"/>
  <c r="AB71" i="52" s="1"/>
  <c r="AH63" i="52" s="1"/>
  <c r="A70" i="52"/>
  <c r="AB68" i="52" s="1"/>
  <c r="AB69" i="52"/>
  <c r="S69" i="52"/>
  <c r="A67" i="52"/>
  <c r="AB66" i="52" s="1"/>
  <c r="A66" i="52"/>
  <c r="AB65" i="52" s="1"/>
  <c r="A65" i="52"/>
  <c r="AB64" i="52" s="1"/>
  <c r="AH62" i="52" s="1"/>
  <c r="AB61" i="52"/>
  <c r="AH61" i="52" s="1"/>
  <c r="S61" i="52"/>
  <c r="S60" i="52"/>
  <c r="S52" i="52"/>
  <c r="S50" i="52"/>
  <c r="S43" i="52"/>
  <c r="S41" i="52"/>
  <c r="S36" i="52"/>
  <c r="S35" i="52"/>
  <c r="S19" i="52"/>
  <c r="S59" i="52" s="1"/>
  <c r="Q19" i="52"/>
  <c r="Q59" i="52" s="1"/>
  <c r="P19" i="52"/>
  <c r="P59" i="52" s="1"/>
  <c r="O19" i="52"/>
  <c r="O59" i="52" s="1"/>
  <c r="N19" i="52"/>
  <c r="N59" i="52" s="1"/>
  <c r="M19" i="52"/>
  <c r="M59" i="52" s="1"/>
  <c r="L19" i="52"/>
  <c r="L59" i="52" s="1"/>
  <c r="K19" i="52"/>
  <c r="K59" i="52" s="1"/>
  <c r="J19" i="52"/>
  <c r="J59" i="52" s="1"/>
  <c r="I19" i="52"/>
  <c r="I59" i="52" s="1"/>
  <c r="H19" i="52"/>
  <c r="H59" i="52" s="1"/>
  <c r="G19" i="52"/>
  <c r="G59" i="52" s="1"/>
  <c r="F19" i="52"/>
  <c r="F59" i="52" s="1"/>
  <c r="F17" i="52"/>
  <c r="L97" i="7" l="1"/>
  <c r="C47" i="60"/>
  <c r="J151" i="7"/>
  <c r="L151" i="7" s="1"/>
  <c r="J142" i="7"/>
  <c r="J141" i="7"/>
  <c r="J139" i="7"/>
  <c r="J135" i="7"/>
  <c r="J134" i="7"/>
  <c r="K134" i="7" s="1"/>
  <c r="J133" i="7"/>
  <c r="K133" i="7" s="1"/>
  <c r="K123" i="7"/>
  <c r="K117" i="7"/>
  <c r="L117" i="7"/>
  <c r="K114" i="7"/>
  <c r="L114" i="7"/>
  <c r="K111" i="7"/>
  <c r="L111" i="7"/>
  <c r="K103" i="7"/>
  <c r="L103" i="7"/>
  <c r="K98" i="7"/>
  <c r="L98" i="7"/>
  <c r="C84" i="60"/>
  <c r="K97" i="7"/>
  <c r="J148" i="7"/>
  <c r="K148" i="7" s="1"/>
  <c r="J147" i="7"/>
  <c r="K147" i="7" s="1"/>
  <c r="I150" i="7"/>
  <c r="C60" i="60"/>
  <c r="C94" i="60"/>
  <c r="K299" i="25"/>
  <c r="G47" i="59"/>
  <c r="G49" i="59" s="1"/>
  <c r="C107" i="59" s="1"/>
  <c r="K131" i="25"/>
  <c r="K137" i="25" s="1"/>
  <c r="K138" i="25" s="1"/>
  <c r="AD88" i="57" s="1"/>
  <c r="AC39" i="57"/>
  <c r="AD39" i="57"/>
  <c r="AD22" i="57"/>
  <c r="G132" i="47"/>
  <c r="J299" i="25"/>
  <c r="J16" i="25"/>
  <c r="J65" i="25" s="1"/>
  <c r="H137" i="7"/>
  <c r="H144" i="7" s="1"/>
  <c r="H153" i="7" s="1"/>
  <c r="J10" i="25"/>
  <c r="H132" i="47"/>
  <c r="K174" i="25"/>
  <c r="K178" i="25"/>
  <c r="K124" i="25"/>
  <c r="K171" i="25" s="1"/>
  <c r="K201" i="25" s="1"/>
  <c r="K148" i="25"/>
  <c r="K176" i="25" s="1"/>
  <c r="K144" i="25"/>
  <c r="AD40" i="57" s="1"/>
  <c r="K101" i="25"/>
  <c r="K92" i="25"/>
  <c r="K96" i="25" s="1"/>
  <c r="K37" i="25"/>
  <c r="K81" i="25" s="1"/>
  <c r="K82" i="25" s="1"/>
  <c r="K85" i="25" s="1"/>
  <c r="K11" i="25"/>
  <c r="K52" i="25" s="1"/>
  <c r="K12" i="25"/>
  <c r="K56" i="25" s="1"/>
  <c r="K13" i="25"/>
  <c r="K57" i="25" s="1"/>
  <c r="K14" i="25"/>
  <c r="K58" i="25" s="1"/>
  <c r="I118" i="7"/>
  <c r="L118" i="7" s="1"/>
  <c r="I104" i="7"/>
  <c r="I146" i="7"/>
  <c r="M153" i="7"/>
  <c r="M155" i="7" s="1"/>
  <c r="I132" i="7"/>
  <c r="J453" i="25"/>
  <c r="J212" i="25"/>
  <c r="J211" i="25"/>
  <c r="AC46" i="57" s="1"/>
  <c r="J210" i="25"/>
  <c r="AC45" i="57" s="1"/>
  <c r="J101" i="25"/>
  <c r="J144" i="25"/>
  <c r="AC71" i="57" s="1"/>
  <c r="J118" i="25"/>
  <c r="AC108" i="57" s="1"/>
  <c r="J92" i="25"/>
  <c r="J96" i="25" s="1"/>
  <c r="J37" i="25"/>
  <c r="J81" i="25" s="1"/>
  <c r="J23" i="25"/>
  <c r="G118" i="7"/>
  <c r="F118" i="7"/>
  <c r="E118" i="7"/>
  <c r="D118" i="7"/>
  <c r="H118" i="7"/>
  <c r="H104" i="7"/>
  <c r="G104" i="7"/>
  <c r="E104" i="7"/>
  <c r="D104" i="7"/>
  <c r="F104" i="7"/>
  <c r="C40" i="52"/>
  <c r="N40" i="52" s="1"/>
  <c r="N80" i="52" s="1"/>
  <c r="C34" i="52"/>
  <c r="P34" i="52" s="1"/>
  <c r="P75" i="52" s="1"/>
  <c r="C37" i="52"/>
  <c r="L37" i="52" s="1"/>
  <c r="L77" i="52" s="1"/>
  <c r="H315" i="52" s="1"/>
  <c r="C38" i="52"/>
  <c r="I38" i="52" s="1"/>
  <c r="I78" i="52" s="1"/>
  <c r="C39" i="52"/>
  <c r="F39" i="52" s="1"/>
  <c r="C44" i="52"/>
  <c r="P44" i="52" s="1"/>
  <c r="P85" i="52" s="1"/>
  <c r="L316" i="52" s="1"/>
  <c r="C26" i="52"/>
  <c r="G26" i="52" s="1"/>
  <c r="G66" i="52" s="1"/>
  <c r="C27" i="52"/>
  <c r="O27" i="52" s="1"/>
  <c r="O67" i="52" s="1"/>
  <c r="C32" i="52"/>
  <c r="J32" i="52" s="1"/>
  <c r="C33" i="52"/>
  <c r="I33" i="52" s="1"/>
  <c r="I74" i="52" s="1"/>
  <c r="C45" i="52"/>
  <c r="N45" i="52" s="1"/>
  <c r="N86" i="52" s="1"/>
  <c r="J317" i="52" s="1"/>
  <c r="C25" i="52"/>
  <c r="M25" i="52" s="1"/>
  <c r="M65" i="52" s="1"/>
  <c r="I313" i="52" s="1"/>
  <c r="K141" i="7" l="1"/>
  <c r="L14" i="25"/>
  <c r="K142" i="7"/>
  <c r="L13" i="25"/>
  <c r="K139" i="7"/>
  <c r="L12" i="25"/>
  <c r="K135" i="7"/>
  <c r="L11" i="25"/>
  <c r="C165" i="7"/>
  <c r="E165" i="7" s="1"/>
  <c r="F165" i="7" s="1"/>
  <c r="C164" i="7"/>
  <c r="E164" i="7" s="1"/>
  <c r="F164" i="7" s="1"/>
  <c r="C163" i="7"/>
  <c r="E163" i="7" s="1"/>
  <c r="F163" i="7" s="1"/>
  <c r="C162" i="7"/>
  <c r="E162" i="7" s="1"/>
  <c r="F162" i="7" s="1"/>
  <c r="C161" i="7"/>
  <c r="E161" i="7" s="1"/>
  <c r="F161" i="7" s="1"/>
  <c r="C160" i="7"/>
  <c r="E160" i="7" s="1"/>
  <c r="F160" i="7" s="1"/>
  <c r="K151" i="7"/>
  <c r="J150" i="7"/>
  <c r="L134" i="7"/>
  <c r="L141" i="7"/>
  <c r="J132" i="7"/>
  <c r="L133" i="7"/>
  <c r="L135" i="7"/>
  <c r="L147" i="7"/>
  <c r="L142" i="7"/>
  <c r="L139" i="7"/>
  <c r="K10" i="25"/>
  <c r="K118" i="7"/>
  <c r="K104" i="7"/>
  <c r="L104" i="7"/>
  <c r="J146" i="7"/>
  <c r="D84" i="60"/>
  <c r="C82" i="60"/>
  <c r="D82" i="60" s="1"/>
  <c r="C83" i="60"/>
  <c r="D83" i="60" s="1"/>
  <c r="E94" i="60"/>
  <c r="K16" i="25"/>
  <c r="K65" i="25" s="1"/>
  <c r="H49" i="59"/>
  <c r="K287" i="25"/>
  <c r="H47" i="59"/>
  <c r="E170" i="7"/>
  <c r="F170" i="7" s="1"/>
  <c r="AD98" i="57"/>
  <c r="K132" i="25"/>
  <c r="K282" i="25"/>
  <c r="AD97" i="57"/>
  <c r="AC47" i="57"/>
  <c r="AC75" i="57"/>
  <c r="AD71" i="57"/>
  <c r="AD16" i="57"/>
  <c r="AD62" i="57"/>
  <c r="AD41" i="57"/>
  <c r="K141" i="25"/>
  <c r="AC40" i="57"/>
  <c r="AC41" i="57"/>
  <c r="AC29" i="57"/>
  <c r="J295" i="25"/>
  <c r="H128" i="47"/>
  <c r="K288" i="25"/>
  <c r="H126" i="47"/>
  <c r="K286" i="25"/>
  <c r="H127" i="47"/>
  <c r="H123" i="47"/>
  <c r="K103" i="25"/>
  <c r="K105" i="25" s="1"/>
  <c r="K202" i="25"/>
  <c r="K179" i="25"/>
  <c r="K180" i="25" s="1"/>
  <c r="K23" i="25"/>
  <c r="AD29" i="57" s="1"/>
  <c r="K15" i="25"/>
  <c r="K64" i="25" s="1"/>
  <c r="I137" i="7"/>
  <c r="I124" i="7"/>
  <c r="L124" i="7" s="1"/>
  <c r="J213" i="25"/>
  <c r="J103" i="25"/>
  <c r="J82" i="25"/>
  <c r="J85" i="25" s="1"/>
  <c r="J112" i="25"/>
  <c r="J113" i="25" s="1"/>
  <c r="J73" i="52"/>
  <c r="F314" i="52" s="1"/>
  <c r="F124" i="7"/>
  <c r="F125" i="7" s="1"/>
  <c r="E124" i="7"/>
  <c r="E125" i="7" s="1"/>
  <c r="D124" i="7"/>
  <c r="D125" i="7" s="1"/>
  <c r="G124" i="7"/>
  <c r="G125" i="7" s="1"/>
  <c r="H124" i="7"/>
  <c r="H155" i="7"/>
  <c r="M26" i="52"/>
  <c r="M66" i="52" s="1"/>
  <c r="Q40" i="52"/>
  <c r="Q80" i="52" s="1"/>
  <c r="P40" i="52"/>
  <c r="P80" i="52" s="1"/>
  <c r="G40" i="52"/>
  <c r="G80" i="52" s="1"/>
  <c r="O40" i="52"/>
  <c r="O80" i="52" s="1"/>
  <c r="F40" i="52"/>
  <c r="F80" i="52" s="1"/>
  <c r="O37" i="52"/>
  <c r="O77" i="52" s="1"/>
  <c r="K315" i="52" s="1"/>
  <c r="H40" i="52"/>
  <c r="H80" i="52" s="1"/>
  <c r="I40" i="52"/>
  <c r="I80" i="52" s="1"/>
  <c r="J40" i="52"/>
  <c r="J80" i="52" s="1"/>
  <c r="K40" i="52"/>
  <c r="K80" i="52" s="1"/>
  <c r="L40" i="52"/>
  <c r="L80" i="52" s="1"/>
  <c r="M40" i="52"/>
  <c r="M80" i="52" s="1"/>
  <c r="O26" i="52"/>
  <c r="O66" i="52" s="1"/>
  <c r="Q34" i="52"/>
  <c r="Q75" i="52" s="1"/>
  <c r="O34" i="52"/>
  <c r="O75" i="52" s="1"/>
  <c r="H34" i="52"/>
  <c r="H75" i="52" s="1"/>
  <c r="Q26" i="52"/>
  <c r="Q66" i="52" s="1"/>
  <c r="H37" i="52"/>
  <c r="L26" i="52"/>
  <c r="L66" i="52" s="1"/>
  <c r="L34" i="52"/>
  <c r="L75" i="52" s="1"/>
  <c r="I34" i="52"/>
  <c r="I75" i="52" s="1"/>
  <c r="P37" i="52"/>
  <c r="P77" i="52" s="1"/>
  <c r="L315" i="52" s="1"/>
  <c r="K34" i="52"/>
  <c r="K75" i="52" s="1"/>
  <c r="N37" i="52"/>
  <c r="N77" i="52" s="1"/>
  <c r="J315" i="52" s="1"/>
  <c r="K37" i="52"/>
  <c r="K38" i="52"/>
  <c r="K78" i="52" s="1"/>
  <c r="J38" i="52"/>
  <c r="J78" i="52" s="1"/>
  <c r="G34" i="52"/>
  <c r="G75" i="52" s="1"/>
  <c r="J37" i="52"/>
  <c r="G37" i="52"/>
  <c r="Q38" i="52"/>
  <c r="Q78" i="52" s="1"/>
  <c r="F34" i="52"/>
  <c r="F75" i="52" s="1"/>
  <c r="I37" i="52"/>
  <c r="M34" i="52"/>
  <c r="M75" i="52" s="1"/>
  <c r="M38" i="52"/>
  <c r="M78" i="52" s="1"/>
  <c r="N38" i="52"/>
  <c r="N78" i="52" s="1"/>
  <c r="P38" i="52"/>
  <c r="P78" i="52" s="1"/>
  <c r="J34" i="52"/>
  <c r="J75" i="52" s="1"/>
  <c r="N34" i="52"/>
  <c r="N75" i="52" s="1"/>
  <c r="I39" i="52"/>
  <c r="I79" i="52" s="1"/>
  <c r="F44" i="52"/>
  <c r="Q37" i="52"/>
  <c r="Q77" i="52" s="1"/>
  <c r="M315" i="52" s="1"/>
  <c r="I44" i="52"/>
  <c r="H39" i="52"/>
  <c r="H79" i="52" s="1"/>
  <c r="O38" i="52"/>
  <c r="O78" i="52" s="1"/>
  <c r="M37" i="52"/>
  <c r="M77" i="52" s="1"/>
  <c r="I315" i="52" s="1"/>
  <c r="P26" i="52"/>
  <c r="P66" i="52" s="1"/>
  <c r="F37" i="52"/>
  <c r="L38" i="52"/>
  <c r="L78" i="52" s="1"/>
  <c r="N26" i="52"/>
  <c r="N66" i="52" s="1"/>
  <c r="H38" i="52"/>
  <c r="H78" i="52" s="1"/>
  <c r="G38" i="52"/>
  <c r="G78" i="52" s="1"/>
  <c r="N44" i="52"/>
  <c r="N85" i="52" s="1"/>
  <c r="J316" i="52" s="1"/>
  <c r="F38" i="52"/>
  <c r="F78" i="52" s="1"/>
  <c r="J44" i="52"/>
  <c r="L44" i="52"/>
  <c r="L85" i="52" s="1"/>
  <c r="H316" i="52" s="1"/>
  <c r="J26" i="52"/>
  <c r="J66" i="52" s="1"/>
  <c r="Q44" i="52"/>
  <c r="Q85" i="52" s="1"/>
  <c r="M316" i="52" s="1"/>
  <c r="M44" i="52"/>
  <c r="M85" i="52" s="1"/>
  <c r="I316" i="52" s="1"/>
  <c r="H44" i="52"/>
  <c r="G44" i="52"/>
  <c r="H26" i="52"/>
  <c r="H66" i="52" s="1"/>
  <c r="P39" i="52"/>
  <c r="P79" i="52" s="1"/>
  <c r="K44" i="52"/>
  <c r="J39" i="52"/>
  <c r="J79" i="52" s="1"/>
  <c r="N39" i="52"/>
  <c r="N79" i="52" s="1"/>
  <c r="K39" i="52"/>
  <c r="K79" i="52" s="1"/>
  <c r="L39" i="52"/>
  <c r="L79" i="52" s="1"/>
  <c r="M39" i="52"/>
  <c r="M79" i="52" s="1"/>
  <c r="F26" i="52"/>
  <c r="F66" i="52" s="1"/>
  <c r="I26" i="52"/>
  <c r="I66" i="52" s="1"/>
  <c r="G39" i="52"/>
  <c r="G79" i="52" s="1"/>
  <c r="G33" i="52"/>
  <c r="G74" i="52" s="1"/>
  <c r="Q32" i="52"/>
  <c r="Q73" i="52" s="1"/>
  <c r="M314" i="52" s="1"/>
  <c r="Q27" i="52"/>
  <c r="Q67" i="52" s="1"/>
  <c r="O39" i="52"/>
  <c r="O79" i="52" s="1"/>
  <c r="I32" i="52"/>
  <c r="P33" i="52"/>
  <c r="P74" i="52" s="1"/>
  <c r="M32" i="52"/>
  <c r="M73" i="52" s="1"/>
  <c r="I314" i="52" s="1"/>
  <c r="F27" i="52"/>
  <c r="F67" i="52" s="1"/>
  <c r="K33" i="52"/>
  <c r="K74" i="52" s="1"/>
  <c r="K26" i="52"/>
  <c r="K66" i="52" s="1"/>
  <c r="Q39" i="52"/>
  <c r="Q79" i="52" s="1"/>
  <c r="O44" i="52"/>
  <c r="O85" i="52" s="1"/>
  <c r="K316" i="52" s="1"/>
  <c r="O32" i="52"/>
  <c r="O73" i="52" s="1"/>
  <c r="K314" i="52" s="1"/>
  <c r="Q33" i="52"/>
  <c r="Q74" i="52" s="1"/>
  <c r="F32" i="52"/>
  <c r="G32" i="52"/>
  <c r="K32" i="52"/>
  <c r="H27" i="52"/>
  <c r="H67" i="52" s="1"/>
  <c r="N32" i="52"/>
  <c r="N73" i="52" s="1"/>
  <c r="J314" i="52" s="1"/>
  <c r="I27" i="52"/>
  <c r="I67" i="52" s="1"/>
  <c r="K45" i="52"/>
  <c r="M27" i="52"/>
  <c r="M67" i="52" s="1"/>
  <c r="N27" i="52"/>
  <c r="N67" i="52" s="1"/>
  <c r="O33" i="52"/>
  <c r="O74" i="52" s="1"/>
  <c r="K27" i="52"/>
  <c r="K67" i="52" s="1"/>
  <c r="L27" i="52"/>
  <c r="L67" i="52" s="1"/>
  <c r="J33" i="52"/>
  <c r="J74" i="52" s="1"/>
  <c r="J45" i="52"/>
  <c r="G27" i="52"/>
  <c r="G67" i="52" s="1"/>
  <c r="P27" i="52"/>
  <c r="P67" i="52" s="1"/>
  <c r="P32" i="52"/>
  <c r="P73" i="52" s="1"/>
  <c r="L314" i="52" s="1"/>
  <c r="J27" i="52"/>
  <c r="J67" i="52" s="1"/>
  <c r="H33" i="52"/>
  <c r="H74" i="52" s="1"/>
  <c r="G45" i="52"/>
  <c r="H32" i="52"/>
  <c r="L33" i="52"/>
  <c r="L74" i="52" s="1"/>
  <c r="L32" i="52"/>
  <c r="L73" i="52" s="1"/>
  <c r="H314" i="52" s="1"/>
  <c r="M33" i="52"/>
  <c r="M74" i="52" s="1"/>
  <c r="N33" i="52"/>
  <c r="N74" i="52" s="1"/>
  <c r="F45" i="52"/>
  <c r="F33" i="52"/>
  <c r="F74" i="52" s="1"/>
  <c r="O45" i="52"/>
  <c r="O86" i="52" s="1"/>
  <c r="K317" i="52" s="1"/>
  <c r="L45" i="52"/>
  <c r="L86" i="52" s="1"/>
  <c r="H317" i="52" s="1"/>
  <c r="H45" i="52"/>
  <c r="M45" i="52"/>
  <c r="M86" i="52" s="1"/>
  <c r="I317" i="52" s="1"/>
  <c r="I45" i="52"/>
  <c r="N25" i="52"/>
  <c r="N65" i="52" s="1"/>
  <c r="J313" i="52" s="1"/>
  <c r="H25" i="52"/>
  <c r="P45" i="52"/>
  <c r="P86" i="52" s="1"/>
  <c r="L317" i="52" s="1"/>
  <c r="Q45" i="52"/>
  <c r="Q86" i="52" s="1"/>
  <c r="M317" i="52" s="1"/>
  <c r="L25" i="52"/>
  <c r="L65" i="52" s="1"/>
  <c r="H313" i="52" s="1"/>
  <c r="G25" i="52"/>
  <c r="K25" i="52"/>
  <c r="J25" i="52"/>
  <c r="I25" i="52"/>
  <c r="F25" i="52"/>
  <c r="O25" i="52"/>
  <c r="O65" i="52" s="1"/>
  <c r="K313" i="52" s="1"/>
  <c r="Q25" i="52"/>
  <c r="Q65" i="52" s="1"/>
  <c r="M313" i="52" s="1"/>
  <c r="P25" i="52"/>
  <c r="P65" i="52" s="1"/>
  <c r="L313" i="52" s="1"/>
  <c r="F79" i="52"/>
  <c r="K150" i="7" l="1"/>
  <c r="L16" i="25"/>
  <c r="L65" i="25" s="1"/>
  <c r="K146" i="7"/>
  <c r="L15" i="25"/>
  <c r="L150" i="7"/>
  <c r="J137" i="7"/>
  <c r="L137" i="7" s="1"/>
  <c r="L10" i="25"/>
  <c r="L51" i="25" s="1"/>
  <c r="L132" i="7"/>
  <c r="K132" i="7"/>
  <c r="L146" i="7"/>
  <c r="E171" i="7"/>
  <c r="F171" i="7" s="1"/>
  <c r="K124" i="7"/>
  <c r="C25" i="60"/>
  <c r="K295" i="25"/>
  <c r="K294" i="25"/>
  <c r="J119" i="25"/>
  <c r="AC107" i="57"/>
  <c r="AC48" i="57"/>
  <c r="AC79" i="57"/>
  <c r="AD17" i="57"/>
  <c r="AD63" i="57"/>
  <c r="K51" i="25"/>
  <c r="K86" i="52"/>
  <c r="G317" i="52" s="1"/>
  <c r="K85" i="52"/>
  <c r="G316" i="52" s="1"/>
  <c r="K77" i="52"/>
  <c r="G315" i="52" s="1"/>
  <c r="K73" i="52"/>
  <c r="G314" i="52" s="1"/>
  <c r="K65" i="52"/>
  <c r="G313" i="52" s="1"/>
  <c r="I77" i="52"/>
  <c r="E315" i="52" s="1"/>
  <c r="G77" i="52"/>
  <c r="C315" i="52" s="1"/>
  <c r="H77" i="52"/>
  <c r="D315" i="52" s="1"/>
  <c r="I144" i="7"/>
  <c r="H125" i="7"/>
  <c r="I125" i="7"/>
  <c r="J105" i="25"/>
  <c r="J86" i="52"/>
  <c r="F317" i="52" s="1"/>
  <c r="J85" i="52"/>
  <c r="F316" i="52" s="1"/>
  <c r="J77" i="52"/>
  <c r="F315" i="52" s="1"/>
  <c r="J65" i="52"/>
  <c r="F313" i="52" s="1"/>
  <c r="S40" i="52"/>
  <c r="S80" i="52"/>
  <c r="AC78" i="52" s="1"/>
  <c r="I86" i="52"/>
  <c r="E317" i="52" s="1"/>
  <c r="H86" i="52"/>
  <c r="D317" i="52" s="1"/>
  <c r="F86" i="52"/>
  <c r="B317" i="52" s="1"/>
  <c r="G86" i="52"/>
  <c r="C317" i="52" s="1"/>
  <c r="G85" i="52"/>
  <c r="C316" i="52" s="1"/>
  <c r="H85" i="52"/>
  <c r="D316" i="52" s="1"/>
  <c r="F85" i="52"/>
  <c r="B316" i="52" s="1"/>
  <c r="I85" i="52"/>
  <c r="E316" i="52" s="1"/>
  <c r="S75" i="52"/>
  <c r="AC73" i="52" s="1"/>
  <c r="S37" i="52"/>
  <c r="H73" i="52"/>
  <c r="D314" i="52" s="1"/>
  <c r="G73" i="52"/>
  <c r="C314" i="52" s="1"/>
  <c r="F73" i="52"/>
  <c r="B314" i="52" s="1"/>
  <c r="I73" i="52"/>
  <c r="E314" i="52" s="1"/>
  <c r="S34" i="52"/>
  <c r="F65" i="52"/>
  <c r="B313" i="52" s="1"/>
  <c r="G65" i="52"/>
  <c r="C313" i="52" s="1"/>
  <c r="I65" i="52"/>
  <c r="E313" i="52" s="1"/>
  <c r="H65" i="52"/>
  <c r="D313" i="52" s="1"/>
  <c r="S78" i="52"/>
  <c r="AC76" i="52" s="1"/>
  <c r="F77" i="52"/>
  <c r="B315" i="52" s="1"/>
  <c r="S38" i="52"/>
  <c r="S44" i="52"/>
  <c r="S39" i="52"/>
  <c r="S26" i="52"/>
  <c r="S79" i="52"/>
  <c r="AC77" i="52" s="1"/>
  <c r="S27" i="52"/>
  <c r="S74" i="52"/>
  <c r="AC72" i="52" s="1"/>
  <c r="S33" i="52"/>
  <c r="S32" i="52"/>
  <c r="S45" i="52"/>
  <c r="S25" i="52"/>
  <c r="S66" i="52"/>
  <c r="AC65" i="52" s="1"/>
  <c r="F295" i="52"/>
  <c r="D295" i="52"/>
  <c r="S67" i="52"/>
  <c r="AC66" i="52" s="1"/>
  <c r="H39" i="60" l="1"/>
  <c r="I39" i="60" s="1"/>
  <c r="D39" i="60"/>
  <c r="J18" i="62"/>
  <c r="J17" i="62"/>
  <c r="K137" i="7"/>
  <c r="J144" i="7"/>
  <c r="L144" i="7" s="1"/>
  <c r="F25" i="60"/>
  <c r="K53" i="25"/>
  <c r="K192" i="25"/>
  <c r="AD3" i="57" s="1"/>
  <c r="H122" i="47"/>
  <c r="K281" i="25"/>
  <c r="I153" i="7"/>
  <c r="S86" i="52"/>
  <c r="AC84" i="52" s="1"/>
  <c r="AI66" i="52" s="1"/>
  <c r="S85" i="52"/>
  <c r="AC83" i="52" s="1"/>
  <c r="AI65" i="52" s="1"/>
  <c r="S77" i="52"/>
  <c r="AC75" i="52" s="1"/>
  <c r="AI64" i="52" s="1"/>
  <c r="S73" i="52"/>
  <c r="AC71" i="52" s="1"/>
  <c r="AI63" i="52" s="1"/>
  <c r="S65" i="52"/>
  <c r="AC64" i="52" s="1"/>
  <c r="AI62" i="52" s="1"/>
  <c r="N317" i="52"/>
  <c r="N313" i="52"/>
  <c r="N315" i="52"/>
  <c r="N316" i="52"/>
  <c r="N308" i="52"/>
  <c r="N314" i="52"/>
  <c r="K144" i="7" l="1"/>
  <c r="J153" i="7"/>
  <c r="I18" i="62"/>
  <c r="H38" i="60"/>
  <c r="I38" i="60" s="1"/>
  <c r="D38" i="60"/>
  <c r="E39" i="60"/>
  <c r="F39" i="60"/>
  <c r="L153" i="7"/>
  <c r="G25" i="60"/>
  <c r="J155" i="7"/>
  <c r="K153" i="7"/>
  <c r="K283" i="25"/>
  <c r="K54" i="25"/>
  <c r="AD93" i="57" s="1"/>
  <c r="K59" i="25"/>
  <c r="K61" i="25" s="1"/>
  <c r="H124" i="47"/>
  <c r="I155" i="7"/>
  <c r="N306" i="52"/>
  <c r="D293" i="52"/>
  <c r="F293" i="52"/>
  <c r="F294" i="52"/>
  <c r="D294" i="52"/>
  <c r="N307" i="52"/>
  <c r="E38" i="60" l="1"/>
  <c r="F38" i="60"/>
  <c r="C27" i="60"/>
  <c r="F27" i="60" s="1"/>
  <c r="G27" i="60" s="1"/>
  <c r="C96" i="60" s="1"/>
  <c r="C45" i="60"/>
  <c r="C51" i="60" s="1"/>
  <c r="L155" i="7"/>
  <c r="K155" i="7"/>
  <c r="C26" i="60"/>
  <c r="K289" i="25"/>
  <c r="AD9" i="57"/>
  <c r="H129" i="47"/>
  <c r="H26" i="60" s="1"/>
  <c r="K193" i="25"/>
  <c r="AD83" i="57" s="1"/>
  <c r="K67" i="25"/>
  <c r="K291" i="25"/>
  <c r="K62" i="25"/>
  <c r="B311" i="52"/>
  <c r="F311" i="52"/>
  <c r="E311" i="52"/>
  <c r="D311" i="52"/>
  <c r="F26" i="60" l="1"/>
  <c r="C29" i="60"/>
  <c r="C56" i="60"/>
  <c r="C58" i="60" s="1"/>
  <c r="D58" i="60" s="1"/>
  <c r="AD4" i="57"/>
  <c r="K194" i="25"/>
  <c r="AD52" i="57" s="1"/>
  <c r="K70" i="25"/>
  <c r="H131" i="47"/>
  <c r="K297" i="25"/>
  <c r="N310" i="52"/>
  <c r="N309" i="52"/>
  <c r="G62" i="52"/>
  <c r="G22" i="52"/>
  <c r="C311" i="52"/>
  <c r="G311" i="52"/>
  <c r="I62" i="52"/>
  <c r="I22" i="52"/>
  <c r="H311" i="52"/>
  <c r="F296" i="52"/>
  <c r="D296" i="52"/>
  <c r="J62" i="52"/>
  <c r="J22" i="52"/>
  <c r="K22" i="52"/>
  <c r="K62" i="52"/>
  <c r="I311" i="52"/>
  <c r="F297" i="52"/>
  <c r="D297" i="52"/>
  <c r="L22" i="52"/>
  <c r="L29" i="52" s="1"/>
  <c r="L62" i="52"/>
  <c r="H62" i="52"/>
  <c r="H22" i="52"/>
  <c r="G26" i="60" l="1"/>
  <c r="C98" i="60" s="1"/>
  <c r="F29" i="60"/>
  <c r="K300" i="25"/>
  <c r="AD10" i="57"/>
  <c r="K162" i="25"/>
  <c r="K153" i="25"/>
  <c r="K196" i="25"/>
  <c r="AD84" i="57" s="1"/>
  <c r="K71" i="25"/>
  <c r="H133" i="47"/>
  <c r="K29" i="52"/>
  <c r="J29" i="52"/>
  <c r="I29" i="52"/>
  <c r="H29" i="52"/>
  <c r="G29" i="52"/>
  <c r="F22" i="52"/>
  <c r="F62" i="52"/>
  <c r="J311" i="52"/>
  <c r="M62" i="52"/>
  <c r="M22" i="52"/>
  <c r="M29" i="52" s="1"/>
  <c r="L70" i="52"/>
  <c r="L71" i="52" s="1"/>
  <c r="L42" i="52"/>
  <c r="N22" i="52"/>
  <c r="N29" i="52" s="1"/>
  <c r="N62" i="52"/>
  <c r="G29" i="60" l="1"/>
  <c r="AD5" i="57"/>
  <c r="K197" i="25"/>
  <c r="AD11" i="57" s="1"/>
  <c r="K42" i="52"/>
  <c r="K70" i="52"/>
  <c r="K71" i="52" s="1"/>
  <c r="J42" i="52"/>
  <c r="J70" i="52"/>
  <c r="J71" i="52" s="1"/>
  <c r="I42" i="52"/>
  <c r="I70" i="52"/>
  <c r="I71" i="52" s="1"/>
  <c r="G42" i="52"/>
  <c r="G70" i="52"/>
  <c r="G71" i="52" s="1"/>
  <c r="H42" i="52"/>
  <c r="H70" i="52"/>
  <c r="H71" i="52" s="1"/>
  <c r="L311" i="52"/>
  <c r="N70" i="52"/>
  <c r="N71" i="52" s="1"/>
  <c r="N42" i="52"/>
  <c r="O62" i="52"/>
  <c r="O22" i="52"/>
  <c r="O29" i="52" s="1"/>
  <c r="F29" i="52"/>
  <c r="L82" i="52"/>
  <c r="L83" i="52" s="1"/>
  <c r="L47" i="52"/>
  <c r="M70" i="52"/>
  <c r="M71" i="52" s="1"/>
  <c r="M42" i="52"/>
  <c r="K311" i="52"/>
  <c r="C101" i="60" l="1"/>
  <c r="C97" i="60"/>
  <c r="K82" i="52"/>
  <c r="K83" i="52" s="1"/>
  <c r="AD53" i="57"/>
  <c r="K47" i="52"/>
  <c r="H47" i="52"/>
  <c r="I82" i="52"/>
  <c r="I83" i="52" s="1"/>
  <c r="J47" i="52"/>
  <c r="J82" i="52"/>
  <c r="J83" i="52" s="1"/>
  <c r="G47" i="52"/>
  <c r="I47" i="52"/>
  <c r="G82" i="52"/>
  <c r="G83" i="52" s="1"/>
  <c r="H82" i="52"/>
  <c r="H83" i="52" s="1"/>
  <c r="L49" i="52"/>
  <c r="L90" i="52" s="1"/>
  <c r="H318" i="52" s="1"/>
  <c r="L88" i="52"/>
  <c r="P62" i="52"/>
  <c r="N82" i="52"/>
  <c r="N83" i="52" s="1"/>
  <c r="N47" i="52"/>
  <c r="M82" i="52"/>
  <c r="M83" i="52" s="1"/>
  <c r="M47" i="52"/>
  <c r="F42" i="52"/>
  <c r="F70" i="52"/>
  <c r="O70" i="52"/>
  <c r="O71" i="52" s="1"/>
  <c r="O42" i="52"/>
  <c r="H49" i="52" l="1"/>
  <c r="H51" i="52" s="1"/>
  <c r="J88" i="52"/>
  <c r="K88" i="52"/>
  <c r="K49" i="52"/>
  <c r="J49" i="52"/>
  <c r="H88" i="52"/>
  <c r="G49" i="52"/>
  <c r="I49" i="52"/>
  <c r="I88" i="52"/>
  <c r="G88" i="52"/>
  <c r="M311" i="52"/>
  <c r="N305" i="52"/>
  <c r="N49" i="52"/>
  <c r="N90" i="52" s="1"/>
  <c r="J318" i="52" s="1"/>
  <c r="N88" i="52"/>
  <c r="F292" i="52"/>
  <c r="F298" i="52" s="1"/>
  <c r="D292" i="52"/>
  <c r="D298" i="52" s="1"/>
  <c r="B298" i="52"/>
  <c r="P22" i="52"/>
  <c r="L51" i="52"/>
  <c r="L92" i="52" s="1"/>
  <c r="L93" i="52" s="1"/>
  <c r="M88" i="52"/>
  <c r="M49" i="52"/>
  <c r="M90" i="52" s="1"/>
  <c r="I318" i="52" s="1"/>
  <c r="O82" i="52"/>
  <c r="O83" i="52" s="1"/>
  <c r="O47" i="52"/>
  <c r="F71" i="52"/>
  <c r="F82" i="52"/>
  <c r="F47" i="52"/>
  <c r="Q62" i="52"/>
  <c r="S62" i="52" s="1"/>
  <c r="AC61" i="52" s="1"/>
  <c r="Q22" i="52"/>
  <c r="Q29" i="52" s="1"/>
  <c r="H90" i="52" l="1"/>
  <c r="D318" i="52" s="1"/>
  <c r="K90" i="52"/>
  <c r="G318" i="52" s="1"/>
  <c r="K51" i="52"/>
  <c r="J90" i="52"/>
  <c r="F318" i="52" s="1"/>
  <c r="J51" i="52"/>
  <c r="G51" i="52"/>
  <c r="G90" i="52"/>
  <c r="C318" i="52" s="1"/>
  <c r="I51" i="52"/>
  <c r="I90" i="52"/>
  <c r="E318" i="52" s="1"/>
  <c r="H92" i="52"/>
  <c r="H93" i="52" s="1"/>
  <c r="M51" i="52"/>
  <c r="M92" i="52" s="1"/>
  <c r="M93" i="52" s="1"/>
  <c r="U13" i="52"/>
  <c r="AE74" i="52"/>
  <c r="AE89" i="52"/>
  <c r="AE87" i="52"/>
  <c r="AE85" i="52"/>
  <c r="AE82" i="52"/>
  <c r="AE63" i="52"/>
  <c r="AE70" i="52"/>
  <c r="AE62" i="52"/>
  <c r="AE67" i="52"/>
  <c r="AE79" i="52"/>
  <c r="AI61" i="52"/>
  <c r="AE61" i="52"/>
  <c r="AE73" i="52"/>
  <c r="AE72" i="52"/>
  <c r="AE78" i="52"/>
  <c r="AE77" i="52"/>
  <c r="AE76" i="52"/>
  <c r="AE84" i="52"/>
  <c r="AE71" i="52"/>
  <c r="AE83" i="52"/>
  <c r="AE66" i="52"/>
  <c r="AE75" i="52"/>
  <c r="AE65" i="52"/>
  <c r="AE64" i="52"/>
  <c r="C298" i="52"/>
  <c r="E298" i="52"/>
  <c r="N311" i="52"/>
  <c r="N51" i="52"/>
  <c r="N92" i="52" s="1"/>
  <c r="N93" i="52" s="1"/>
  <c r="F83" i="52"/>
  <c r="O88" i="52"/>
  <c r="O49" i="52"/>
  <c r="O90" i="52" s="1"/>
  <c r="K318" i="52" s="1"/>
  <c r="U11" i="52"/>
  <c r="Q70" i="52"/>
  <c r="Q71" i="52" s="1"/>
  <c r="Q42" i="52"/>
  <c r="P29" i="52"/>
  <c r="S22" i="52"/>
  <c r="F88" i="52"/>
  <c r="F49" i="52"/>
  <c r="K92" i="52" l="1"/>
  <c r="K93" i="52" s="1"/>
  <c r="J92" i="52"/>
  <c r="J93" i="52" s="1"/>
  <c r="G92" i="52"/>
  <c r="G93" i="52" s="1"/>
  <c r="I92" i="52"/>
  <c r="I93" i="52" s="1"/>
  <c r="P70" i="52"/>
  <c r="P42" i="52"/>
  <c r="S29" i="52"/>
  <c r="F90" i="52"/>
  <c r="Q47" i="52"/>
  <c r="Q82" i="52"/>
  <c r="Q83" i="52" s="1"/>
  <c r="O51" i="52"/>
  <c r="O92" i="52" s="1"/>
  <c r="O93" i="52" s="1"/>
  <c r="F51" i="52"/>
  <c r="F92" i="52" l="1"/>
  <c r="B318" i="52"/>
  <c r="P47" i="52"/>
  <c r="P82" i="52"/>
  <c r="S42" i="52"/>
  <c r="Q88" i="52"/>
  <c r="Q49" i="52"/>
  <c r="Q90" i="52" s="1"/>
  <c r="M318" i="52" s="1"/>
  <c r="P71" i="52"/>
  <c r="S70" i="52"/>
  <c r="Q51" i="52" l="1"/>
  <c r="Q92" i="52" s="1"/>
  <c r="Q93" i="52" s="1"/>
  <c r="F93" i="52"/>
  <c r="S71" i="52"/>
  <c r="AC69" i="52" s="1"/>
  <c r="AE69" i="52" s="1"/>
  <c r="AC68" i="52"/>
  <c r="AE68" i="52" s="1"/>
  <c r="P49" i="52"/>
  <c r="P51" i="52" s="1"/>
  <c r="P88" i="52"/>
  <c r="S88" i="52" s="1"/>
  <c r="AC86" i="52" s="1"/>
  <c r="AE86" i="52" s="1"/>
  <c r="S47" i="52"/>
  <c r="P83" i="52"/>
  <c r="S82" i="52"/>
  <c r="P92" i="52" l="1"/>
  <c r="S51" i="52"/>
  <c r="P90" i="52"/>
  <c r="S49" i="52"/>
  <c r="AC80" i="52"/>
  <c r="AE80" i="52" s="1"/>
  <c r="S83" i="52"/>
  <c r="AC81" i="52" s="1"/>
  <c r="AE81" i="52" s="1"/>
  <c r="P93" i="52" l="1"/>
  <c r="S92" i="52"/>
  <c r="L318" i="52"/>
  <c r="S90" i="52"/>
  <c r="AC88" i="52" s="1"/>
  <c r="AC90" i="52" l="1"/>
  <c r="S93" i="52"/>
  <c r="AC91" i="52" s="1"/>
  <c r="AE91" i="52" s="1"/>
  <c r="AE88" i="52"/>
  <c r="AI67" i="52"/>
  <c r="N318" i="52"/>
  <c r="AI68" i="52" l="1"/>
  <c r="AE90" i="52"/>
  <c r="Q136" i="25" l="1"/>
  <c r="P136" i="25"/>
  <c r="O136" i="25"/>
  <c r="N136" i="25"/>
  <c r="M136" i="25"/>
  <c r="L136" i="25"/>
  <c r="J136" i="25"/>
  <c r="E143" i="25"/>
  <c r="F143" i="25"/>
  <c r="F471" i="25" s="1"/>
  <c r="G143" i="25"/>
  <c r="G471" i="25" s="1"/>
  <c r="H143" i="25"/>
  <c r="H471" i="25" s="1"/>
  <c r="I143" i="25"/>
  <c r="I471" i="25" s="1"/>
  <c r="E142" i="25"/>
  <c r="F142" i="25"/>
  <c r="F470" i="25" s="1"/>
  <c r="G142" i="25"/>
  <c r="G470" i="25" s="1"/>
  <c r="H142" i="25"/>
  <c r="H470" i="25" s="1"/>
  <c r="I142" i="25"/>
  <c r="I470" i="25" s="1"/>
  <c r="M94" i="47"/>
  <c r="M95" i="47"/>
  <c r="E141" i="25"/>
  <c r="K467" i="25"/>
  <c r="L124" i="25"/>
  <c r="L171" i="25" s="1"/>
  <c r="L467" i="25" s="1"/>
  <c r="M124" i="25"/>
  <c r="M171" i="25" s="1"/>
  <c r="M467" i="25" s="1"/>
  <c r="N124" i="25"/>
  <c r="N171" i="25" s="1"/>
  <c r="N467" i="25" s="1"/>
  <c r="O124" i="25"/>
  <c r="O171" i="25" s="1"/>
  <c r="O467" i="25" s="1"/>
  <c r="P124" i="25"/>
  <c r="P171" i="25" s="1"/>
  <c r="P467" i="25" s="1"/>
  <c r="Q124" i="25"/>
  <c r="Q171" i="25" s="1"/>
  <c r="Q467" i="25" s="1"/>
  <c r="E32" i="25"/>
  <c r="C68" i="60" s="1"/>
  <c r="E94" i="25"/>
  <c r="E95" i="25" s="1"/>
  <c r="E88" i="25"/>
  <c r="E131" i="25" s="1"/>
  <c r="E89" i="25"/>
  <c r="E116" i="25" s="1"/>
  <c r="E90" i="25"/>
  <c r="E117" i="25" s="1"/>
  <c r="E91" i="25"/>
  <c r="F78" i="25"/>
  <c r="G78" i="25"/>
  <c r="H78" i="25"/>
  <c r="I78" i="25"/>
  <c r="I186" i="25" s="1"/>
  <c r="F79" i="25"/>
  <c r="G79" i="25"/>
  <c r="H79" i="25"/>
  <c r="I79" i="25"/>
  <c r="F80" i="25"/>
  <c r="G80" i="25"/>
  <c r="H80" i="25"/>
  <c r="I80" i="25"/>
  <c r="F81" i="25"/>
  <c r="G81" i="25"/>
  <c r="H81" i="25"/>
  <c r="I81" i="25"/>
  <c r="F83" i="25"/>
  <c r="G83" i="25"/>
  <c r="H83" i="25"/>
  <c r="I83" i="25"/>
  <c r="F84" i="25"/>
  <c r="G84" i="25"/>
  <c r="H84" i="25"/>
  <c r="I84" i="25"/>
  <c r="F89" i="25"/>
  <c r="F116" i="25" s="1"/>
  <c r="G89" i="25"/>
  <c r="G116" i="25" s="1"/>
  <c r="H89" i="25"/>
  <c r="H116" i="25" s="1"/>
  <c r="I89" i="25"/>
  <c r="I116" i="25" s="1"/>
  <c r="F94" i="25"/>
  <c r="F95" i="25" s="1"/>
  <c r="G94" i="25"/>
  <c r="G95" i="25" s="1"/>
  <c r="H94" i="25"/>
  <c r="H95" i="25" s="1"/>
  <c r="I94" i="25"/>
  <c r="F90" i="25"/>
  <c r="F117" i="25" s="1"/>
  <c r="G90" i="25"/>
  <c r="G117" i="25" s="1"/>
  <c r="H90" i="25"/>
  <c r="H117" i="25" s="1"/>
  <c r="I90" i="25"/>
  <c r="I117" i="25" s="1"/>
  <c r="F91" i="25"/>
  <c r="G91" i="25"/>
  <c r="H91" i="25"/>
  <c r="I91" i="25"/>
  <c r="M91" i="25" s="1"/>
  <c r="N91" i="25" s="1"/>
  <c r="O91" i="25" s="1"/>
  <c r="P91" i="25" s="1"/>
  <c r="Q91" i="25" s="1"/>
  <c r="S91" i="25" s="1"/>
  <c r="F88" i="25"/>
  <c r="F133" i="25" s="1"/>
  <c r="G88" i="25"/>
  <c r="G133" i="25" s="1"/>
  <c r="H88" i="25"/>
  <c r="H133" i="25" s="1"/>
  <c r="I88" i="25"/>
  <c r="F99" i="25"/>
  <c r="G99" i="25"/>
  <c r="H99" i="25"/>
  <c r="I99" i="25"/>
  <c r="F100" i="25"/>
  <c r="G100" i="25"/>
  <c r="H100" i="25"/>
  <c r="I100" i="25"/>
  <c r="E83" i="60" l="1"/>
  <c r="E82" i="60"/>
  <c r="E84" i="60"/>
  <c r="Z39" i="57"/>
  <c r="AA39" i="57"/>
  <c r="Y39" i="57"/>
  <c r="J178" i="25"/>
  <c r="J179" i="25" s="1"/>
  <c r="J180" i="25" s="1"/>
  <c r="AB22" i="57"/>
  <c r="N137" i="47"/>
  <c r="K185" i="25"/>
  <c r="K183" i="25"/>
  <c r="AD23" i="57" s="1"/>
  <c r="K184" i="25"/>
  <c r="J183" i="25"/>
  <c r="I133" i="25"/>
  <c r="J174" i="25"/>
  <c r="I473" i="25"/>
  <c r="I453" i="25"/>
  <c r="E144" i="25"/>
  <c r="I183" i="25"/>
  <c r="AB23" i="57" s="1"/>
  <c r="H183" i="25"/>
  <c r="AA23" i="57" s="1"/>
  <c r="G183" i="25"/>
  <c r="Z23" i="57" s="1"/>
  <c r="F183" i="25"/>
  <c r="Y23" i="57" s="1"/>
  <c r="E183" i="25"/>
  <c r="G118" i="25"/>
  <c r="Z108" i="57" s="1"/>
  <c r="H118" i="25"/>
  <c r="AA108" i="57" s="1"/>
  <c r="F118" i="25"/>
  <c r="Y108" i="57" s="1"/>
  <c r="I118" i="25"/>
  <c r="AB108" i="57" s="1"/>
  <c r="I212" i="25"/>
  <c r="AB75" i="57" s="1"/>
  <c r="H212" i="25"/>
  <c r="G212" i="25"/>
  <c r="E118" i="25"/>
  <c r="F212" i="25"/>
  <c r="E212" i="25"/>
  <c r="I211" i="25"/>
  <c r="H211" i="25"/>
  <c r="AA46" i="57" s="1"/>
  <c r="G211" i="25"/>
  <c r="Z46" i="57" s="1"/>
  <c r="F211" i="25"/>
  <c r="Y46" i="57" s="1"/>
  <c r="E211" i="25"/>
  <c r="S183" i="25"/>
  <c r="N183" i="25"/>
  <c r="AG23" i="57" s="1"/>
  <c r="O183" i="25"/>
  <c r="AH23" i="57" s="1"/>
  <c r="L183" i="25"/>
  <c r="AE23" i="57" s="1"/>
  <c r="Q183" i="25"/>
  <c r="AJ23" i="57" s="1"/>
  <c r="P183" i="25"/>
  <c r="AI23" i="57" s="1"/>
  <c r="M183" i="25"/>
  <c r="AF23" i="57" s="1"/>
  <c r="G164" i="25"/>
  <c r="F165" i="25"/>
  <c r="F464" i="25" s="1"/>
  <c r="I174" i="25"/>
  <c r="H174" i="25"/>
  <c r="G174" i="25"/>
  <c r="F174" i="25"/>
  <c r="E133" i="25"/>
  <c r="I95" i="25"/>
  <c r="E92" i="25"/>
  <c r="H131" i="25"/>
  <c r="G92" i="25"/>
  <c r="I131" i="25"/>
  <c r="H92" i="25"/>
  <c r="F92" i="25"/>
  <c r="G131" i="25"/>
  <c r="I92" i="25"/>
  <c r="AC23" i="57" l="1"/>
  <c r="Z47" i="57"/>
  <c r="Z75" i="57"/>
  <c r="AA47" i="57"/>
  <c r="AA75" i="57"/>
  <c r="Y47" i="57"/>
  <c r="Y75" i="57"/>
  <c r="J218" i="25"/>
  <c r="AB47" i="57"/>
  <c r="J217" i="25"/>
  <c r="AB46" i="57"/>
  <c r="J131" i="25"/>
  <c r="J137" i="25" s="1"/>
  <c r="J138" i="25" s="1"/>
  <c r="AC88" i="57" s="1"/>
  <c r="AB39" i="57"/>
  <c r="J184" i="25"/>
  <c r="J455" i="25"/>
  <c r="J185" i="25"/>
  <c r="J452" i="25"/>
  <c r="AC103" i="57" s="1"/>
  <c r="J456" i="25"/>
  <c r="J450" i="25"/>
  <c r="J451" i="25"/>
  <c r="F131" i="25"/>
  <c r="S131" i="25" s="1"/>
  <c r="G463" i="25"/>
  <c r="I456" i="25"/>
  <c r="I451" i="25"/>
  <c r="I452" i="25"/>
  <c r="AB103" i="57" s="1"/>
  <c r="I450" i="25"/>
  <c r="F141" i="25"/>
  <c r="F144" i="25" s="1"/>
  <c r="I218" i="25"/>
  <c r="I217" i="25"/>
  <c r="H218" i="25"/>
  <c r="H217" i="25"/>
  <c r="G218" i="25"/>
  <c r="G217" i="25"/>
  <c r="F218" i="25"/>
  <c r="F217" i="25"/>
  <c r="F96" i="25"/>
  <c r="E96" i="25"/>
  <c r="G96" i="25"/>
  <c r="H96" i="25"/>
  <c r="I96" i="25"/>
  <c r="Y41" i="57" l="1"/>
  <c r="Y71" i="57"/>
  <c r="Y40" i="57"/>
  <c r="F136" i="25"/>
  <c r="G141" i="25"/>
  <c r="G144" i="25" s="1"/>
  <c r="Z71" i="57" s="1"/>
  <c r="Z40" i="57" l="1"/>
  <c r="Z41" i="57"/>
  <c r="G136" i="25"/>
  <c r="H141" i="25"/>
  <c r="H144" i="25" s="1"/>
  <c r="AA71" i="57" s="1"/>
  <c r="L95" i="25"/>
  <c r="M94" i="25"/>
  <c r="AA40" i="57" l="1"/>
  <c r="AA41" i="57"/>
  <c r="H136" i="25"/>
  <c r="I141" i="25"/>
  <c r="I144" i="25" s="1"/>
  <c r="AB71" i="57" s="1"/>
  <c r="M95" i="25"/>
  <c r="N94" i="25"/>
  <c r="AB40" i="57" l="1"/>
  <c r="AB41" i="57"/>
  <c r="J141" i="25"/>
  <c r="I136" i="25"/>
  <c r="N95" i="25"/>
  <c r="O94" i="25"/>
  <c r="O95" i="25" l="1"/>
  <c r="P94" i="25"/>
  <c r="Q94" i="25" l="1"/>
  <c r="P95" i="25"/>
  <c r="Q95" i="25" l="1"/>
  <c r="S95" i="25" s="1"/>
  <c r="S94" i="25"/>
  <c r="F69" i="25" l="1"/>
  <c r="C132" i="47" l="1"/>
  <c r="F299" i="25"/>
  <c r="C101" i="47"/>
  <c r="C81" i="47"/>
  <c r="C80" i="47"/>
  <c r="O73" i="47"/>
  <c r="O72" i="47"/>
  <c r="O71" i="47"/>
  <c r="O69" i="47"/>
  <c r="O68" i="47"/>
  <c r="O66" i="47"/>
  <c r="O65" i="47"/>
  <c r="N67" i="47"/>
  <c r="M67" i="47"/>
  <c r="L67" i="47"/>
  <c r="K67" i="47"/>
  <c r="J67" i="47"/>
  <c r="I67" i="47"/>
  <c r="H67" i="47"/>
  <c r="G67" i="47"/>
  <c r="F67" i="47"/>
  <c r="E67" i="47"/>
  <c r="D67" i="47"/>
  <c r="C67" i="47"/>
  <c r="G180" i="43"/>
  <c r="C56" i="47"/>
  <c r="D56" i="47"/>
  <c r="E56" i="47"/>
  <c r="F56" i="47"/>
  <c r="F148" i="47" s="1"/>
  <c r="G56" i="47"/>
  <c r="G148" i="47" s="1"/>
  <c r="H56" i="47"/>
  <c r="H148" i="47" s="1"/>
  <c r="I56" i="47"/>
  <c r="I148" i="47" s="1"/>
  <c r="J56" i="47"/>
  <c r="J148" i="47" s="1"/>
  <c r="K56" i="47"/>
  <c r="K148" i="47" s="1"/>
  <c r="L56" i="47"/>
  <c r="L148" i="47" s="1"/>
  <c r="C57" i="47"/>
  <c r="D57" i="47"/>
  <c r="E57" i="47"/>
  <c r="F57" i="47"/>
  <c r="F149" i="47" s="1"/>
  <c r="G57" i="47"/>
  <c r="G149" i="47" s="1"/>
  <c r="H57" i="47"/>
  <c r="H149" i="47" s="1"/>
  <c r="I57" i="47"/>
  <c r="I149" i="47" s="1"/>
  <c r="J57" i="47"/>
  <c r="J149" i="47" s="1"/>
  <c r="K57" i="47"/>
  <c r="K149" i="47" s="1"/>
  <c r="L57" i="47"/>
  <c r="L149" i="47" s="1"/>
  <c r="M45" i="47"/>
  <c r="M137" i="47" s="1"/>
  <c r="C148" i="43"/>
  <c r="C95" i="43"/>
  <c r="C10" i="43"/>
  <c r="D148" i="47" l="1"/>
  <c r="C149" i="47"/>
  <c r="E148" i="47"/>
  <c r="C148" i="47"/>
  <c r="D149" i="47"/>
  <c r="E149" i="47"/>
  <c r="C100" i="47"/>
  <c r="N70" i="47"/>
  <c r="F70" i="47"/>
  <c r="G70" i="47"/>
  <c r="J70" i="47"/>
  <c r="D80" i="47"/>
  <c r="H70" i="47"/>
  <c r="K70" i="47"/>
  <c r="L70" i="47"/>
  <c r="C70" i="47"/>
  <c r="C82" i="47"/>
  <c r="I70" i="47"/>
  <c r="M70" i="47"/>
  <c r="D70" i="47"/>
  <c r="E70" i="47"/>
  <c r="C102" i="47"/>
  <c r="D81" i="47"/>
  <c r="O67" i="47"/>
  <c r="C104" i="47" l="1"/>
  <c r="C12" i="47"/>
  <c r="O70" i="47"/>
  <c r="H74" i="47"/>
  <c r="E80" i="47"/>
  <c r="I74" i="47"/>
  <c r="L74" i="47"/>
  <c r="E74" i="47"/>
  <c r="C83" i="47"/>
  <c r="F74" i="47"/>
  <c r="K74" i="47"/>
  <c r="E81" i="47"/>
  <c r="M74" i="47"/>
  <c r="D74" i="47"/>
  <c r="J74" i="47"/>
  <c r="G74" i="47"/>
  <c r="C74" i="47"/>
  <c r="N74" i="47"/>
  <c r="C103" i="47"/>
  <c r="D82" i="47"/>
  <c r="F81" i="47" l="1"/>
  <c r="F80" i="47"/>
  <c r="C105" i="47"/>
  <c r="O74" i="47"/>
  <c r="E82" i="47"/>
  <c r="C13" i="47"/>
  <c r="D83" i="47"/>
  <c r="F82" i="47" l="1"/>
  <c r="E83" i="47"/>
  <c r="I126" i="25"/>
  <c r="J123" i="25" s="1"/>
  <c r="I155" i="25"/>
  <c r="I149" i="25"/>
  <c r="J147" i="25" s="1"/>
  <c r="J152" i="25" l="1"/>
  <c r="F83" i="47"/>
  <c r="H210" i="25" l="1"/>
  <c r="G210" i="25"/>
  <c r="G69" i="25"/>
  <c r="H69" i="25"/>
  <c r="I69" i="25"/>
  <c r="F60" i="25"/>
  <c r="G60" i="25"/>
  <c r="G290" i="25" s="1"/>
  <c r="H60" i="25"/>
  <c r="H290" i="25" s="1"/>
  <c r="I60" i="25"/>
  <c r="I290" i="25" s="1"/>
  <c r="F11" i="25"/>
  <c r="G11" i="25"/>
  <c r="H11" i="25"/>
  <c r="I11" i="25"/>
  <c r="F12" i="25"/>
  <c r="G12" i="25"/>
  <c r="H12" i="25"/>
  <c r="I12" i="25"/>
  <c r="F13" i="25"/>
  <c r="G13" i="25"/>
  <c r="H13" i="25"/>
  <c r="I13" i="25"/>
  <c r="F14" i="25"/>
  <c r="G14" i="25"/>
  <c r="H14" i="25"/>
  <c r="I14" i="25"/>
  <c r="C132" i="7"/>
  <c r="D132" i="7"/>
  <c r="E132" i="7"/>
  <c r="F132" i="7"/>
  <c r="F137" i="7" s="1"/>
  <c r="F144" i="7" s="1"/>
  <c r="G132" i="7"/>
  <c r="C146" i="7"/>
  <c r="D146" i="7"/>
  <c r="C166" i="7" s="1"/>
  <c r="E146" i="7"/>
  <c r="F146" i="7"/>
  <c r="H15" i="25" s="1"/>
  <c r="G146" i="7"/>
  <c r="C150" i="7"/>
  <c r="D150" i="7"/>
  <c r="E150" i="7"/>
  <c r="F150" i="7"/>
  <c r="G150" i="7"/>
  <c r="B23" i="25"/>
  <c r="B22" i="25"/>
  <c r="B21" i="25"/>
  <c r="G20" i="25"/>
  <c r="H20" i="25"/>
  <c r="I20" i="25"/>
  <c r="J20" i="25"/>
  <c r="L20" i="25"/>
  <c r="M20" i="25"/>
  <c r="N20" i="25"/>
  <c r="O20" i="25"/>
  <c r="P20" i="25"/>
  <c r="Q20" i="25"/>
  <c r="F20" i="25"/>
  <c r="B206" i="43"/>
  <c r="C206" i="43"/>
  <c r="G206" i="43"/>
  <c r="H206" i="43"/>
  <c r="I206" i="43"/>
  <c r="J206" i="43"/>
  <c r="K206" i="43"/>
  <c r="L206" i="43"/>
  <c r="M206" i="43"/>
  <c r="N206" i="43"/>
  <c r="O206" i="43"/>
  <c r="B207" i="43"/>
  <c r="C207" i="43"/>
  <c r="D207" i="43"/>
  <c r="E207" i="43"/>
  <c r="F207" i="43"/>
  <c r="B208" i="43"/>
  <c r="C208" i="43"/>
  <c r="B209" i="43"/>
  <c r="C209" i="43"/>
  <c r="D209" i="43"/>
  <c r="E209" i="43"/>
  <c r="F209" i="43"/>
  <c r="B210" i="43"/>
  <c r="C210" i="43"/>
  <c r="D210" i="43"/>
  <c r="E210" i="43"/>
  <c r="F210" i="43"/>
  <c r="B211" i="43"/>
  <c r="C211" i="43"/>
  <c r="D211" i="43"/>
  <c r="E211" i="43"/>
  <c r="F211" i="43"/>
  <c r="B212" i="43"/>
  <c r="C212" i="43"/>
  <c r="D212" i="43"/>
  <c r="E212" i="43"/>
  <c r="F212" i="43"/>
  <c r="B213" i="43"/>
  <c r="C213" i="43"/>
  <c r="D213" i="43"/>
  <c r="E213" i="43"/>
  <c r="F213" i="43"/>
  <c r="B214" i="43"/>
  <c r="C214" i="43"/>
  <c r="D214" i="43"/>
  <c r="E214" i="43"/>
  <c r="F214" i="43"/>
  <c r="B215" i="43"/>
  <c r="C215" i="43"/>
  <c r="B216" i="43"/>
  <c r="C216" i="43"/>
  <c r="D216" i="43"/>
  <c r="E216" i="43"/>
  <c r="F216" i="43"/>
  <c r="G216" i="43"/>
  <c r="H216" i="43"/>
  <c r="B217" i="43"/>
  <c r="C217" i="43"/>
  <c r="D217" i="43"/>
  <c r="E217" i="43"/>
  <c r="F217" i="43"/>
  <c r="G217" i="43"/>
  <c r="H217" i="43"/>
  <c r="B218" i="43"/>
  <c r="C218" i="43"/>
  <c r="D218" i="43"/>
  <c r="E218" i="43"/>
  <c r="F218" i="43"/>
  <c r="G218" i="43"/>
  <c r="H218" i="43"/>
  <c r="B219" i="43"/>
  <c r="C219" i="43"/>
  <c r="D219" i="43"/>
  <c r="E219" i="43"/>
  <c r="F219" i="43"/>
  <c r="G219" i="43"/>
  <c r="H219" i="43"/>
  <c r="B220" i="43"/>
  <c r="C220" i="43"/>
  <c r="B221" i="43"/>
  <c r="C221" i="43"/>
  <c r="D221" i="43"/>
  <c r="E221" i="43"/>
  <c r="F221" i="43"/>
  <c r="B222" i="43"/>
  <c r="C222" i="43"/>
  <c r="D222" i="43"/>
  <c r="E222" i="43"/>
  <c r="F222" i="43"/>
  <c r="B223" i="43"/>
  <c r="C223" i="43"/>
  <c r="D223" i="43"/>
  <c r="E223" i="43"/>
  <c r="F223" i="43"/>
  <c r="B224" i="43"/>
  <c r="C224" i="43"/>
  <c r="B225" i="43"/>
  <c r="C225" i="43"/>
  <c r="B226" i="43"/>
  <c r="C226" i="43"/>
  <c r="D226" i="43"/>
  <c r="E226" i="43"/>
  <c r="F226" i="43"/>
  <c r="B227" i="43"/>
  <c r="C227" i="43"/>
  <c r="D227" i="43"/>
  <c r="E227" i="43"/>
  <c r="F227" i="43"/>
  <c r="B228" i="43"/>
  <c r="C228" i="43"/>
  <c r="D180" i="43"/>
  <c r="E180" i="43"/>
  <c r="E206" i="43" s="1"/>
  <c r="F180" i="43"/>
  <c r="F206" i="43" s="1"/>
  <c r="H181" i="43"/>
  <c r="H207" i="43" s="1"/>
  <c r="I181" i="43"/>
  <c r="I207" i="43" s="1"/>
  <c r="J181" i="43"/>
  <c r="J207" i="43" s="1"/>
  <c r="K181" i="43"/>
  <c r="K207" i="43" s="1"/>
  <c r="L181" i="43"/>
  <c r="L207" i="43" s="1"/>
  <c r="M181" i="43"/>
  <c r="M207" i="43" s="1"/>
  <c r="N181" i="43"/>
  <c r="N207" i="43" s="1"/>
  <c r="O181" i="43"/>
  <c r="O207" i="43" s="1"/>
  <c r="D182" i="43"/>
  <c r="D208" i="43" s="1"/>
  <c r="E182" i="43"/>
  <c r="E208" i="43" s="1"/>
  <c r="F182" i="43"/>
  <c r="F208" i="43" s="1"/>
  <c r="H183" i="43"/>
  <c r="H209" i="43" s="1"/>
  <c r="I183" i="43"/>
  <c r="I209" i="43" s="1"/>
  <c r="J183" i="43"/>
  <c r="J209" i="43" s="1"/>
  <c r="K183" i="43"/>
  <c r="K209" i="43" s="1"/>
  <c r="L183" i="43"/>
  <c r="L209" i="43" s="1"/>
  <c r="M183" i="43"/>
  <c r="M209" i="43" s="1"/>
  <c r="N183" i="43"/>
  <c r="N209" i="43" s="1"/>
  <c r="O183" i="43"/>
  <c r="O209" i="43" s="1"/>
  <c r="H184" i="43"/>
  <c r="H210" i="43" s="1"/>
  <c r="I184" i="43"/>
  <c r="I210" i="43" s="1"/>
  <c r="J184" i="43"/>
  <c r="J210" i="43" s="1"/>
  <c r="K184" i="43"/>
  <c r="K210" i="43" s="1"/>
  <c r="L184" i="43"/>
  <c r="L210" i="43" s="1"/>
  <c r="M184" i="43"/>
  <c r="M210" i="43" s="1"/>
  <c r="N184" i="43"/>
  <c r="N210" i="43" s="1"/>
  <c r="O184" i="43"/>
  <c r="O210" i="43" s="1"/>
  <c r="H185" i="43"/>
  <c r="H211" i="43" s="1"/>
  <c r="I185" i="43"/>
  <c r="I211" i="43" s="1"/>
  <c r="J185" i="43"/>
  <c r="J211" i="43" s="1"/>
  <c r="K185" i="43"/>
  <c r="K211" i="43" s="1"/>
  <c r="L185" i="43"/>
  <c r="L211" i="43" s="1"/>
  <c r="M185" i="43"/>
  <c r="M211" i="43" s="1"/>
  <c r="N185" i="43"/>
  <c r="N211" i="43" s="1"/>
  <c r="O185" i="43"/>
  <c r="O211" i="43" s="1"/>
  <c r="G212" i="43"/>
  <c r="H186" i="43"/>
  <c r="H212" i="43" s="1"/>
  <c r="I186" i="43"/>
  <c r="I212" i="43" s="1"/>
  <c r="J186" i="43"/>
  <c r="J212" i="43" s="1"/>
  <c r="K186" i="43"/>
  <c r="K212" i="43" s="1"/>
  <c r="L186" i="43"/>
  <c r="L212" i="43" s="1"/>
  <c r="M186" i="43"/>
  <c r="M212" i="43" s="1"/>
  <c r="N186" i="43"/>
  <c r="N212" i="43" s="1"/>
  <c r="O186" i="43"/>
  <c r="O212" i="43" s="1"/>
  <c r="H187" i="43"/>
  <c r="H213" i="43" s="1"/>
  <c r="I187" i="43"/>
  <c r="I213" i="43" s="1"/>
  <c r="J187" i="43"/>
  <c r="J213" i="43" s="1"/>
  <c r="K187" i="43"/>
  <c r="K213" i="43" s="1"/>
  <c r="L187" i="43"/>
  <c r="L213" i="43" s="1"/>
  <c r="M187" i="43"/>
  <c r="M213" i="43" s="1"/>
  <c r="N187" i="43"/>
  <c r="N213" i="43" s="1"/>
  <c r="O187" i="43"/>
  <c r="O213" i="43" s="1"/>
  <c r="G214" i="43"/>
  <c r="H188" i="43"/>
  <c r="H214" i="43" s="1"/>
  <c r="I188" i="43"/>
  <c r="I214" i="43" s="1"/>
  <c r="J188" i="43"/>
  <c r="J214" i="43" s="1"/>
  <c r="K188" i="43"/>
  <c r="K214" i="43" s="1"/>
  <c r="L188" i="43"/>
  <c r="L214" i="43" s="1"/>
  <c r="M188" i="43"/>
  <c r="M214" i="43" s="1"/>
  <c r="N188" i="43"/>
  <c r="N214" i="43" s="1"/>
  <c r="O188" i="43"/>
  <c r="O214" i="43" s="1"/>
  <c r="D189" i="43"/>
  <c r="D215" i="43" s="1"/>
  <c r="E189" i="43"/>
  <c r="E215" i="43" s="1"/>
  <c r="F189" i="43"/>
  <c r="F215" i="43" s="1"/>
  <c r="G189" i="43"/>
  <c r="G215" i="43" s="1"/>
  <c r="H189" i="43"/>
  <c r="H215" i="43" s="1"/>
  <c r="I190" i="43"/>
  <c r="I216" i="43" s="1"/>
  <c r="J190" i="43"/>
  <c r="J216" i="43" s="1"/>
  <c r="K190" i="43"/>
  <c r="K216" i="43" s="1"/>
  <c r="L190" i="43"/>
  <c r="L216" i="43" s="1"/>
  <c r="M190" i="43"/>
  <c r="M216" i="43" s="1"/>
  <c r="N190" i="43"/>
  <c r="N216" i="43" s="1"/>
  <c r="O190" i="43"/>
  <c r="O216" i="43" s="1"/>
  <c r="I191" i="43"/>
  <c r="I217" i="43" s="1"/>
  <c r="J191" i="43"/>
  <c r="J217" i="43" s="1"/>
  <c r="K191" i="43"/>
  <c r="L191" i="43"/>
  <c r="L217" i="43" s="1"/>
  <c r="M191" i="43"/>
  <c r="M217" i="43" s="1"/>
  <c r="N191" i="43"/>
  <c r="N217" i="43" s="1"/>
  <c r="O191" i="43"/>
  <c r="I192" i="43"/>
  <c r="I218" i="43" s="1"/>
  <c r="J192" i="43"/>
  <c r="J218" i="43" s="1"/>
  <c r="K192" i="43"/>
  <c r="K218" i="43" s="1"/>
  <c r="L192" i="43"/>
  <c r="L218" i="43" s="1"/>
  <c r="M192" i="43"/>
  <c r="M218" i="43" s="1"/>
  <c r="N192" i="43"/>
  <c r="N218" i="43" s="1"/>
  <c r="O192" i="43"/>
  <c r="O218" i="43" s="1"/>
  <c r="I193" i="43"/>
  <c r="I219" i="43" s="1"/>
  <c r="J193" i="43"/>
  <c r="K193" i="43"/>
  <c r="K219" i="43" s="1"/>
  <c r="L193" i="43"/>
  <c r="L219" i="43" s="1"/>
  <c r="M193" i="43"/>
  <c r="M219" i="43" s="1"/>
  <c r="N193" i="43"/>
  <c r="N219" i="43" s="1"/>
  <c r="O193" i="43"/>
  <c r="O219" i="43" s="1"/>
  <c r="D194" i="43"/>
  <c r="D220" i="43" s="1"/>
  <c r="E194" i="43"/>
  <c r="E220" i="43" s="1"/>
  <c r="F194" i="43"/>
  <c r="F220" i="43" s="1"/>
  <c r="G221" i="43"/>
  <c r="H195" i="43"/>
  <c r="H221" i="43" s="1"/>
  <c r="I195" i="43"/>
  <c r="I221" i="43" s="1"/>
  <c r="J195" i="43"/>
  <c r="J221" i="43" s="1"/>
  <c r="K195" i="43"/>
  <c r="K221" i="43" s="1"/>
  <c r="L195" i="43"/>
  <c r="L221" i="43" s="1"/>
  <c r="M195" i="43"/>
  <c r="M221" i="43" s="1"/>
  <c r="N195" i="43"/>
  <c r="N221" i="43" s="1"/>
  <c r="O195" i="43"/>
  <c r="O221" i="43" s="1"/>
  <c r="H196" i="43"/>
  <c r="H222" i="43" s="1"/>
  <c r="I196" i="43"/>
  <c r="I222" i="43" s="1"/>
  <c r="J196" i="43"/>
  <c r="J222" i="43" s="1"/>
  <c r="K196" i="43"/>
  <c r="K222" i="43" s="1"/>
  <c r="L196" i="43"/>
  <c r="L222" i="43" s="1"/>
  <c r="M196" i="43"/>
  <c r="M222" i="43" s="1"/>
  <c r="N196" i="43"/>
  <c r="N222" i="43" s="1"/>
  <c r="O196" i="43"/>
  <c r="O222" i="43" s="1"/>
  <c r="H197" i="43"/>
  <c r="H223" i="43" s="1"/>
  <c r="I197" i="43"/>
  <c r="I223" i="43" s="1"/>
  <c r="J197" i="43"/>
  <c r="J223" i="43" s="1"/>
  <c r="K197" i="43"/>
  <c r="K223" i="43" s="1"/>
  <c r="L197" i="43"/>
  <c r="L223" i="43" s="1"/>
  <c r="M197" i="43"/>
  <c r="M223" i="43" s="1"/>
  <c r="N197" i="43"/>
  <c r="N223" i="43" s="1"/>
  <c r="O197" i="43"/>
  <c r="O223" i="43" s="1"/>
  <c r="D198" i="43"/>
  <c r="D224" i="43" s="1"/>
  <c r="E198" i="43"/>
  <c r="E224" i="43" s="1"/>
  <c r="F198" i="43"/>
  <c r="F224" i="43" s="1"/>
  <c r="G198" i="43"/>
  <c r="G224" i="43" s="1"/>
  <c r="H198" i="43"/>
  <c r="H224" i="43" s="1"/>
  <c r="D199" i="43"/>
  <c r="D225" i="43" s="1"/>
  <c r="E199" i="43"/>
  <c r="E225" i="43" s="1"/>
  <c r="F199" i="43"/>
  <c r="F225" i="43" s="1"/>
  <c r="G199" i="43"/>
  <c r="G225" i="43" s="1"/>
  <c r="I199" i="43"/>
  <c r="I225" i="43" s="1"/>
  <c r="J199" i="43"/>
  <c r="J225" i="43" s="1"/>
  <c r="K199" i="43"/>
  <c r="K225" i="43" s="1"/>
  <c r="L199" i="43"/>
  <c r="L225" i="43" s="1"/>
  <c r="M199" i="43"/>
  <c r="M225" i="43" s="1"/>
  <c r="N199" i="43"/>
  <c r="N225" i="43" s="1"/>
  <c r="O199" i="43"/>
  <c r="O225" i="43" s="1"/>
  <c r="H200" i="43"/>
  <c r="H226" i="43" s="1"/>
  <c r="I200" i="43"/>
  <c r="I226" i="43" s="1"/>
  <c r="J200" i="43"/>
  <c r="J226" i="43" s="1"/>
  <c r="K200" i="43"/>
  <c r="K226" i="43" s="1"/>
  <c r="L200" i="43"/>
  <c r="L226" i="43" s="1"/>
  <c r="M200" i="43"/>
  <c r="M226" i="43" s="1"/>
  <c r="N200" i="43"/>
  <c r="N226" i="43" s="1"/>
  <c r="O200" i="43"/>
  <c r="O226" i="43" s="1"/>
  <c r="H201" i="43"/>
  <c r="H227" i="43" s="1"/>
  <c r="I201" i="43"/>
  <c r="I227" i="43" s="1"/>
  <c r="J201" i="43"/>
  <c r="J227" i="43" s="1"/>
  <c r="K201" i="43"/>
  <c r="K227" i="43" s="1"/>
  <c r="L201" i="43"/>
  <c r="L227" i="43" s="1"/>
  <c r="M201" i="43"/>
  <c r="M227" i="43" s="1"/>
  <c r="N201" i="43"/>
  <c r="N227" i="43" s="1"/>
  <c r="O201" i="43"/>
  <c r="O227" i="43" s="1"/>
  <c r="P118" i="43"/>
  <c r="P119" i="43"/>
  <c r="D110" i="43"/>
  <c r="E110" i="43"/>
  <c r="E122" i="43" s="1"/>
  <c r="F110" i="43"/>
  <c r="G111" i="43"/>
  <c r="H111" i="43"/>
  <c r="I111" i="43"/>
  <c r="J111" i="43"/>
  <c r="K111" i="43"/>
  <c r="L111" i="43"/>
  <c r="M111" i="43"/>
  <c r="N111" i="43"/>
  <c r="O111" i="43"/>
  <c r="I112" i="43"/>
  <c r="I198" i="43" s="1"/>
  <c r="I224" i="43" s="1"/>
  <c r="J112" i="43"/>
  <c r="K112" i="43"/>
  <c r="L112" i="43"/>
  <c r="M112" i="43"/>
  <c r="N112" i="43"/>
  <c r="N198" i="43" s="1"/>
  <c r="N224" i="43" s="1"/>
  <c r="O112" i="43"/>
  <c r="O198" i="43" s="1"/>
  <c r="O224" i="43" s="1"/>
  <c r="H113" i="43"/>
  <c r="G114" i="43"/>
  <c r="H114" i="43"/>
  <c r="I114" i="43"/>
  <c r="J114" i="43"/>
  <c r="K114" i="43"/>
  <c r="L114" i="43"/>
  <c r="M114" i="43"/>
  <c r="N114" i="43"/>
  <c r="O114" i="43"/>
  <c r="G115" i="43"/>
  <c r="H115" i="43"/>
  <c r="I115" i="43"/>
  <c r="J115" i="43"/>
  <c r="K115" i="43"/>
  <c r="L115" i="43"/>
  <c r="M115" i="43"/>
  <c r="N115" i="43"/>
  <c r="O115" i="43"/>
  <c r="G116" i="43"/>
  <c r="H116" i="43"/>
  <c r="I116" i="43"/>
  <c r="J116" i="43"/>
  <c r="K116" i="43"/>
  <c r="L116" i="43"/>
  <c r="G117" i="43"/>
  <c r="H117" i="43"/>
  <c r="I117" i="43"/>
  <c r="J117" i="43"/>
  <c r="K117" i="43"/>
  <c r="L117" i="43"/>
  <c r="H120" i="43"/>
  <c r="I120" i="43"/>
  <c r="J120" i="43"/>
  <c r="K120" i="43"/>
  <c r="L120" i="43"/>
  <c r="M120" i="43"/>
  <c r="N120" i="43"/>
  <c r="O120" i="43"/>
  <c r="J121" i="43"/>
  <c r="K121" i="43"/>
  <c r="L121" i="43"/>
  <c r="M121" i="43"/>
  <c r="N121" i="43"/>
  <c r="O121" i="43"/>
  <c r="C171" i="43"/>
  <c r="C166" i="43"/>
  <c r="C160" i="43"/>
  <c r="C32" i="43"/>
  <c r="C27" i="43"/>
  <c r="C21" i="43"/>
  <c r="G62" i="43"/>
  <c r="H62" i="43"/>
  <c r="I62" i="43"/>
  <c r="J62" i="43"/>
  <c r="K62" i="43"/>
  <c r="L62" i="43"/>
  <c r="M62" i="43"/>
  <c r="N62" i="43"/>
  <c r="O62" i="43"/>
  <c r="G61" i="43"/>
  <c r="H61" i="43"/>
  <c r="I61" i="43"/>
  <c r="J61" i="43"/>
  <c r="K61" i="43"/>
  <c r="L61" i="43"/>
  <c r="M61" i="43"/>
  <c r="N61" i="43"/>
  <c r="O61" i="43"/>
  <c r="G60" i="43"/>
  <c r="H60" i="43"/>
  <c r="I60" i="43"/>
  <c r="J60" i="43"/>
  <c r="K60" i="43"/>
  <c r="L60" i="43"/>
  <c r="M60" i="43"/>
  <c r="N60" i="43"/>
  <c r="O60" i="43"/>
  <c r="G59" i="43"/>
  <c r="H59" i="43"/>
  <c r="I59" i="43"/>
  <c r="J59" i="43"/>
  <c r="K59" i="43"/>
  <c r="L59" i="43"/>
  <c r="M59" i="43"/>
  <c r="N59" i="43"/>
  <c r="O59" i="43"/>
  <c r="G58" i="43"/>
  <c r="H58" i="43"/>
  <c r="I58" i="43"/>
  <c r="J58" i="43"/>
  <c r="K58" i="43"/>
  <c r="L58" i="43"/>
  <c r="M58" i="43"/>
  <c r="N58" i="43"/>
  <c r="O58" i="43"/>
  <c r="G57" i="43"/>
  <c r="H57" i="43"/>
  <c r="I57" i="43"/>
  <c r="J57" i="43"/>
  <c r="K57" i="43"/>
  <c r="L57" i="43"/>
  <c r="M57" i="43"/>
  <c r="N57" i="43"/>
  <c r="O57" i="43"/>
  <c r="D56" i="43"/>
  <c r="E56" i="43"/>
  <c r="F56" i="43"/>
  <c r="I55" i="43"/>
  <c r="J55" i="43"/>
  <c r="K55" i="43"/>
  <c r="L55" i="43"/>
  <c r="M55" i="43"/>
  <c r="N55" i="43"/>
  <c r="O55" i="43"/>
  <c r="I54" i="43"/>
  <c r="J54" i="43"/>
  <c r="K54" i="43"/>
  <c r="L54" i="43"/>
  <c r="M54" i="43"/>
  <c r="N54" i="43"/>
  <c r="O54" i="43"/>
  <c r="I53" i="43"/>
  <c r="J53" i="43"/>
  <c r="K53" i="43"/>
  <c r="L53" i="43"/>
  <c r="M53" i="43"/>
  <c r="N53" i="43"/>
  <c r="O53" i="43"/>
  <c r="I52" i="43"/>
  <c r="J52" i="43"/>
  <c r="K52" i="43"/>
  <c r="L52" i="43"/>
  <c r="M52" i="43"/>
  <c r="N52" i="43"/>
  <c r="O52" i="43"/>
  <c r="D51" i="43"/>
  <c r="E51" i="43"/>
  <c r="F51" i="43"/>
  <c r="G51" i="43"/>
  <c r="H51" i="43"/>
  <c r="G50" i="43"/>
  <c r="H50" i="43"/>
  <c r="I50" i="43"/>
  <c r="J50" i="43"/>
  <c r="K50" i="43"/>
  <c r="L50" i="43"/>
  <c r="M50" i="43"/>
  <c r="N50" i="43"/>
  <c r="O50" i="43"/>
  <c r="G49" i="43"/>
  <c r="H49" i="43"/>
  <c r="I49" i="43"/>
  <c r="J49" i="43"/>
  <c r="K49" i="43"/>
  <c r="L49" i="43"/>
  <c r="M49" i="43"/>
  <c r="N49" i="43"/>
  <c r="O49" i="43"/>
  <c r="G48" i="43"/>
  <c r="H48" i="43"/>
  <c r="I48" i="43"/>
  <c r="J48" i="43"/>
  <c r="K48" i="43"/>
  <c r="L48" i="43"/>
  <c r="M48" i="43"/>
  <c r="N48" i="43"/>
  <c r="O48" i="43"/>
  <c r="G47" i="43"/>
  <c r="H47" i="43"/>
  <c r="I47" i="43"/>
  <c r="J47" i="43"/>
  <c r="K47" i="43"/>
  <c r="L47" i="43"/>
  <c r="M47" i="43"/>
  <c r="N47" i="43"/>
  <c r="O47" i="43"/>
  <c r="G46" i="43"/>
  <c r="H46" i="43"/>
  <c r="I46" i="43"/>
  <c r="J46" i="43"/>
  <c r="K46" i="43"/>
  <c r="L46" i="43"/>
  <c r="M46" i="43"/>
  <c r="N46" i="43"/>
  <c r="O46" i="43"/>
  <c r="G45" i="43"/>
  <c r="H45" i="43"/>
  <c r="I45" i="43"/>
  <c r="J45" i="43"/>
  <c r="K45" i="43"/>
  <c r="L45" i="43"/>
  <c r="M45" i="43"/>
  <c r="N45" i="43"/>
  <c r="O45" i="43"/>
  <c r="D44" i="43"/>
  <c r="E44" i="43"/>
  <c r="F44" i="43"/>
  <c r="G43" i="43"/>
  <c r="H43" i="43"/>
  <c r="I43" i="43"/>
  <c r="J43" i="43"/>
  <c r="K43" i="43"/>
  <c r="L43" i="43"/>
  <c r="M43" i="43"/>
  <c r="N43" i="43"/>
  <c r="O43" i="43"/>
  <c r="D42" i="43"/>
  <c r="E42" i="43"/>
  <c r="F42" i="43"/>
  <c r="G209" i="25"/>
  <c r="H209" i="25"/>
  <c r="I209" i="25"/>
  <c r="J209" i="25"/>
  <c r="K209" i="25"/>
  <c r="L209" i="25"/>
  <c r="M209" i="25"/>
  <c r="N209" i="25"/>
  <c r="O209" i="25"/>
  <c r="P209" i="25"/>
  <c r="Q209" i="25"/>
  <c r="F209" i="25"/>
  <c r="E209" i="25"/>
  <c r="C167" i="7" l="1"/>
  <c r="I299" i="25"/>
  <c r="H299" i="25"/>
  <c r="E166" i="7"/>
  <c r="F166" i="7" s="1"/>
  <c r="G213" i="25"/>
  <c r="Z45" i="57"/>
  <c r="H213" i="25"/>
  <c r="AA45" i="57"/>
  <c r="D132" i="47"/>
  <c r="G299" i="25"/>
  <c r="F167" i="25"/>
  <c r="F462" i="25" s="1"/>
  <c r="F290" i="25"/>
  <c r="F132" i="47"/>
  <c r="E132" i="47"/>
  <c r="I15" i="25"/>
  <c r="G137" i="7"/>
  <c r="G144" i="7" s="1"/>
  <c r="I16" i="25"/>
  <c r="H16" i="25"/>
  <c r="G16" i="25"/>
  <c r="G15" i="25"/>
  <c r="F15" i="25"/>
  <c r="G10" i="25"/>
  <c r="G23" i="25" s="1"/>
  <c r="Z29" i="57" s="1"/>
  <c r="F16" i="25"/>
  <c r="F65" i="25" s="1"/>
  <c r="C137" i="7"/>
  <c r="F210" i="25"/>
  <c r="E54" i="47"/>
  <c r="E146" i="47" s="1"/>
  <c r="N51" i="47"/>
  <c r="N143" i="47" s="1"/>
  <c r="D51" i="47"/>
  <c r="D143" i="47" s="1"/>
  <c r="D49" i="47"/>
  <c r="D141" i="47" s="1"/>
  <c r="D54" i="47"/>
  <c r="D146" i="47" s="1"/>
  <c r="M51" i="47"/>
  <c r="M143" i="47" s="1"/>
  <c r="C51" i="47"/>
  <c r="C143" i="47" s="1"/>
  <c r="C49" i="47"/>
  <c r="C141" i="47" s="1"/>
  <c r="F40" i="47"/>
  <c r="C54" i="47"/>
  <c r="C146" i="47" s="1"/>
  <c r="L51" i="47"/>
  <c r="L143" i="47" s="1"/>
  <c r="E50" i="47"/>
  <c r="E142" i="47" s="1"/>
  <c r="E40" i="47"/>
  <c r="N54" i="47"/>
  <c r="N146" i="47" s="1"/>
  <c r="M57" i="47"/>
  <c r="M149" i="47" s="1"/>
  <c r="M55" i="47"/>
  <c r="M147" i="47" s="1"/>
  <c r="J51" i="47"/>
  <c r="J143" i="47" s="1"/>
  <c r="C50" i="47"/>
  <c r="C142" i="47" s="1"/>
  <c r="N48" i="47"/>
  <c r="N140" i="47" s="1"/>
  <c r="C40" i="47"/>
  <c r="N57" i="47"/>
  <c r="N149" i="47" s="1"/>
  <c r="M54" i="47"/>
  <c r="M146" i="47" s="1"/>
  <c r="L55" i="47"/>
  <c r="L147" i="47" s="1"/>
  <c r="I51" i="47"/>
  <c r="I143" i="47" s="1"/>
  <c r="N49" i="47"/>
  <c r="N141" i="47" s="1"/>
  <c r="M48" i="47"/>
  <c r="M140" i="47" s="1"/>
  <c r="K55" i="47"/>
  <c r="K147" i="47" s="1"/>
  <c r="H51" i="47"/>
  <c r="H143" i="47" s="1"/>
  <c r="M49" i="47"/>
  <c r="M141" i="47" s="1"/>
  <c r="L48" i="47"/>
  <c r="L140" i="47" s="1"/>
  <c r="N55" i="47"/>
  <c r="N147" i="47" s="1"/>
  <c r="J55" i="47"/>
  <c r="J147" i="47" s="1"/>
  <c r="G51" i="47"/>
  <c r="G143" i="47" s="1"/>
  <c r="L49" i="47"/>
  <c r="L141" i="47" s="1"/>
  <c r="K48" i="47"/>
  <c r="K140" i="47" s="1"/>
  <c r="D40" i="47"/>
  <c r="I55" i="47"/>
  <c r="I147" i="47" s="1"/>
  <c r="F51" i="47"/>
  <c r="F143" i="47" s="1"/>
  <c r="K49" i="47"/>
  <c r="K141" i="47" s="1"/>
  <c r="J48" i="47"/>
  <c r="J140" i="47" s="1"/>
  <c r="H55" i="47"/>
  <c r="H147" i="47" s="1"/>
  <c r="J49" i="47"/>
  <c r="J141" i="47" s="1"/>
  <c r="I48" i="47"/>
  <c r="I140" i="47" s="1"/>
  <c r="H54" i="47"/>
  <c r="H146" i="47" s="1"/>
  <c r="F55" i="47"/>
  <c r="F147" i="47" s="1"/>
  <c r="I49" i="47"/>
  <c r="I141" i="47" s="1"/>
  <c r="H48" i="47"/>
  <c r="H140" i="47" s="1"/>
  <c r="N56" i="47"/>
  <c r="N148" i="47" s="1"/>
  <c r="E55" i="47"/>
  <c r="G52" i="47"/>
  <c r="G144" i="47" s="1"/>
  <c r="H49" i="47"/>
  <c r="H141" i="47" s="1"/>
  <c r="G48" i="47"/>
  <c r="G140" i="47" s="1"/>
  <c r="D50" i="47"/>
  <c r="D142" i="47" s="1"/>
  <c r="M56" i="47"/>
  <c r="M148" i="47" s="1"/>
  <c r="D55" i="47"/>
  <c r="E53" i="47"/>
  <c r="E145" i="47" s="1"/>
  <c r="F52" i="47"/>
  <c r="F144" i="47" s="1"/>
  <c r="G49" i="47"/>
  <c r="G141" i="47" s="1"/>
  <c r="F48" i="47"/>
  <c r="F140" i="47" s="1"/>
  <c r="C55" i="47"/>
  <c r="D53" i="47"/>
  <c r="D145" i="47" s="1"/>
  <c r="E52" i="47"/>
  <c r="E144" i="47" s="1"/>
  <c r="E48" i="47"/>
  <c r="E140" i="47" s="1"/>
  <c r="K51" i="47"/>
  <c r="K143" i="47" s="1"/>
  <c r="G54" i="47"/>
  <c r="G146" i="47" s="1"/>
  <c r="C53" i="47"/>
  <c r="C145" i="47" s="1"/>
  <c r="D52" i="47"/>
  <c r="D144" i="47" s="1"/>
  <c r="D48" i="47"/>
  <c r="D140" i="47" s="1"/>
  <c r="F54" i="47"/>
  <c r="F146" i="47" s="1"/>
  <c r="C52" i="47"/>
  <c r="C144" i="47" s="1"/>
  <c r="E51" i="47"/>
  <c r="E143" i="47" s="1"/>
  <c r="E49" i="47"/>
  <c r="E141" i="47" s="1"/>
  <c r="F10" i="25"/>
  <c r="F21" i="25" s="1"/>
  <c r="Y27" i="57" s="1"/>
  <c r="P84" i="25"/>
  <c r="Q84" i="25"/>
  <c r="M84" i="25"/>
  <c r="N84" i="25"/>
  <c r="O84" i="25"/>
  <c r="P80" i="25"/>
  <c r="M80" i="25"/>
  <c r="N80" i="25"/>
  <c r="Q80" i="25"/>
  <c r="O80" i="25"/>
  <c r="N81" i="25"/>
  <c r="O81" i="25"/>
  <c r="M81" i="25"/>
  <c r="P81" i="25"/>
  <c r="Q81" i="25"/>
  <c r="I101" i="25"/>
  <c r="I82" i="25"/>
  <c r="I85" i="25" s="1"/>
  <c r="H101" i="25"/>
  <c r="H82" i="25"/>
  <c r="H85" i="25" s="1"/>
  <c r="G101" i="25"/>
  <c r="G82" i="25"/>
  <c r="G85" i="25" s="1"/>
  <c r="F101" i="25"/>
  <c r="F82" i="25"/>
  <c r="F85" i="25" s="1"/>
  <c r="E137" i="7"/>
  <c r="D137" i="7"/>
  <c r="I10" i="25"/>
  <c r="H10" i="25"/>
  <c r="F153" i="7"/>
  <c r="H199" i="43"/>
  <c r="H225" i="43" s="1"/>
  <c r="G55" i="47" s="1"/>
  <c r="G147" i="47" s="1"/>
  <c r="G194" i="43"/>
  <c r="G220" i="43" s="1"/>
  <c r="P191" i="43"/>
  <c r="P217" i="43" s="1"/>
  <c r="P187" i="43"/>
  <c r="P213" i="43" s="1"/>
  <c r="P181" i="43"/>
  <c r="P207" i="43" s="1"/>
  <c r="P180" i="43"/>
  <c r="P206" i="43" s="1"/>
  <c r="J194" i="43"/>
  <c r="J220" i="43" s="1"/>
  <c r="N194" i="43"/>
  <c r="N220" i="43" s="1"/>
  <c r="M194" i="43"/>
  <c r="M220" i="43" s="1"/>
  <c r="P183" i="43"/>
  <c r="P209" i="43" s="1"/>
  <c r="P197" i="43"/>
  <c r="P223" i="43" s="1"/>
  <c r="P185" i="43"/>
  <c r="P211" i="43" s="1"/>
  <c r="P195" i="43"/>
  <c r="P221" i="43" s="1"/>
  <c r="P192" i="43"/>
  <c r="P218" i="43" s="1"/>
  <c r="P186" i="43"/>
  <c r="P212" i="43" s="1"/>
  <c r="P193" i="43"/>
  <c r="P219" i="43" s="1"/>
  <c r="P201" i="43"/>
  <c r="P227" i="43" s="1"/>
  <c r="G222" i="43"/>
  <c r="J219" i="43"/>
  <c r="P190" i="43"/>
  <c r="P216" i="43" s="1"/>
  <c r="P184" i="43"/>
  <c r="P210" i="43" s="1"/>
  <c r="G223" i="43"/>
  <c r="G207" i="43"/>
  <c r="L194" i="43"/>
  <c r="L220" i="43" s="1"/>
  <c r="O189" i="43"/>
  <c r="O215" i="43" s="1"/>
  <c r="K217" i="43"/>
  <c r="N182" i="43"/>
  <c r="N208" i="43" s="1"/>
  <c r="O217" i="43"/>
  <c r="G209" i="43"/>
  <c r="D206" i="43"/>
  <c r="O194" i="43"/>
  <c r="O220" i="43" s="1"/>
  <c r="P200" i="43"/>
  <c r="P226" i="43" s="1"/>
  <c r="G226" i="43"/>
  <c r="G210" i="43"/>
  <c r="G213" i="43"/>
  <c r="P188" i="43"/>
  <c r="P214" i="43" s="1"/>
  <c r="I194" i="43"/>
  <c r="I220" i="43" s="1"/>
  <c r="L182" i="43"/>
  <c r="L208" i="43" s="1"/>
  <c r="G227" i="43"/>
  <c r="G211" i="43"/>
  <c r="F122" i="43"/>
  <c r="P110" i="43"/>
  <c r="M182" i="43"/>
  <c r="M208" i="43" s="1"/>
  <c r="H182" i="43"/>
  <c r="N189" i="43"/>
  <c r="N215" i="43" s="1"/>
  <c r="O182" i="43"/>
  <c r="O208" i="43" s="1"/>
  <c r="M189" i="43"/>
  <c r="M215" i="43" s="1"/>
  <c r="G182" i="43"/>
  <c r="H194" i="43"/>
  <c r="L189" i="43"/>
  <c r="L215" i="43" s="1"/>
  <c r="F202" i="43"/>
  <c r="F228" i="43" s="1"/>
  <c r="J198" i="43"/>
  <c r="K189" i="43"/>
  <c r="K215" i="43" s="1"/>
  <c r="E202" i="43"/>
  <c r="E228" i="43" s="1"/>
  <c r="K182" i="43"/>
  <c r="K208" i="43" s="1"/>
  <c r="I182" i="43"/>
  <c r="J189" i="43"/>
  <c r="J215" i="43" s="1"/>
  <c r="D202" i="43"/>
  <c r="D228" i="43" s="1"/>
  <c r="J182" i="43"/>
  <c r="I189" i="43"/>
  <c r="K194" i="43"/>
  <c r="K220" i="43" s="1"/>
  <c r="C175" i="43"/>
  <c r="P196" i="43"/>
  <c r="P222" i="43" s="1"/>
  <c r="M198" i="43"/>
  <c r="M224" i="43" s="1"/>
  <c r="L198" i="43"/>
  <c r="L224" i="43" s="1"/>
  <c r="P113" i="43"/>
  <c r="K198" i="43"/>
  <c r="K224" i="43" s="1"/>
  <c r="P116" i="43"/>
  <c r="P114" i="43"/>
  <c r="P111" i="43"/>
  <c r="P120" i="43"/>
  <c r="P121" i="43"/>
  <c r="P115" i="43"/>
  <c r="P117" i="43"/>
  <c r="O122" i="43"/>
  <c r="H122" i="43"/>
  <c r="K122" i="43"/>
  <c r="J122" i="43"/>
  <c r="I122" i="43"/>
  <c r="K22" i="25" s="1"/>
  <c r="AD28" i="57" s="1"/>
  <c r="N122" i="43"/>
  <c r="M122" i="43"/>
  <c r="L122" i="43"/>
  <c r="P112" i="43"/>
  <c r="G122" i="43"/>
  <c r="D122" i="43"/>
  <c r="C37" i="43"/>
  <c r="P42" i="43"/>
  <c r="P50" i="43"/>
  <c r="P45" i="43"/>
  <c r="M51" i="43"/>
  <c r="P47" i="43"/>
  <c r="L51" i="43"/>
  <c r="P58" i="43"/>
  <c r="H56" i="43"/>
  <c r="K51" i="43"/>
  <c r="I56" i="43"/>
  <c r="P59" i="43"/>
  <c r="P55" i="43"/>
  <c r="P60" i="43"/>
  <c r="P53" i="43"/>
  <c r="K56" i="43"/>
  <c r="J56" i="43"/>
  <c r="P46" i="43"/>
  <c r="E63" i="43"/>
  <c r="L44" i="43"/>
  <c r="G56" i="43"/>
  <c r="D63" i="43"/>
  <c r="P61" i="43"/>
  <c r="K44" i="43"/>
  <c r="P48" i="43"/>
  <c r="O56" i="43"/>
  <c r="J44" i="43"/>
  <c r="J51" i="43"/>
  <c r="N56" i="43"/>
  <c r="P49" i="43"/>
  <c r="O51" i="43"/>
  <c r="M44" i="43"/>
  <c r="P54" i="43"/>
  <c r="I44" i="43"/>
  <c r="I51" i="43"/>
  <c r="M56" i="43"/>
  <c r="N44" i="43"/>
  <c r="L56" i="43"/>
  <c r="O44" i="43"/>
  <c r="H44" i="43"/>
  <c r="G44" i="43"/>
  <c r="N51" i="43"/>
  <c r="F63" i="43"/>
  <c r="P43" i="43"/>
  <c r="P62" i="43"/>
  <c r="P57" i="43"/>
  <c r="P52" i="43"/>
  <c r="H216" i="25"/>
  <c r="N16" i="7"/>
  <c r="O8" i="7"/>
  <c r="P8" i="7" s="1"/>
  <c r="Q8" i="7" s="1"/>
  <c r="O7" i="7"/>
  <c r="P7" i="7" s="1"/>
  <c r="Q7" i="7" s="1"/>
  <c r="O9" i="7"/>
  <c r="P9" i="7" s="1"/>
  <c r="Q9" i="7" s="1"/>
  <c r="Q16" i="7" s="1"/>
  <c r="H6" i="7"/>
  <c r="C75" i="8"/>
  <c r="C70" i="8"/>
  <c r="C65" i="8"/>
  <c r="C57" i="8"/>
  <c r="C52" i="8"/>
  <c r="C47" i="8"/>
  <c r="N15" i="7"/>
  <c r="N14" i="7"/>
  <c r="C55" i="7"/>
  <c r="C40" i="7"/>
  <c r="C48" i="7"/>
  <c r="C44" i="7"/>
  <c r="Y45" i="57" l="1"/>
  <c r="F295" i="25"/>
  <c r="E167" i="7"/>
  <c r="F167" i="7" s="1"/>
  <c r="AA48" i="57"/>
  <c r="AA79" i="57"/>
  <c r="Z48" i="57"/>
  <c r="Z79" i="57"/>
  <c r="G51" i="25"/>
  <c r="G21" i="25"/>
  <c r="Z27" i="57" s="1"/>
  <c r="E144" i="7"/>
  <c r="G22" i="25"/>
  <c r="Z28" i="57" s="1"/>
  <c r="C144" i="7"/>
  <c r="E147" i="47"/>
  <c r="D147" i="47"/>
  <c r="C147" i="47"/>
  <c r="H219" i="25"/>
  <c r="H223" i="25" s="1"/>
  <c r="G216" i="25"/>
  <c r="F213" i="25"/>
  <c r="L54" i="47"/>
  <c r="L146" i="47" s="1"/>
  <c r="F53" i="47"/>
  <c r="F145" i="47" s="1"/>
  <c r="J53" i="47"/>
  <c r="J145" i="47" s="1"/>
  <c r="N50" i="47"/>
  <c r="N142" i="47" s="1"/>
  <c r="O56" i="47"/>
  <c r="O148" i="47" s="1"/>
  <c r="M52" i="47"/>
  <c r="M144" i="47" s="1"/>
  <c r="N53" i="47"/>
  <c r="N145" i="47" s="1"/>
  <c r="C48" i="47"/>
  <c r="C140" i="47" s="1"/>
  <c r="C58" i="47"/>
  <c r="D26" i="62" s="1"/>
  <c r="D27" i="62" s="1"/>
  <c r="L50" i="47"/>
  <c r="L142" i="47" s="1"/>
  <c r="I52" i="47"/>
  <c r="I144" i="47" s="1"/>
  <c r="M50" i="47"/>
  <c r="M142" i="47" s="1"/>
  <c r="J50" i="47"/>
  <c r="J142" i="47" s="1"/>
  <c r="D58" i="47"/>
  <c r="E26" i="62" s="1"/>
  <c r="E27" i="62" s="1"/>
  <c r="N52" i="47"/>
  <c r="N144" i="47" s="1"/>
  <c r="L53" i="47"/>
  <c r="L145" i="47" s="1"/>
  <c r="J52" i="47"/>
  <c r="J144" i="47" s="1"/>
  <c r="K53" i="47"/>
  <c r="K145" i="47" s="1"/>
  <c r="M53" i="47"/>
  <c r="M145" i="47" s="1"/>
  <c r="L52" i="47"/>
  <c r="L144" i="47" s="1"/>
  <c r="F49" i="47"/>
  <c r="F141" i="47" s="1"/>
  <c r="I53" i="47"/>
  <c r="I145" i="47" s="1"/>
  <c r="J54" i="47"/>
  <c r="J146" i="47" s="1"/>
  <c r="E58" i="47"/>
  <c r="F26" i="62" s="1"/>
  <c r="F27" i="62" s="1"/>
  <c r="K50" i="47"/>
  <c r="K142" i="47" s="1"/>
  <c r="O48" i="47"/>
  <c r="O140" i="47" s="1"/>
  <c r="O57" i="47"/>
  <c r="O149" i="47" s="1"/>
  <c r="K52" i="47"/>
  <c r="K144" i="47" s="1"/>
  <c r="H53" i="47"/>
  <c r="H145" i="47" s="1"/>
  <c r="O49" i="47"/>
  <c r="O141" i="47" s="1"/>
  <c r="K54" i="47"/>
  <c r="K146" i="47" s="1"/>
  <c r="O51" i="47"/>
  <c r="O143" i="47" s="1"/>
  <c r="F22" i="25"/>
  <c r="Y28" i="57" s="1"/>
  <c r="F23" i="25"/>
  <c r="Y29" i="57" s="1"/>
  <c r="D144" i="7"/>
  <c r="I22" i="25"/>
  <c r="AB28" i="57" s="1"/>
  <c r="I23" i="25"/>
  <c r="AB29" i="57" s="1"/>
  <c r="I21" i="25"/>
  <c r="AB27" i="57" s="1"/>
  <c r="H23" i="25"/>
  <c r="AA29" i="57" s="1"/>
  <c r="H22" i="25"/>
  <c r="AA28" i="57" s="1"/>
  <c r="H21" i="25"/>
  <c r="AA27" i="57" s="1"/>
  <c r="F155" i="7"/>
  <c r="G153" i="7"/>
  <c r="O22" i="25"/>
  <c r="P22" i="25"/>
  <c r="L22" i="25"/>
  <c r="N22" i="25"/>
  <c r="M22" i="25"/>
  <c r="Q22" i="25"/>
  <c r="J22" i="25"/>
  <c r="AC28" i="57" s="1"/>
  <c r="P199" i="43"/>
  <c r="P225" i="43" s="1"/>
  <c r="O202" i="43"/>
  <c r="P194" i="43"/>
  <c r="P220" i="43" s="1"/>
  <c r="H220" i="43"/>
  <c r="N202" i="43"/>
  <c r="G202" i="43"/>
  <c r="G228" i="43" s="1"/>
  <c r="G208" i="43"/>
  <c r="J202" i="43"/>
  <c r="J208" i="43"/>
  <c r="H202" i="43"/>
  <c r="H208" i="43"/>
  <c r="P189" i="43"/>
  <c r="P215" i="43" s="1"/>
  <c r="I215" i="43"/>
  <c r="I202" i="43"/>
  <c r="I208" i="43"/>
  <c r="P198" i="43"/>
  <c r="P224" i="43" s="1"/>
  <c r="J224" i="43"/>
  <c r="P182" i="43"/>
  <c r="K202" i="43"/>
  <c r="M23" i="25" s="1"/>
  <c r="L202" i="43"/>
  <c r="M202" i="43"/>
  <c r="P122" i="43"/>
  <c r="J63" i="43"/>
  <c r="I63" i="43"/>
  <c r="K21" i="25" s="1"/>
  <c r="AD27" i="57" s="1"/>
  <c r="M63" i="43"/>
  <c r="P56" i="43"/>
  <c r="P51" i="43"/>
  <c r="P44" i="43"/>
  <c r="H63" i="43"/>
  <c r="K63" i="43"/>
  <c r="L63" i="43"/>
  <c r="O63" i="43"/>
  <c r="G63" i="43"/>
  <c r="N63" i="43"/>
  <c r="O16" i="7"/>
  <c r="P16" i="7"/>
  <c r="O14" i="7"/>
  <c r="H167" i="25"/>
  <c r="H462" i="25" s="1"/>
  <c r="G167" i="25"/>
  <c r="G462" i="25" s="1"/>
  <c r="H166" i="25"/>
  <c r="H465" i="25" s="1"/>
  <c r="G166" i="25"/>
  <c r="G465" i="25" s="1"/>
  <c r="H165" i="25"/>
  <c r="H464" i="25" s="1"/>
  <c r="G165" i="25"/>
  <c r="C168" i="7" l="1"/>
  <c r="E168" i="7" s="1"/>
  <c r="F168" i="7" s="1"/>
  <c r="Y48" i="57"/>
  <c r="Y79" i="57"/>
  <c r="AJ28" i="57"/>
  <c r="AF29" i="57"/>
  <c r="AE28" i="57"/>
  <c r="AF28" i="57"/>
  <c r="AI28" i="57"/>
  <c r="AG28" i="57"/>
  <c r="AH28" i="57"/>
  <c r="D122" i="47"/>
  <c r="G281" i="25"/>
  <c r="G228" i="25"/>
  <c r="Z33" i="57" s="1"/>
  <c r="D30" i="47"/>
  <c r="E17" i="62" s="1"/>
  <c r="F51" i="25"/>
  <c r="H51" i="25"/>
  <c r="I51" i="25"/>
  <c r="C153" i="7"/>
  <c r="E153" i="7"/>
  <c r="D150" i="47"/>
  <c r="C150" i="47"/>
  <c r="E150" i="47"/>
  <c r="G464" i="25"/>
  <c r="G219" i="25"/>
  <c r="G223" i="25" s="1"/>
  <c r="H50" i="47"/>
  <c r="H142" i="47" s="1"/>
  <c r="O52" i="47"/>
  <c r="O144" i="47" s="1"/>
  <c r="G50" i="47"/>
  <c r="G142" i="47" s="1"/>
  <c r="I50" i="47"/>
  <c r="I142" i="47" s="1"/>
  <c r="F50" i="47"/>
  <c r="F142" i="47" s="1"/>
  <c r="F58" i="47"/>
  <c r="H52" i="47"/>
  <c r="H144" i="47" s="1"/>
  <c r="G53" i="47"/>
  <c r="G145" i="47" s="1"/>
  <c r="O53" i="47"/>
  <c r="O145" i="47" s="1"/>
  <c r="I54" i="47"/>
  <c r="I146" i="47" s="1"/>
  <c r="O55" i="47"/>
  <c r="O147" i="47" s="1"/>
  <c r="O54" i="47"/>
  <c r="O146" i="47" s="1"/>
  <c r="D153" i="7"/>
  <c r="G155" i="7"/>
  <c r="S22" i="25"/>
  <c r="T22" i="25" s="1"/>
  <c r="O21" i="25"/>
  <c r="P21" i="25"/>
  <c r="Q21" i="25"/>
  <c r="L21" i="25"/>
  <c r="N21" i="25"/>
  <c r="M228" i="43"/>
  <c r="O23" i="25"/>
  <c r="N228" i="43"/>
  <c r="P23" i="25"/>
  <c r="AI29" i="57" s="1"/>
  <c r="L228" i="43"/>
  <c r="N23" i="25"/>
  <c r="AG29" i="57" s="1"/>
  <c r="J228" i="43"/>
  <c r="L23" i="25"/>
  <c r="M21" i="25"/>
  <c r="AF27" i="57" s="1"/>
  <c r="O228" i="43"/>
  <c r="Q23" i="25"/>
  <c r="I228" i="43"/>
  <c r="H228" i="43"/>
  <c r="J51" i="25"/>
  <c r="J21" i="25"/>
  <c r="AC27" i="57" s="1"/>
  <c r="P208" i="43"/>
  <c r="P202" i="43"/>
  <c r="K228" i="43"/>
  <c r="P63" i="43"/>
  <c r="E18" i="62" l="1"/>
  <c r="H34" i="60"/>
  <c r="I34" i="60" s="1"/>
  <c r="D34" i="60"/>
  <c r="D8" i="47"/>
  <c r="D100" i="47" s="1"/>
  <c r="D54" i="62"/>
  <c r="F150" i="47"/>
  <c r="G26" i="62"/>
  <c r="G27" i="62" s="1"/>
  <c r="J281" i="25"/>
  <c r="AJ29" i="57"/>
  <c r="AH27" i="57"/>
  <c r="AE29" i="57"/>
  <c r="AH29" i="57"/>
  <c r="AG27" i="57"/>
  <c r="AE27" i="57"/>
  <c r="AJ27" i="57"/>
  <c r="AI27" i="57"/>
  <c r="F122" i="47"/>
  <c r="I281" i="25"/>
  <c r="E122" i="47"/>
  <c r="H281" i="25"/>
  <c r="C122" i="47"/>
  <c r="F281" i="25"/>
  <c r="E30" i="47"/>
  <c r="F17" i="62" s="1"/>
  <c r="H228" i="25"/>
  <c r="AA33" i="57" s="1"/>
  <c r="M51" i="25" a="1"/>
  <c r="M51" i="25" s="1"/>
  <c r="F30" i="47"/>
  <c r="G17" i="62" s="1"/>
  <c r="N51" i="25" a="1"/>
  <c r="N51" i="25" s="1"/>
  <c r="P51" i="25" a="1"/>
  <c r="P51" i="25" s="1"/>
  <c r="C30" i="47"/>
  <c r="I228" i="25"/>
  <c r="AB33" i="57" s="1"/>
  <c r="O51" i="25" a="1"/>
  <c r="O51" i="25" s="1"/>
  <c r="Q51" i="25" a="1"/>
  <c r="Q51" i="25" s="1"/>
  <c r="G122" i="47"/>
  <c r="E155" i="7"/>
  <c r="C155" i="7"/>
  <c r="G454" i="25"/>
  <c r="F103" i="25"/>
  <c r="F105" i="25" s="1"/>
  <c r="G103" i="25"/>
  <c r="G105" i="25" s="1"/>
  <c r="I103" i="25"/>
  <c r="I105" i="25" s="1"/>
  <c r="H103" i="25"/>
  <c r="H105" i="25" s="1"/>
  <c r="N58" i="47"/>
  <c r="O26" i="62" s="1"/>
  <c r="O27" i="62" s="1"/>
  <c r="I58" i="47"/>
  <c r="J26" i="62" s="1"/>
  <c r="J27" i="62" s="1"/>
  <c r="J58" i="47"/>
  <c r="K26" i="62" s="1"/>
  <c r="K27" i="62" s="1"/>
  <c r="K58" i="47"/>
  <c r="L26" i="62" s="1"/>
  <c r="L27" i="62" s="1"/>
  <c r="O50" i="47"/>
  <c r="O142" i="47" s="1"/>
  <c r="M58" i="47"/>
  <c r="N26" i="62" s="1"/>
  <c r="N27" i="62" s="1"/>
  <c r="G58" i="47"/>
  <c r="L58" i="47"/>
  <c r="M26" i="62" s="1"/>
  <c r="M27" i="62" s="1"/>
  <c r="G30" i="47"/>
  <c r="H17" i="62" s="1"/>
  <c r="H30" i="47"/>
  <c r="I17" i="62" s="1"/>
  <c r="H54" i="62" s="1"/>
  <c r="H58" i="47"/>
  <c r="I26" i="62" s="1"/>
  <c r="I27" i="62" s="1"/>
  <c r="D155" i="7"/>
  <c r="I153" i="25"/>
  <c r="S23" i="25"/>
  <c r="T23" i="25" s="1"/>
  <c r="S21" i="25"/>
  <c r="T21" i="25" s="1"/>
  <c r="P228" i="43"/>
  <c r="D17" i="62" l="1"/>
  <c r="C54" i="62" s="1"/>
  <c r="D18" i="62"/>
  <c r="D33" i="60"/>
  <c r="H33" i="60"/>
  <c r="H18" i="62"/>
  <c r="D37" i="60"/>
  <c r="H37" i="60"/>
  <c r="I37" i="60" s="1"/>
  <c r="E34" i="60"/>
  <c r="F34" i="60"/>
  <c r="F18" i="62"/>
  <c r="H35" i="60"/>
  <c r="I35" i="60" s="1"/>
  <c r="D35" i="60"/>
  <c r="G18" i="62"/>
  <c r="D36" i="60"/>
  <c r="H36" i="60"/>
  <c r="I36" i="60" s="1"/>
  <c r="G54" i="62"/>
  <c r="C110" i="47"/>
  <c r="D110" i="47"/>
  <c r="E110" i="47"/>
  <c r="F110" i="47"/>
  <c r="G110" i="47"/>
  <c r="H110" i="47"/>
  <c r="C18" i="47"/>
  <c r="E18" i="47"/>
  <c r="F18" i="47"/>
  <c r="G18" i="47"/>
  <c r="D18" i="47"/>
  <c r="H18" i="47"/>
  <c r="C9" i="60"/>
  <c r="C64" i="60"/>
  <c r="C72" i="60" s="1"/>
  <c r="D72" i="60" s="1"/>
  <c r="E72" i="60" s="1"/>
  <c r="F72" i="60" s="1"/>
  <c r="C66" i="60"/>
  <c r="B73" i="60" s="1"/>
  <c r="C169" i="7"/>
  <c r="E169" i="7" s="1"/>
  <c r="F169" i="7" s="1"/>
  <c r="E19" i="62"/>
  <c r="E20" i="62"/>
  <c r="F54" i="62"/>
  <c r="E54" i="62"/>
  <c r="H12" i="62"/>
  <c r="H26" i="62"/>
  <c r="K150" i="47"/>
  <c r="L12" i="62"/>
  <c r="N150" i="47"/>
  <c r="O12" i="62"/>
  <c r="J150" i="47"/>
  <c r="K12" i="62"/>
  <c r="I150" i="47"/>
  <c r="J12" i="62"/>
  <c r="M150" i="47"/>
  <c r="N12" i="62"/>
  <c r="H150" i="47"/>
  <c r="I12" i="62"/>
  <c r="L150" i="47"/>
  <c r="M12" i="62"/>
  <c r="G150" i="47"/>
  <c r="Q79" i="25"/>
  <c r="Q281" i="25"/>
  <c r="L281" i="25"/>
  <c r="K122" i="47"/>
  <c r="N281" i="25"/>
  <c r="P281" i="25"/>
  <c r="O281" i="25"/>
  <c r="M79" i="25"/>
  <c r="M281" i="25"/>
  <c r="J122" i="47"/>
  <c r="J30" i="47"/>
  <c r="N79" i="25"/>
  <c r="O79" i="25"/>
  <c r="M30" i="47"/>
  <c r="M122" i="47"/>
  <c r="P79" i="25"/>
  <c r="K30" i="47"/>
  <c r="N122" i="47"/>
  <c r="L122" i="47"/>
  <c r="L30" i="47"/>
  <c r="N30" i="47"/>
  <c r="I30" i="47"/>
  <c r="I18" i="47" s="1"/>
  <c r="I122" i="47"/>
  <c r="I110" i="47" s="1"/>
  <c r="F8" i="47"/>
  <c r="E8" i="47"/>
  <c r="E100" i="47"/>
  <c r="F100" i="47"/>
  <c r="O58" i="47"/>
  <c r="H126" i="25"/>
  <c r="Q7" i="25"/>
  <c r="P7" i="25"/>
  <c r="O7" i="25"/>
  <c r="N7" i="25"/>
  <c r="M7" i="25"/>
  <c r="L7" i="25"/>
  <c r="K7" i="25"/>
  <c r="J7" i="25"/>
  <c r="I7" i="25"/>
  <c r="I243" i="25" s="1"/>
  <c r="H7" i="25"/>
  <c r="H243" i="25" s="1"/>
  <c r="G7" i="25"/>
  <c r="G243" i="25" s="1"/>
  <c r="F7" i="25"/>
  <c r="F243" i="25" s="1"/>
  <c r="E7" i="25"/>
  <c r="E243" i="25" s="1"/>
  <c r="Q135" i="25"/>
  <c r="Q362" i="25" s="1"/>
  <c r="P135" i="25"/>
  <c r="P362" i="25" s="1"/>
  <c r="O135" i="25"/>
  <c r="O362" i="25" s="1"/>
  <c r="N135" i="25"/>
  <c r="N362" i="25" s="1"/>
  <c r="M135" i="25"/>
  <c r="M362" i="25" s="1"/>
  <c r="L135" i="25"/>
  <c r="L362" i="25" s="1"/>
  <c r="K362" i="25"/>
  <c r="J135" i="25"/>
  <c r="I135" i="25"/>
  <c r="I362" i="25" s="1"/>
  <c r="H135" i="25"/>
  <c r="H362" i="25" s="1"/>
  <c r="G135" i="25"/>
  <c r="G362" i="25" s="1"/>
  <c r="F135" i="25"/>
  <c r="I369" i="25"/>
  <c r="H369" i="25"/>
  <c r="G369" i="25"/>
  <c r="F369" i="25"/>
  <c r="E6" i="25"/>
  <c r="Q12" i="25"/>
  <c r="P12" i="25"/>
  <c r="O12" i="25"/>
  <c r="N12" i="25"/>
  <c r="M12" i="25"/>
  <c r="S141" i="25"/>
  <c r="G50" i="25"/>
  <c r="H50" i="25"/>
  <c r="I50" i="25"/>
  <c r="J50" i="25"/>
  <c r="L50" i="25"/>
  <c r="M50" i="25"/>
  <c r="N50" i="25"/>
  <c r="O50" i="25"/>
  <c r="P50" i="25"/>
  <c r="Q50" i="25"/>
  <c r="F50" i="25"/>
  <c r="Q414" i="25"/>
  <c r="P414" i="25"/>
  <c r="O414" i="25"/>
  <c r="N414" i="25"/>
  <c r="M414" i="25"/>
  <c r="L414" i="25"/>
  <c r="K414" i="25"/>
  <c r="J414" i="25"/>
  <c r="I414" i="25"/>
  <c r="H414" i="25"/>
  <c r="G414" i="25"/>
  <c r="F414" i="25"/>
  <c r="Q176" i="25"/>
  <c r="P176" i="25"/>
  <c r="O176" i="25"/>
  <c r="N176" i="25"/>
  <c r="M176" i="25"/>
  <c r="L176" i="25"/>
  <c r="H176" i="25"/>
  <c r="Q175" i="25"/>
  <c r="P175" i="25"/>
  <c r="O175" i="25"/>
  <c r="N175" i="25"/>
  <c r="M175" i="25"/>
  <c r="L175" i="25"/>
  <c r="J175" i="25"/>
  <c r="H175" i="25"/>
  <c r="G175" i="25"/>
  <c r="F175" i="25"/>
  <c r="F446" i="25"/>
  <c r="F445" i="25"/>
  <c r="F444" i="25"/>
  <c r="F443" i="25"/>
  <c r="F442" i="25"/>
  <c r="F441" i="25"/>
  <c r="F440" i="25"/>
  <c r="E259" i="25"/>
  <c r="E258" i="25"/>
  <c r="E257" i="25"/>
  <c r="E256" i="25"/>
  <c r="E255" i="25"/>
  <c r="P122" i="47" l="1"/>
  <c r="P30" i="47"/>
  <c r="E36" i="60"/>
  <c r="F36" i="60"/>
  <c r="E35" i="60"/>
  <c r="F35" i="60"/>
  <c r="F37" i="60"/>
  <c r="E37" i="60"/>
  <c r="I33" i="60"/>
  <c r="H40" i="60"/>
  <c r="I40" i="60" s="1"/>
  <c r="E33" i="60"/>
  <c r="D40" i="60"/>
  <c r="F33" i="60"/>
  <c r="J19" i="62"/>
  <c r="J20" i="62"/>
  <c r="C110" i="60"/>
  <c r="C109" i="60"/>
  <c r="C108" i="60"/>
  <c r="C107" i="60"/>
  <c r="C106" i="60"/>
  <c r="C73" i="60"/>
  <c r="D73" i="60" s="1"/>
  <c r="E73" i="60" s="1"/>
  <c r="F73" i="60" s="1"/>
  <c r="C75" i="60"/>
  <c r="D75" i="60" s="1"/>
  <c r="E75" i="60" s="1"/>
  <c r="F75" i="60" s="1"/>
  <c r="C74" i="60"/>
  <c r="D74" i="60" s="1"/>
  <c r="E74" i="60" s="1"/>
  <c r="F74" i="60" s="1"/>
  <c r="C71" i="60"/>
  <c r="D71" i="60" s="1"/>
  <c r="E71" i="60" s="1"/>
  <c r="F71" i="60" s="1"/>
  <c r="C76" i="60"/>
  <c r="D76" i="60" s="1"/>
  <c r="E76" i="60" s="1"/>
  <c r="F76" i="60" s="1"/>
  <c r="C113" i="60"/>
  <c r="B103" i="60"/>
  <c r="O35" i="62"/>
  <c r="N53" i="62"/>
  <c r="N35" i="62"/>
  <c r="M53" i="62"/>
  <c r="M35" i="62"/>
  <c r="L53" i="62"/>
  <c r="L35" i="62"/>
  <c r="K53" i="62"/>
  <c r="K35" i="62"/>
  <c r="J53" i="62"/>
  <c r="J35" i="62"/>
  <c r="I53" i="62"/>
  <c r="I30" i="62"/>
  <c r="H53" i="62"/>
  <c r="H30" i="62"/>
  <c r="G53" i="62"/>
  <c r="H35" i="62"/>
  <c r="D20" i="62"/>
  <c r="P20" i="62"/>
  <c r="I19" i="62"/>
  <c r="I20" i="62"/>
  <c r="H20" i="62"/>
  <c r="G19" i="62"/>
  <c r="G20" i="62"/>
  <c r="F19" i="62"/>
  <c r="F20" i="62"/>
  <c r="P19" i="62"/>
  <c r="H19" i="62"/>
  <c r="P17" i="62"/>
  <c r="D19" i="62"/>
  <c r="I35" i="62"/>
  <c r="K13" i="62"/>
  <c r="K31" i="62" s="1"/>
  <c r="K30" i="62"/>
  <c r="M13" i="62"/>
  <c r="M31" i="62" s="1"/>
  <c r="M30" i="62"/>
  <c r="O13" i="62"/>
  <c r="O31" i="62" s="1"/>
  <c r="O30" i="62"/>
  <c r="N13" i="62"/>
  <c r="N31" i="62" s="1"/>
  <c r="N30" i="62"/>
  <c r="L13" i="62"/>
  <c r="L31" i="62" s="1"/>
  <c r="L30" i="62"/>
  <c r="J13" i="62"/>
  <c r="J31" i="62" s="1"/>
  <c r="J30" i="62"/>
  <c r="H13" i="62"/>
  <c r="H31" i="62" s="1"/>
  <c r="P26" i="62"/>
  <c r="H27" i="62"/>
  <c r="P27" i="62" s="1"/>
  <c r="P12" i="62"/>
  <c r="P30" i="62" s="1"/>
  <c r="I13" i="62"/>
  <c r="I31" i="62" s="1"/>
  <c r="O150" i="47"/>
  <c r="O122" i="47"/>
  <c r="O30" i="47"/>
  <c r="E369" i="25"/>
  <c r="T29" i="25"/>
  <c r="I321" i="25"/>
  <c r="I323" i="25"/>
  <c r="I318" i="25"/>
  <c r="I320" i="25"/>
  <c r="I319" i="25"/>
  <c r="I322" i="25"/>
  <c r="I324" i="25"/>
  <c r="K321" i="25"/>
  <c r="K323" i="25"/>
  <c r="O321" i="25"/>
  <c r="O323" i="25"/>
  <c r="M321" i="25"/>
  <c r="M323" i="25"/>
  <c r="P321" i="25"/>
  <c r="P323" i="25"/>
  <c r="S321" i="25"/>
  <c r="Q321" i="25"/>
  <c r="Q323" i="25"/>
  <c r="S323" i="25"/>
  <c r="J321" i="25"/>
  <c r="J323" i="25"/>
  <c r="L321" i="25"/>
  <c r="L323" i="25"/>
  <c r="N321" i="25"/>
  <c r="N323" i="25"/>
  <c r="E319" i="25"/>
  <c r="E320" i="25"/>
  <c r="E323" i="25"/>
  <c r="E321" i="25"/>
  <c r="E318" i="25"/>
  <c r="E322" i="25"/>
  <c r="E324" i="25"/>
  <c r="F321" i="25"/>
  <c r="F319" i="25"/>
  <c r="F320" i="25"/>
  <c r="F318" i="25"/>
  <c r="F323" i="25"/>
  <c r="F322" i="25"/>
  <c r="F324" i="25"/>
  <c r="H321" i="25"/>
  <c r="H320" i="25"/>
  <c r="H323" i="25"/>
  <c r="H318" i="25"/>
  <c r="H319" i="25"/>
  <c r="H322" i="25"/>
  <c r="H324" i="25"/>
  <c r="G320" i="25"/>
  <c r="G321" i="25"/>
  <c r="G323" i="25"/>
  <c r="G319" i="25"/>
  <c r="G318" i="25"/>
  <c r="G322" i="25"/>
  <c r="G324" i="25"/>
  <c r="J243" i="25"/>
  <c r="K243" i="25"/>
  <c r="L243" i="25"/>
  <c r="Q243" i="25"/>
  <c r="M243" i="25"/>
  <c r="N243" i="25"/>
  <c r="P243" i="25"/>
  <c r="O243" i="25"/>
  <c r="G437" i="25"/>
  <c r="P189" i="25"/>
  <c r="O189" i="25"/>
  <c r="O201" i="25"/>
  <c r="L201" i="25"/>
  <c r="H189" i="25"/>
  <c r="Q189" i="25"/>
  <c r="M201" i="25"/>
  <c r="N201" i="25"/>
  <c r="N189" i="25"/>
  <c r="M189" i="25"/>
  <c r="P201" i="25"/>
  <c r="L189" i="25"/>
  <c r="Q201" i="25"/>
  <c r="G189" i="25"/>
  <c r="J189" i="25"/>
  <c r="I189" i="25"/>
  <c r="F189" i="25"/>
  <c r="J362" i="25"/>
  <c r="O242" i="25"/>
  <c r="E289" i="25"/>
  <c r="Q242" i="25"/>
  <c r="S409" i="25"/>
  <c r="G242" i="25"/>
  <c r="F242" i="25"/>
  <c r="K242" i="25"/>
  <c r="J242" i="25"/>
  <c r="L242" i="25"/>
  <c r="H242" i="25"/>
  <c r="M242" i="25"/>
  <c r="N242" i="25"/>
  <c r="C54" i="7"/>
  <c r="C53" i="7"/>
  <c r="S12" i="25"/>
  <c r="T12" i="25" s="1"/>
  <c r="G110" i="25"/>
  <c r="F110" i="25"/>
  <c r="G149" i="25"/>
  <c r="G155" i="25"/>
  <c r="F149" i="25"/>
  <c r="F155" i="25"/>
  <c r="E100" i="25"/>
  <c r="E99" i="25"/>
  <c r="E271" i="25"/>
  <c r="E270" i="25"/>
  <c r="E79" i="25"/>
  <c r="L401" i="25"/>
  <c r="S135" i="25"/>
  <c r="H401" i="25"/>
  <c r="H202" i="25"/>
  <c r="F362" i="25"/>
  <c r="S362" i="25" s="1"/>
  <c r="K401" i="25"/>
  <c r="N373" i="25"/>
  <c r="O373" i="25"/>
  <c r="N379" i="25"/>
  <c r="L373" i="25"/>
  <c r="M373" i="25"/>
  <c r="L379" i="25"/>
  <c r="M379" i="25"/>
  <c r="O379" i="25"/>
  <c r="P360" i="25"/>
  <c r="H373" i="25"/>
  <c r="P379" i="25"/>
  <c r="Q379" i="25"/>
  <c r="Q360" i="25"/>
  <c r="H368" i="25"/>
  <c r="K373" i="25"/>
  <c r="H360" i="25"/>
  <c r="K360" i="25"/>
  <c r="H367" i="25"/>
  <c r="P373" i="25"/>
  <c r="M360" i="25"/>
  <c r="Q373" i="25"/>
  <c r="H379" i="25"/>
  <c r="N360" i="25"/>
  <c r="J379" i="25"/>
  <c r="L360" i="25"/>
  <c r="O360" i="25"/>
  <c r="K379" i="25"/>
  <c r="G379" i="25"/>
  <c r="G368" i="25"/>
  <c r="G367" i="25"/>
  <c r="F379" i="25"/>
  <c r="F368" i="25"/>
  <c r="F367" i="25"/>
  <c r="S367" i="25" s="1"/>
  <c r="E379" i="25"/>
  <c r="E378" i="25"/>
  <c r="E373" i="25"/>
  <c r="E368" i="25"/>
  <c r="E367" i="25"/>
  <c r="E360" i="25"/>
  <c r="N352" i="25"/>
  <c r="O352" i="25"/>
  <c r="P352" i="25"/>
  <c r="Q352" i="25"/>
  <c r="L352" i="25"/>
  <c r="M352" i="25"/>
  <c r="K352" i="25"/>
  <c r="H352" i="25"/>
  <c r="E353" i="25"/>
  <c r="E352" i="25"/>
  <c r="P242" i="25"/>
  <c r="E242" i="25"/>
  <c r="I242" i="25"/>
  <c r="E290" i="25"/>
  <c r="E268" i="25"/>
  <c r="E404" i="25"/>
  <c r="E389" i="25"/>
  <c r="E272" i="25"/>
  <c r="E269" i="25"/>
  <c r="E40" i="60" l="1"/>
  <c r="F40" i="60"/>
  <c r="C114" i="60"/>
  <c r="P18" i="62"/>
  <c r="O53" i="62"/>
  <c r="P13" i="62"/>
  <c r="P31" i="62" s="1"/>
  <c r="C14" i="60"/>
  <c r="AA17" i="57"/>
  <c r="AA63" i="57"/>
  <c r="AE16" i="57"/>
  <c r="AE62" i="57"/>
  <c r="AH16" i="57"/>
  <c r="AH62" i="57"/>
  <c r="AI16" i="57"/>
  <c r="AI62" i="57"/>
  <c r="AF16" i="57"/>
  <c r="AF62" i="57"/>
  <c r="AG16" i="57"/>
  <c r="AG62" i="57"/>
  <c r="AJ16" i="57"/>
  <c r="AJ62" i="57"/>
  <c r="E152" i="25"/>
  <c r="F228" i="25"/>
  <c r="Y33" i="57" s="1"/>
  <c r="E210" i="25"/>
  <c r="I367" i="25"/>
  <c r="Q16" i="25"/>
  <c r="E110" i="25"/>
  <c r="O16" i="25"/>
  <c r="M16" i="25"/>
  <c r="N16" i="25"/>
  <c r="H171" i="25"/>
  <c r="D23" i="60" s="1"/>
  <c r="G171" i="25"/>
  <c r="D22" i="60" s="1"/>
  <c r="H164" i="25"/>
  <c r="P16" i="25"/>
  <c r="Q15" i="25"/>
  <c r="P15" i="25"/>
  <c r="O15" i="25"/>
  <c r="N15" i="25"/>
  <c r="M15" i="25"/>
  <c r="E263" i="25"/>
  <c r="E273" i="25"/>
  <c r="E274" i="25"/>
  <c r="E155" i="25"/>
  <c r="E147" i="25"/>
  <c r="E149" i="25"/>
  <c r="E359" i="25"/>
  <c r="E399" i="25"/>
  <c r="E309" i="25"/>
  <c r="E338" i="25" s="1"/>
  <c r="E403" i="25"/>
  <c r="E390" i="25"/>
  <c r="E396" i="25"/>
  <c r="E387" i="25"/>
  <c r="E328" i="25"/>
  <c r="E344" i="25"/>
  <c r="E400" i="25"/>
  <c r="E393" i="25"/>
  <c r="E392" i="25"/>
  <c r="E391" i="25"/>
  <c r="F327" i="25"/>
  <c r="G327" i="25"/>
  <c r="E101" i="25"/>
  <c r="E327" i="25"/>
  <c r="E380" i="25" l="1"/>
  <c r="E372" i="25"/>
  <c r="E377" i="25"/>
  <c r="H454" i="25"/>
  <c r="H463" i="25"/>
  <c r="F436" i="25"/>
  <c r="G467" i="25"/>
  <c r="F437" i="25"/>
  <c r="H467" i="25"/>
  <c r="F216" i="25"/>
  <c r="E213" i="25"/>
  <c r="J367" i="25"/>
  <c r="E329" i="25"/>
  <c r="H201" i="25"/>
  <c r="F166" i="25"/>
  <c r="F465" i="25" s="1"/>
  <c r="S16" i="25"/>
  <c r="T16" i="25" s="1"/>
  <c r="S15" i="25"/>
  <c r="T15" i="25" s="1"/>
  <c r="F152" i="25"/>
  <c r="S152" i="25" s="1"/>
  <c r="E345" i="25"/>
  <c r="E346" i="25" s="1"/>
  <c r="F147" i="25"/>
  <c r="E374" i="25"/>
  <c r="E361" i="25"/>
  <c r="AA16" i="57" l="1"/>
  <c r="AA62" i="57"/>
  <c r="F219" i="25"/>
  <c r="F223" i="25" s="1"/>
  <c r="F137" i="25"/>
  <c r="F138" i="25" s="1"/>
  <c r="Y88" i="57" s="1"/>
  <c r="F377" i="25"/>
  <c r="S377" i="25" s="1"/>
  <c r="S147" i="25"/>
  <c r="F132" i="25"/>
  <c r="F372" i="25"/>
  <c r="S372" i="25" s="1"/>
  <c r="F148" i="25"/>
  <c r="G147" i="25"/>
  <c r="G148" i="25" s="1"/>
  <c r="F374" i="25"/>
  <c r="F359" i="25"/>
  <c r="S359" i="25" s="1"/>
  <c r="E103" i="25"/>
  <c r="E331" i="25" l="1"/>
  <c r="F364" i="25"/>
  <c r="F365" i="25" s="1"/>
  <c r="F360" i="25"/>
  <c r="F176" i="25"/>
  <c r="G435" i="25" s="1"/>
  <c r="G400" i="25"/>
  <c r="G176" i="25"/>
  <c r="G436" i="25" s="1"/>
  <c r="G373" i="25"/>
  <c r="F373" i="25"/>
  <c r="G372" i="25"/>
  <c r="G137" i="25"/>
  <c r="G138" i="25" s="1"/>
  <c r="Z88" i="57" s="1"/>
  <c r="F361" i="25"/>
  <c r="G401" i="25" l="1"/>
  <c r="F202" i="25"/>
  <c r="F401" i="25"/>
  <c r="G132" i="25"/>
  <c r="F400" i="25"/>
  <c r="H147" i="25"/>
  <c r="G374" i="25"/>
  <c r="G359" i="25"/>
  <c r="Y17" i="57" l="1"/>
  <c r="Y63" i="57"/>
  <c r="G360" i="25"/>
  <c r="G364" i="25"/>
  <c r="H400" i="25"/>
  <c r="H149" i="25"/>
  <c r="H372" i="25"/>
  <c r="H137" i="25"/>
  <c r="H138" i="25" s="1"/>
  <c r="AA88" i="57" s="1"/>
  <c r="G361" i="25"/>
  <c r="H327" i="25" l="1"/>
  <c r="G365" i="25"/>
  <c r="G202" i="25"/>
  <c r="H359" i="25"/>
  <c r="I147" i="25"/>
  <c r="I148" i="25" s="1"/>
  <c r="H374" i="25"/>
  <c r="Z17" i="57" l="1"/>
  <c r="Z63" i="57"/>
  <c r="I176" i="25"/>
  <c r="I373" i="25"/>
  <c r="I327" i="25"/>
  <c r="I372" i="25"/>
  <c r="I132" i="25"/>
  <c r="H361" i="25"/>
  <c r="I401" i="25" l="1"/>
  <c r="I360" i="25"/>
  <c r="H364" i="25"/>
  <c r="I137" i="25"/>
  <c r="I138" i="25" s="1"/>
  <c r="AB88" i="57" s="1"/>
  <c r="I359" i="25"/>
  <c r="I374" i="25"/>
  <c r="H365" i="25" l="1"/>
  <c r="J400" i="25"/>
  <c r="J372" i="25"/>
  <c r="I361" i="25"/>
  <c r="I364" i="25" l="1"/>
  <c r="J359" i="25"/>
  <c r="I365" i="25" l="1"/>
  <c r="K400" i="25"/>
  <c r="J364" i="25" l="1"/>
  <c r="J365" i="25" l="1"/>
  <c r="L400" i="25"/>
  <c r="G126" i="25" l="1"/>
  <c r="G112" i="25"/>
  <c r="G111" i="25"/>
  <c r="F126" i="25"/>
  <c r="F112" i="25"/>
  <c r="F111" i="25"/>
  <c r="G113" i="25" l="1"/>
  <c r="P314" i="25"/>
  <c r="N314" i="25"/>
  <c r="S84" i="25"/>
  <c r="L314" i="25"/>
  <c r="O314" i="25"/>
  <c r="I314" i="25"/>
  <c r="H314" i="25"/>
  <c r="K314" i="25"/>
  <c r="J314" i="25"/>
  <c r="Q111" i="25"/>
  <c r="S111" i="25" s="1"/>
  <c r="N111" i="25"/>
  <c r="I112" i="25"/>
  <c r="P111" i="25"/>
  <c r="H112" i="25"/>
  <c r="K112" i="25"/>
  <c r="M112" i="25"/>
  <c r="L112" i="25"/>
  <c r="O112" i="25"/>
  <c r="N112" i="25"/>
  <c r="S81" i="25"/>
  <c r="P112" i="25"/>
  <c r="L111" i="25"/>
  <c r="O111" i="25"/>
  <c r="M111" i="25"/>
  <c r="F113" i="25"/>
  <c r="I111" i="25"/>
  <c r="H111" i="25"/>
  <c r="K111" i="25"/>
  <c r="M400" i="25"/>
  <c r="E266" i="25"/>
  <c r="E83" i="25"/>
  <c r="F311" i="25"/>
  <c r="F340" i="25" s="1"/>
  <c r="G311" i="25"/>
  <c r="G340" i="25" s="1"/>
  <c r="E265" i="25"/>
  <c r="E81" i="25"/>
  <c r="E264" i="25"/>
  <c r="G310" i="25"/>
  <c r="G339" i="25" s="1"/>
  <c r="F310" i="25"/>
  <c r="F339" i="25" s="1"/>
  <c r="E80" i="25"/>
  <c r="F314" i="25"/>
  <c r="E84" i="25"/>
  <c r="G314" i="25"/>
  <c r="M314" i="25"/>
  <c r="E267" i="25"/>
  <c r="E78" i="25"/>
  <c r="E262" i="25"/>
  <c r="G119" i="25" l="1"/>
  <c r="Z107" i="57"/>
  <c r="F119" i="25"/>
  <c r="Y107" i="57"/>
  <c r="E314" i="25"/>
  <c r="F164" i="25"/>
  <c r="F454" i="25" s="1"/>
  <c r="F171" i="25"/>
  <c r="D21" i="60" s="1"/>
  <c r="I311" i="25"/>
  <c r="I340" i="25" s="1"/>
  <c r="J311" i="25"/>
  <c r="J340" i="25" s="1"/>
  <c r="S80" i="25"/>
  <c r="H311" i="25"/>
  <c r="H340" i="25" s="1"/>
  <c r="P310" i="25"/>
  <c r="P339" i="25" s="1"/>
  <c r="M311" i="25"/>
  <c r="M340" i="25" s="1"/>
  <c r="N310" i="25"/>
  <c r="N339" i="25" s="1"/>
  <c r="K311" i="25"/>
  <c r="K340" i="25" s="1"/>
  <c r="N311" i="25"/>
  <c r="N340" i="25" s="1"/>
  <c r="O311" i="25"/>
  <c r="O340" i="25" s="1"/>
  <c r="L311" i="25"/>
  <c r="L340" i="25" s="1"/>
  <c r="M310" i="25"/>
  <c r="M339" i="25" s="1"/>
  <c r="Q112" i="25"/>
  <c r="S112" i="25" s="1"/>
  <c r="O310" i="25"/>
  <c r="O339" i="25" s="1"/>
  <c r="L310" i="25"/>
  <c r="L339" i="25" s="1"/>
  <c r="P311" i="25"/>
  <c r="P340" i="25" s="1"/>
  <c r="J310" i="25"/>
  <c r="J339" i="25" s="1"/>
  <c r="K310" i="25"/>
  <c r="K339" i="25" s="1"/>
  <c r="H310" i="25"/>
  <c r="H339" i="25" s="1"/>
  <c r="I310" i="25"/>
  <c r="I339" i="25" s="1"/>
  <c r="E123" i="25"/>
  <c r="E126" i="25"/>
  <c r="E311" i="25"/>
  <c r="E340" i="25" s="1"/>
  <c r="E112" i="25"/>
  <c r="E310" i="25"/>
  <c r="E339" i="25" s="1"/>
  <c r="E111" i="25"/>
  <c r="E313" i="25"/>
  <c r="Q311" i="25"/>
  <c r="S311" i="25" s="1"/>
  <c r="Q310" i="25"/>
  <c r="S310" i="25" s="1"/>
  <c r="E180" i="25"/>
  <c r="E308" i="25"/>
  <c r="F178" i="25"/>
  <c r="E82" i="25"/>
  <c r="Q314" i="25"/>
  <c r="S314" i="25" s="1"/>
  <c r="C36" i="8"/>
  <c r="D81" i="7" a="1"/>
  <c r="D81" i="7" s="1"/>
  <c r="D80" i="7" a="1"/>
  <c r="D80" i="7" s="1"/>
  <c r="C64" i="7"/>
  <c r="D55" i="7"/>
  <c r="D54" i="7"/>
  <c r="D53" i="7"/>
  <c r="D48" i="7"/>
  <c r="D44" i="7"/>
  <c r="D40" i="7"/>
  <c r="Q31" i="7"/>
  <c r="P31" i="7"/>
  <c r="O31" i="7"/>
  <c r="N31" i="7"/>
  <c r="K31" i="7"/>
  <c r="J31" i="7"/>
  <c r="I31" i="7"/>
  <c r="H31" i="7"/>
  <c r="G31" i="7"/>
  <c r="F31" i="7"/>
  <c r="E31" i="7"/>
  <c r="D31" i="7"/>
  <c r="C20" i="7"/>
  <c r="C12" i="7"/>
  <c r="C17" i="7" s="1"/>
  <c r="C18" i="8"/>
  <c r="C119" i="25" l="1"/>
  <c r="F463" i="25"/>
  <c r="E351" i="25"/>
  <c r="F435" i="25"/>
  <c r="F467" i="25"/>
  <c r="E185" i="25"/>
  <c r="E186" i="25"/>
  <c r="E408" i="25"/>
  <c r="E410" i="25" s="1"/>
  <c r="E184" i="25"/>
  <c r="E85" i="25"/>
  <c r="S178" i="25"/>
  <c r="D57" i="8"/>
  <c r="D75" i="8" s="1"/>
  <c r="C33" i="7"/>
  <c r="O52" i="8"/>
  <c r="O57" i="8"/>
  <c r="N52" i="8"/>
  <c r="P10" i="25" s="1" a="1"/>
  <c r="P10" i="25" s="1"/>
  <c r="N57" i="8"/>
  <c r="M52" i="8"/>
  <c r="M57" i="8"/>
  <c r="L52" i="8"/>
  <c r="L57" i="8"/>
  <c r="K52" i="8"/>
  <c r="K57" i="8"/>
  <c r="J52" i="8"/>
  <c r="J57" i="8"/>
  <c r="I52" i="8"/>
  <c r="I57" i="8"/>
  <c r="H52" i="8"/>
  <c r="H57" i="8"/>
  <c r="G52" i="8"/>
  <c r="G57" i="8"/>
  <c r="F52" i="8"/>
  <c r="F57" i="8"/>
  <c r="E52" i="8"/>
  <c r="E57" i="8"/>
  <c r="D47" i="8"/>
  <c r="D52" i="8"/>
  <c r="O47" i="8"/>
  <c r="N47" i="8"/>
  <c r="M47" i="8"/>
  <c r="L47" i="8"/>
  <c r="K47" i="8"/>
  <c r="J47" i="8"/>
  <c r="I47" i="8"/>
  <c r="H47" i="8"/>
  <c r="G47" i="8"/>
  <c r="F47" i="8"/>
  <c r="E47" i="8"/>
  <c r="O15" i="7"/>
  <c r="Q14" i="7"/>
  <c r="P14" i="7"/>
  <c r="Q14" i="25"/>
  <c r="C28" i="8"/>
  <c r="R31" i="7"/>
  <c r="O14" i="25"/>
  <c r="P14" i="25"/>
  <c r="M14" i="25"/>
  <c r="N14" i="25"/>
  <c r="N400" i="25"/>
  <c r="F123" i="25"/>
  <c r="E354" i="25"/>
  <c r="G152" i="25"/>
  <c r="E341" i="25"/>
  <c r="E347" i="25" s="1"/>
  <c r="E113" i="25"/>
  <c r="Q339" i="25"/>
  <c r="S339" i="25" s="1"/>
  <c r="Q340" i="25"/>
  <c r="S340" i="25" s="1"/>
  <c r="E405" i="25"/>
  <c r="F399" i="25"/>
  <c r="F403" i="25"/>
  <c r="S403" i="25" s="1"/>
  <c r="E312" i="25"/>
  <c r="G399" i="25"/>
  <c r="D75" i="7"/>
  <c r="D77" i="7"/>
  <c r="D76" i="7"/>
  <c r="E77" i="7"/>
  <c r="E76" i="7"/>
  <c r="E75" i="7"/>
  <c r="C20" i="8"/>
  <c r="C13" i="7"/>
  <c r="Q10" i="25" l="1" a="1"/>
  <c r="Q10" i="25" s="1"/>
  <c r="N10" i="25" a="1"/>
  <c r="N10" i="25" s="1"/>
  <c r="O10" i="25" a="1"/>
  <c r="O10" i="25" s="1"/>
  <c r="M10" i="25" a="1"/>
  <c r="M10" i="25" s="1"/>
  <c r="E105" i="25"/>
  <c r="E119" i="25"/>
  <c r="G427" i="25"/>
  <c r="I75" i="8"/>
  <c r="K75" i="8"/>
  <c r="L75" i="8"/>
  <c r="E75" i="8"/>
  <c r="M75" i="8"/>
  <c r="F75" i="8"/>
  <c r="N75" i="8"/>
  <c r="G75" i="8"/>
  <c r="O75" i="8"/>
  <c r="J75" i="8"/>
  <c r="H75" i="8"/>
  <c r="L65" i="8"/>
  <c r="F65" i="8"/>
  <c r="N65" i="8"/>
  <c r="M65" i="8"/>
  <c r="G65" i="8"/>
  <c r="O65" i="8"/>
  <c r="E65" i="8"/>
  <c r="D65" i="8"/>
  <c r="I65" i="8"/>
  <c r="J65" i="8"/>
  <c r="H65" i="8"/>
  <c r="K65" i="8"/>
  <c r="J70" i="8"/>
  <c r="K70" i="8"/>
  <c r="D70" i="8"/>
  <c r="L70" i="8"/>
  <c r="E70" i="8"/>
  <c r="M70" i="8"/>
  <c r="H70" i="8"/>
  <c r="I70" i="8"/>
  <c r="F70" i="8"/>
  <c r="N70" i="8"/>
  <c r="G70" i="8"/>
  <c r="O70" i="8"/>
  <c r="C58" i="8"/>
  <c r="D58" i="8" s="1"/>
  <c r="P57" i="8"/>
  <c r="P52" i="8"/>
  <c r="C53" i="8"/>
  <c r="D53" i="8" s="1"/>
  <c r="C48" i="8"/>
  <c r="D48" i="8" s="1"/>
  <c r="P47" i="8"/>
  <c r="Q15" i="7"/>
  <c r="P15" i="7"/>
  <c r="S14" i="25"/>
  <c r="T14" i="25" s="1"/>
  <c r="P13" i="25"/>
  <c r="Q13" i="25"/>
  <c r="N13" i="25"/>
  <c r="O13" i="25"/>
  <c r="M13" i="25"/>
  <c r="P11" i="25"/>
  <c r="Q11" i="25"/>
  <c r="N11" i="25"/>
  <c r="O11" i="25"/>
  <c r="M11" i="25"/>
  <c r="F427" i="25"/>
  <c r="S123" i="25"/>
  <c r="F125" i="25"/>
  <c r="G377" i="25"/>
  <c r="G123" i="25"/>
  <c r="G125" i="25" s="1"/>
  <c r="F354" i="25"/>
  <c r="F351" i="25"/>
  <c r="S351" i="25" s="1"/>
  <c r="N250" i="25"/>
  <c r="H250" i="25"/>
  <c r="H399" i="25"/>
  <c r="K250" i="25"/>
  <c r="P250" i="25"/>
  <c r="I250" i="25"/>
  <c r="E315" i="25"/>
  <c r="G250" i="25"/>
  <c r="J250" i="25"/>
  <c r="L250" i="25"/>
  <c r="O250" i="25"/>
  <c r="F250" i="25"/>
  <c r="M250" i="25"/>
  <c r="Q250" i="25"/>
  <c r="K252" i="25"/>
  <c r="O252" i="25"/>
  <c r="G252" i="25"/>
  <c r="M252" i="25"/>
  <c r="Q252" i="25"/>
  <c r="I247" i="25"/>
  <c r="C15" i="7"/>
  <c r="C11" i="8"/>
  <c r="C10" i="8"/>
  <c r="S250" i="25" l="1"/>
  <c r="H5" i="7"/>
  <c r="C9" i="8" s="1"/>
  <c r="C16" i="7"/>
  <c r="H427" i="25"/>
  <c r="E333" i="25"/>
  <c r="D10" i="8"/>
  <c r="E10" i="8"/>
  <c r="G10" i="8"/>
  <c r="K10" i="8"/>
  <c r="O10" i="8"/>
  <c r="F10" i="8"/>
  <c r="H10" i="8"/>
  <c r="I10" i="8"/>
  <c r="M10" i="8"/>
  <c r="J10" i="8"/>
  <c r="L10" i="8"/>
  <c r="N10" i="8"/>
  <c r="H11" i="8"/>
  <c r="M11" i="8"/>
  <c r="I11" i="8"/>
  <c r="J11" i="8"/>
  <c r="K11" i="8"/>
  <c r="L11" i="8"/>
  <c r="D11" i="8"/>
  <c r="E11" i="8"/>
  <c r="N11" i="8"/>
  <c r="O11" i="8"/>
  <c r="G11" i="8"/>
  <c r="F11" i="8"/>
  <c r="S13" i="25"/>
  <c r="T13" i="25" s="1"/>
  <c r="S11" i="25"/>
  <c r="T11" i="25" s="1"/>
  <c r="H247" i="25"/>
  <c r="F247" i="25"/>
  <c r="L247" i="25"/>
  <c r="K247" i="25"/>
  <c r="O400" i="25"/>
  <c r="G351" i="25"/>
  <c r="H152" i="25"/>
  <c r="H377" i="25" s="1"/>
  <c r="G380" i="25"/>
  <c r="P249" i="25"/>
  <c r="I52" i="25"/>
  <c r="O247" i="25"/>
  <c r="Q251" i="25"/>
  <c r="Q247" i="25"/>
  <c r="P247" i="25"/>
  <c r="O249" i="25"/>
  <c r="I248" i="25"/>
  <c r="J248" i="25"/>
  <c r="H249" i="25"/>
  <c r="M248" i="25"/>
  <c r="N252" i="25"/>
  <c r="K248" i="25"/>
  <c r="L248" i="25"/>
  <c r="P252" i="25"/>
  <c r="J251" i="25"/>
  <c r="P248" i="25"/>
  <c r="M247" i="25"/>
  <c r="I58" i="25"/>
  <c r="I288" i="25" s="1"/>
  <c r="Q249" i="25"/>
  <c r="H248" i="25"/>
  <c r="P58" i="25"/>
  <c r="F251" i="25"/>
  <c r="G65" i="25"/>
  <c r="N248" i="25"/>
  <c r="J58" i="25"/>
  <c r="G249" i="25"/>
  <c r="J252" i="25"/>
  <c r="L52" i="25"/>
  <c r="M251" i="25"/>
  <c r="H58" i="25"/>
  <c r="H288" i="25" s="1"/>
  <c r="M58" i="25"/>
  <c r="J247" i="25"/>
  <c r="K251" i="25"/>
  <c r="N247" i="25"/>
  <c r="L58" i="25"/>
  <c r="O248" i="25"/>
  <c r="I252" i="25"/>
  <c r="H252" i="25"/>
  <c r="K249" i="25"/>
  <c r="F248" i="25"/>
  <c r="L249" i="25"/>
  <c r="N251" i="25"/>
  <c r="G248" i="25"/>
  <c r="F52" i="25"/>
  <c r="G58" i="25"/>
  <c r="G288" i="25" s="1"/>
  <c r="L252" i="25"/>
  <c r="F249" i="25"/>
  <c r="F58" i="25"/>
  <c r="G251" i="25"/>
  <c r="H251" i="25"/>
  <c r="I251" i="25"/>
  <c r="F252" i="25"/>
  <c r="I249" i="25"/>
  <c r="L251" i="25"/>
  <c r="M249" i="25"/>
  <c r="O251" i="25"/>
  <c r="G247" i="25"/>
  <c r="N58" i="25"/>
  <c r="O58" i="25"/>
  <c r="J249" i="25"/>
  <c r="Q248" i="25"/>
  <c r="H52" i="25"/>
  <c r="N249" i="25"/>
  <c r="P251" i="25"/>
  <c r="Q58" i="25"/>
  <c r="C33" i="8"/>
  <c r="G295" i="25" l="1"/>
  <c r="Y97" i="57"/>
  <c r="L282" i="25"/>
  <c r="AE97" i="57"/>
  <c r="I282" i="25"/>
  <c r="AB97" i="57"/>
  <c r="H282" i="25"/>
  <c r="AA97" i="57"/>
  <c r="N128" i="47"/>
  <c r="Q288" i="25"/>
  <c r="L128" i="47"/>
  <c r="O288" i="25"/>
  <c r="K128" i="47"/>
  <c r="N288" i="25"/>
  <c r="I128" i="47"/>
  <c r="L288" i="25"/>
  <c r="J128" i="47"/>
  <c r="M288" i="25"/>
  <c r="G128" i="47"/>
  <c r="J288" i="25"/>
  <c r="M128" i="47"/>
  <c r="P288" i="25"/>
  <c r="C128" i="47"/>
  <c r="F288" i="25"/>
  <c r="C123" i="47"/>
  <c r="F282" i="25"/>
  <c r="F128" i="47"/>
  <c r="E128" i="47"/>
  <c r="D128" i="47"/>
  <c r="L319" i="25"/>
  <c r="I123" i="47"/>
  <c r="F123" i="47"/>
  <c r="E123" i="47"/>
  <c r="I229" i="25"/>
  <c r="H229" i="25"/>
  <c r="K211" i="25"/>
  <c r="AD46" i="57" s="1"/>
  <c r="K116" i="25"/>
  <c r="K319" i="25"/>
  <c r="F229" i="25"/>
  <c r="G36" i="47"/>
  <c r="N36" i="47"/>
  <c r="M36" i="47"/>
  <c r="H36" i="47"/>
  <c r="I36" i="47"/>
  <c r="L36" i="47"/>
  <c r="J36" i="47"/>
  <c r="K36" i="47"/>
  <c r="H31" i="47"/>
  <c r="I31" i="47"/>
  <c r="C36" i="47"/>
  <c r="E31" i="47"/>
  <c r="F36" i="47"/>
  <c r="E36" i="47"/>
  <c r="D36" i="47"/>
  <c r="C31" i="47"/>
  <c r="F31" i="47"/>
  <c r="S251" i="25"/>
  <c r="S247" i="25"/>
  <c r="S249" i="25"/>
  <c r="S248" i="25"/>
  <c r="S252" i="25"/>
  <c r="P11" i="8"/>
  <c r="P10" i="8"/>
  <c r="H9" i="8"/>
  <c r="D9" i="8"/>
  <c r="E9" i="8"/>
  <c r="G9" i="8"/>
  <c r="J9" i="8"/>
  <c r="N9" i="8"/>
  <c r="L9" i="8"/>
  <c r="F9" i="8"/>
  <c r="I9" i="8"/>
  <c r="K9" i="8"/>
  <c r="M9" i="8"/>
  <c r="O9" i="8"/>
  <c r="S58" i="25"/>
  <c r="H123" i="25"/>
  <c r="G354" i="25"/>
  <c r="H56" i="25"/>
  <c r="P52" i="25"/>
  <c r="AI97" i="57" s="1"/>
  <c r="N52" i="25"/>
  <c r="L57" i="25"/>
  <c r="I57" i="25"/>
  <c r="I64" i="25"/>
  <c r="I65" i="25"/>
  <c r="P56" i="25"/>
  <c r="M56" i="25"/>
  <c r="O52" i="25"/>
  <c r="AH97" i="57" s="1"/>
  <c r="L56" i="25"/>
  <c r="M57" i="25"/>
  <c r="L64" i="25"/>
  <c r="L294" i="25" s="1"/>
  <c r="F56" i="25"/>
  <c r="H65" i="25"/>
  <c r="H64" i="25"/>
  <c r="I56" i="25"/>
  <c r="J52" i="25"/>
  <c r="Q52" i="25"/>
  <c r="M52" i="25"/>
  <c r="O56" i="25"/>
  <c r="F64" i="25"/>
  <c r="J64" i="25"/>
  <c r="H57" i="25"/>
  <c r="F57" i="25"/>
  <c r="G57" i="25"/>
  <c r="Q64" i="25"/>
  <c r="Q294" i="25" s="1"/>
  <c r="P64" i="25"/>
  <c r="P294" i="25" s="1"/>
  <c r="G52" i="25"/>
  <c r="G56" i="25"/>
  <c r="Q57" i="25"/>
  <c r="Q56" i="25"/>
  <c r="M64" i="25"/>
  <c r="M294" i="25" s="1"/>
  <c r="J56" i="25"/>
  <c r="P57" i="25"/>
  <c r="O57" i="25"/>
  <c r="J57" i="25"/>
  <c r="N56" i="25"/>
  <c r="N57" i="25"/>
  <c r="O64" i="25"/>
  <c r="O294" i="25" s="1"/>
  <c r="G64" i="25"/>
  <c r="N64" i="25"/>
  <c r="N294" i="25" s="1"/>
  <c r="C7" i="8"/>
  <c r="C8" i="8"/>
  <c r="C6" i="8"/>
  <c r="P128" i="47" l="1"/>
  <c r="P36" i="47"/>
  <c r="I287" i="25"/>
  <c r="G287" i="25"/>
  <c r="H287" i="25"/>
  <c r="F294" i="25"/>
  <c r="AI98" i="57"/>
  <c r="Y98" i="57"/>
  <c r="AE98" i="57"/>
  <c r="AH98" i="57"/>
  <c r="AJ98" i="57"/>
  <c r="AG98" i="57"/>
  <c r="AF98" i="57"/>
  <c r="AC98" i="57"/>
  <c r="I286" i="25"/>
  <c r="AB98" i="57"/>
  <c r="H286" i="25"/>
  <c r="AA98" i="57"/>
  <c r="G286" i="25"/>
  <c r="Z98" i="57"/>
  <c r="Q282" i="25"/>
  <c r="AJ97" i="57"/>
  <c r="N282" i="25"/>
  <c r="AG97" i="57"/>
  <c r="M282" i="25"/>
  <c r="AF97" i="57"/>
  <c r="J282" i="25"/>
  <c r="AC97" i="57"/>
  <c r="G282" i="25"/>
  <c r="Z97" i="57"/>
  <c r="H230" i="25"/>
  <c r="AA34" i="57"/>
  <c r="I230" i="25"/>
  <c r="AB34" i="57"/>
  <c r="F230" i="25"/>
  <c r="Y34" i="57"/>
  <c r="H294" i="25"/>
  <c r="H295" i="25"/>
  <c r="I294" i="25"/>
  <c r="G294" i="25"/>
  <c r="J294" i="25"/>
  <c r="I295" i="25"/>
  <c r="N126" i="47"/>
  <c r="Q286" i="25"/>
  <c r="I127" i="47"/>
  <c r="L287" i="25"/>
  <c r="G126" i="47"/>
  <c r="J286" i="25"/>
  <c r="N127" i="47"/>
  <c r="Q287" i="25"/>
  <c r="J127" i="47"/>
  <c r="M287" i="25"/>
  <c r="J126" i="47"/>
  <c r="M286" i="25"/>
  <c r="I126" i="47"/>
  <c r="L286" i="25"/>
  <c r="M126" i="47"/>
  <c r="P286" i="25"/>
  <c r="G127" i="47"/>
  <c r="J287" i="25"/>
  <c r="L126" i="47"/>
  <c r="O286" i="25"/>
  <c r="L127" i="47"/>
  <c r="O287" i="25"/>
  <c r="M127" i="47"/>
  <c r="P287" i="25"/>
  <c r="K127" i="47"/>
  <c r="N287" i="25"/>
  <c r="K126" i="47"/>
  <c r="N286" i="25"/>
  <c r="M123" i="47"/>
  <c r="P282" i="25"/>
  <c r="L123" i="47"/>
  <c r="O282" i="25"/>
  <c r="C127" i="47"/>
  <c r="F287" i="25"/>
  <c r="C126" i="47"/>
  <c r="F286" i="25"/>
  <c r="L116" i="25"/>
  <c r="O128" i="47"/>
  <c r="L211" i="25"/>
  <c r="F127" i="47"/>
  <c r="E127" i="47"/>
  <c r="D127" i="47"/>
  <c r="F126" i="47"/>
  <c r="E126" i="47"/>
  <c r="D126" i="47"/>
  <c r="Q89" i="25"/>
  <c r="Q211" i="25" s="1"/>
  <c r="AJ46" i="57" s="1"/>
  <c r="N123" i="47"/>
  <c r="N89" i="25"/>
  <c r="N211" i="25" s="1"/>
  <c r="AG46" i="57" s="1"/>
  <c r="K123" i="47"/>
  <c r="M89" i="25"/>
  <c r="M116" i="25" s="1"/>
  <c r="J123" i="47"/>
  <c r="G123" i="47"/>
  <c r="D123" i="47"/>
  <c r="J319" i="25"/>
  <c r="G229" i="25"/>
  <c r="O89" i="25"/>
  <c r="P89" i="25"/>
  <c r="N35" i="47"/>
  <c r="G31" i="47"/>
  <c r="K35" i="47"/>
  <c r="K34" i="47"/>
  <c r="I35" i="47"/>
  <c r="H34" i="47"/>
  <c r="M31" i="47"/>
  <c r="N31" i="47"/>
  <c r="G35" i="47"/>
  <c r="H35" i="47"/>
  <c r="N34" i="47"/>
  <c r="J31" i="47"/>
  <c r="M35" i="47"/>
  <c r="I34" i="47"/>
  <c r="J35" i="47"/>
  <c r="G34" i="47"/>
  <c r="L31" i="47"/>
  <c r="J34" i="47"/>
  <c r="K31" i="47"/>
  <c r="L35" i="47"/>
  <c r="L34" i="47"/>
  <c r="M34" i="47"/>
  <c r="F34" i="47"/>
  <c r="C34" i="47"/>
  <c r="D35" i="47"/>
  <c r="E34" i="47"/>
  <c r="C35" i="47"/>
  <c r="D34" i="47"/>
  <c r="F35" i="47"/>
  <c r="D31" i="47"/>
  <c r="E35" i="47"/>
  <c r="O36" i="47"/>
  <c r="S288" i="25"/>
  <c r="P9" i="8"/>
  <c r="D6" i="8"/>
  <c r="N6" i="8"/>
  <c r="E6" i="8"/>
  <c r="F6" i="8"/>
  <c r="G6" i="8"/>
  <c r="H6" i="8"/>
  <c r="I6" i="8"/>
  <c r="J6" i="8"/>
  <c r="M6" i="8"/>
  <c r="O6" i="8"/>
  <c r="K6" i="8"/>
  <c r="L6" i="8"/>
  <c r="L8" i="8"/>
  <c r="O8" i="8"/>
  <c r="I8" i="8"/>
  <c r="M8" i="8"/>
  <c r="D8" i="8"/>
  <c r="F8" i="8"/>
  <c r="N8" i="8"/>
  <c r="G8" i="8"/>
  <c r="H8" i="8"/>
  <c r="K8" i="8"/>
  <c r="J8" i="8"/>
  <c r="E8" i="8"/>
  <c r="H7" i="8"/>
  <c r="L7" i="8"/>
  <c r="M7" i="8"/>
  <c r="I7" i="8"/>
  <c r="K7" i="8"/>
  <c r="O7" i="8"/>
  <c r="J7" i="8"/>
  <c r="F7" i="8"/>
  <c r="N7" i="8"/>
  <c r="D7" i="8"/>
  <c r="G7" i="8"/>
  <c r="E7" i="8"/>
  <c r="S64" i="25"/>
  <c r="S57" i="25"/>
  <c r="S56" i="25"/>
  <c r="S52" i="25"/>
  <c r="P400" i="25"/>
  <c r="H351" i="25"/>
  <c r="H125" i="25"/>
  <c r="H390" i="25"/>
  <c r="F344" i="25"/>
  <c r="H344" i="25"/>
  <c r="I165" i="25"/>
  <c r="I464" i="25" s="1"/>
  <c r="I344" i="25"/>
  <c r="C12" i="8"/>
  <c r="P127" i="47" l="1"/>
  <c r="P126" i="47"/>
  <c r="P123" i="47"/>
  <c r="P35" i="47"/>
  <c r="P34" i="47"/>
  <c r="P31" i="47"/>
  <c r="AB35" i="57"/>
  <c r="AB67" i="57"/>
  <c r="AA35" i="57"/>
  <c r="AA67" i="57"/>
  <c r="Y35" i="57"/>
  <c r="Y67" i="57"/>
  <c r="L217" i="25"/>
  <c r="L165" i="25" s="1"/>
  <c r="L464" i="25" s="1"/>
  <c r="AE46" i="57"/>
  <c r="G230" i="25"/>
  <c r="Z34" i="57"/>
  <c r="O127" i="47"/>
  <c r="S319" i="25"/>
  <c r="O126" i="47"/>
  <c r="Q319" i="25"/>
  <c r="N319" i="25"/>
  <c r="M319" i="25"/>
  <c r="N116" i="25"/>
  <c r="Q116" i="25"/>
  <c r="S116" i="25" s="1"/>
  <c r="S89" i="25"/>
  <c r="O123" i="47"/>
  <c r="M211" i="25"/>
  <c r="P211" i="25"/>
  <c r="I390" i="25"/>
  <c r="O211" i="25"/>
  <c r="P319" i="25"/>
  <c r="P116" i="25"/>
  <c r="O319" i="25"/>
  <c r="O116" i="25"/>
  <c r="O31" i="47"/>
  <c r="O35" i="47"/>
  <c r="O34" i="47"/>
  <c r="O12" i="8"/>
  <c r="K12" i="8"/>
  <c r="M12" i="8"/>
  <c r="J12" i="8"/>
  <c r="I12" i="8"/>
  <c r="H12" i="8"/>
  <c r="G12" i="8"/>
  <c r="F12" i="8"/>
  <c r="L12" i="8"/>
  <c r="E12" i="8"/>
  <c r="N12" i="8"/>
  <c r="D12" i="8"/>
  <c r="P8" i="8"/>
  <c r="P6" i="8"/>
  <c r="P7" i="8"/>
  <c r="C19" i="8"/>
  <c r="S287" i="25"/>
  <c r="S294" i="25"/>
  <c r="S286" i="25"/>
  <c r="S282" i="25"/>
  <c r="F390" i="25"/>
  <c r="G344" i="25"/>
  <c r="G390" i="25"/>
  <c r="H19" i="8"/>
  <c r="I19" i="8"/>
  <c r="F19" i="8"/>
  <c r="E19" i="8"/>
  <c r="G19" i="8"/>
  <c r="D19" i="8"/>
  <c r="J19" i="8"/>
  <c r="Z35" i="57" l="1"/>
  <c r="Z67" i="57"/>
  <c r="Q217" i="25"/>
  <c r="Q165" i="25" s="1"/>
  <c r="Q464" i="25" s="1"/>
  <c r="AI46" i="57"/>
  <c r="O217" i="25"/>
  <c r="O165" i="25" s="1"/>
  <c r="O464" i="25" s="1"/>
  <c r="AH46" i="57"/>
  <c r="M217" i="25"/>
  <c r="M165" i="25" s="1"/>
  <c r="M464" i="25" s="1"/>
  <c r="AF46" i="57"/>
  <c r="N217" i="25"/>
  <c r="N165" i="25" s="1"/>
  <c r="N464" i="25" s="1"/>
  <c r="J165" i="25"/>
  <c r="J464" i="25" s="1"/>
  <c r="K217" i="25"/>
  <c r="P217" i="25"/>
  <c r="P165" i="25" s="1"/>
  <c r="C21" i="8"/>
  <c r="C23" i="8" s="1"/>
  <c r="P12" i="8"/>
  <c r="G246" i="25"/>
  <c r="Q400" i="25"/>
  <c r="F246" i="25"/>
  <c r="K19" i="8"/>
  <c r="K165" i="25" l="1"/>
  <c r="K464" i="25" s="1"/>
  <c r="P464" i="25"/>
  <c r="M246" i="25"/>
  <c r="K246" i="25"/>
  <c r="J246" i="25"/>
  <c r="L246" i="25"/>
  <c r="D18" i="8"/>
  <c r="D20" i="8" s="1"/>
  <c r="I246" i="25"/>
  <c r="H246" i="25"/>
  <c r="G192" i="25"/>
  <c r="Z3" i="57" s="1"/>
  <c r="G53" i="25"/>
  <c r="G417" i="25"/>
  <c r="L19" i="8"/>
  <c r="G283" i="25" l="1"/>
  <c r="D124" i="47"/>
  <c r="S165" i="25"/>
  <c r="S464" i="25"/>
  <c r="K228" i="25"/>
  <c r="AD33" i="57" s="1"/>
  <c r="M228" i="25"/>
  <c r="AF33" i="57" s="1"/>
  <c r="J228" i="25"/>
  <c r="AC33" i="57" s="1"/>
  <c r="L228" i="25"/>
  <c r="AE33" i="57" s="1"/>
  <c r="D32" i="47"/>
  <c r="D21" i="8"/>
  <c r="J192" i="25"/>
  <c r="AC3" i="57" s="1"/>
  <c r="H192" i="25"/>
  <c r="AA3" i="57" s="1"/>
  <c r="M192" i="25"/>
  <c r="AF3" i="57" s="1"/>
  <c r="I192" i="25"/>
  <c r="AB3" i="57" s="1"/>
  <c r="L192" i="25"/>
  <c r="AE3" i="57" s="1"/>
  <c r="F192" i="25"/>
  <c r="Y3" i="57" s="1"/>
  <c r="G54" i="25"/>
  <c r="G59" i="25"/>
  <c r="M53" i="25"/>
  <c r="I53" i="25"/>
  <c r="F53" i="25"/>
  <c r="J53" i="25"/>
  <c r="L53" i="25"/>
  <c r="H53" i="25"/>
  <c r="I417" i="25"/>
  <c r="K417" i="25"/>
  <c r="L417" i="25"/>
  <c r="G309" i="25"/>
  <c r="G338" i="25" s="1"/>
  <c r="G341" i="25" s="1"/>
  <c r="H110" i="25"/>
  <c r="H113" i="25" s="1"/>
  <c r="AA107" i="57" s="1"/>
  <c r="H417" i="25"/>
  <c r="M417" i="25"/>
  <c r="G313" i="25"/>
  <c r="J417" i="25"/>
  <c r="N246" i="25"/>
  <c r="M19" i="8"/>
  <c r="O246" i="25"/>
  <c r="D9" i="47" l="1"/>
  <c r="D101" i="47" s="1"/>
  <c r="H283" i="25"/>
  <c r="J283" i="25"/>
  <c r="I283" i="25"/>
  <c r="Z9" i="57"/>
  <c r="Z93" i="57"/>
  <c r="D129" i="47"/>
  <c r="H22" i="60" s="1"/>
  <c r="G289" i="25"/>
  <c r="G418" i="25" s="1"/>
  <c r="G419" i="25" s="1"/>
  <c r="J124" i="47"/>
  <c r="M283" i="25"/>
  <c r="I124" i="47"/>
  <c r="L283" i="25"/>
  <c r="C124" i="47"/>
  <c r="F283" i="25"/>
  <c r="G124" i="47"/>
  <c r="F124" i="47"/>
  <c r="E124" i="47"/>
  <c r="D125" i="47"/>
  <c r="D33" i="47"/>
  <c r="I32" i="47"/>
  <c r="G32" i="47"/>
  <c r="J32" i="47"/>
  <c r="H32" i="47"/>
  <c r="H125" i="47" s="1"/>
  <c r="D37" i="47"/>
  <c r="E32" i="47"/>
  <c r="C32" i="47"/>
  <c r="F32" i="47"/>
  <c r="G284" i="25"/>
  <c r="J59" i="25"/>
  <c r="L110" i="25"/>
  <c r="L113" i="25" s="1"/>
  <c r="AE107" i="57" s="1"/>
  <c r="L210" i="25"/>
  <c r="AE45" i="57" s="1"/>
  <c r="K110" i="25"/>
  <c r="K113" i="25" s="1"/>
  <c r="AD107" i="57" s="1"/>
  <c r="K210" i="25"/>
  <c r="AD45" i="57" s="1"/>
  <c r="I110" i="25"/>
  <c r="I113" i="25" s="1"/>
  <c r="AB107" i="57" s="1"/>
  <c r="I210" i="25"/>
  <c r="M110" i="25"/>
  <c r="M113" i="25" s="1"/>
  <c r="AF107" i="57" s="1"/>
  <c r="M210" i="25"/>
  <c r="AF45" i="57" s="1"/>
  <c r="D23" i="8"/>
  <c r="G193" i="25"/>
  <c r="Z83" i="57" s="1"/>
  <c r="E18" i="8"/>
  <c r="E20" i="8" s="1"/>
  <c r="F417" i="25"/>
  <c r="J54" i="25"/>
  <c r="H54" i="25"/>
  <c r="H59" i="25"/>
  <c r="L54" i="25"/>
  <c r="L59" i="25"/>
  <c r="M54" i="25"/>
  <c r="M59" i="25"/>
  <c r="I54" i="25"/>
  <c r="I59" i="25"/>
  <c r="F54" i="25"/>
  <c r="F59" i="25"/>
  <c r="I309" i="25"/>
  <c r="I338" i="25" s="1"/>
  <c r="I341" i="25" s="1"/>
  <c r="I164" i="25"/>
  <c r="L309" i="25"/>
  <c r="L338" i="25" s="1"/>
  <c r="L341" i="25" s="1"/>
  <c r="F313" i="25"/>
  <c r="M309" i="25"/>
  <c r="M338" i="25" s="1"/>
  <c r="M341" i="25" s="1"/>
  <c r="F309" i="25"/>
  <c r="F338" i="25" s="1"/>
  <c r="F341" i="25" s="1"/>
  <c r="H389" i="25"/>
  <c r="H309" i="25"/>
  <c r="H338" i="25" s="1"/>
  <c r="H341" i="25" s="1"/>
  <c r="G389" i="25"/>
  <c r="K309" i="25"/>
  <c r="K338" i="25" s="1"/>
  <c r="K341" i="25" s="1"/>
  <c r="J309" i="25"/>
  <c r="J338" i="25" s="1"/>
  <c r="J341" i="25" s="1"/>
  <c r="S10" i="25"/>
  <c r="T10" i="25" s="1"/>
  <c r="N19" i="8"/>
  <c r="O19" i="8" s="1"/>
  <c r="P124" i="47" l="1"/>
  <c r="P125" i="47" s="1"/>
  <c r="P32" i="47"/>
  <c r="P33" i="47" s="1"/>
  <c r="D111" i="47"/>
  <c r="H111" i="47"/>
  <c r="F111" i="47"/>
  <c r="E111" i="47"/>
  <c r="I111" i="47"/>
  <c r="G111" i="47"/>
  <c r="C111" i="47"/>
  <c r="C19" i="47"/>
  <c r="D19" i="47"/>
  <c r="E19" i="47"/>
  <c r="F19" i="47"/>
  <c r="H19" i="47"/>
  <c r="G19" i="47"/>
  <c r="I19" i="47"/>
  <c r="D10" i="47"/>
  <c r="D102" i="47" s="1"/>
  <c r="J125" i="47"/>
  <c r="AF9" i="57"/>
  <c r="AF93" i="57"/>
  <c r="AE9" i="57"/>
  <c r="AE93" i="57"/>
  <c r="AC9" i="57"/>
  <c r="AC93" i="57"/>
  <c r="AB9" i="57"/>
  <c r="AB93" i="57"/>
  <c r="AA9" i="57"/>
  <c r="AA93" i="57"/>
  <c r="Y9" i="57"/>
  <c r="Y93" i="57"/>
  <c r="J216" i="25"/>
  <c r="J219" i="25" s="1"/>
  <c r="AB45" i="57"/>
  <c r="G194" i="25"/>
  <c r="Z4" i="57"/>
  <c r="I125" i="47"/>
  <c r="G129" i="47"/>
  <c r="H25" i="60" s="1"/>
  <c r="J289" i="25"/>
  <c r="J418" i="25" s="1"/>
  <c r="J419" i="25" s="1"/>
  <c r="F129" i="47"/>
  <c r="I289" i="25"/>
  <c r="I418" i="25" s="1"/>
  <c r="I419" i="25" s="1"/>
  <c r="I129" i="47"/>
  <c r="L289" i="25"/>
  <c r="L418" i="25" s="1"/>
  <c r="L419" i="25" s="1"/>
  <c r="E129" i="47"/>
  <c r="H23" i="60" s="1"/>
  <c r="H289" i="25"/>
  <c r="H418" i="25" s="1"/>
  <c r="H419" i="25" s="1"/>
  <c r="J129" i="47"/>
  <c r="M289" i="25"/>
  <c r="M418" i="25" s="1"/>
  <c r="M419" i="25" s="1"/>
  <c r="G125" i="47"/>
  <c r="F125" i="47"/>
  <c r="C129" i="47"/>
  <c r="F289" i="25"/>
  <c r="D130" i="47"/>
  <c r="E125" i="47"/>
  <c r="C125" i="47"/>
  <c r="I463" i="25"/>
  <c r="E101" i="47"/>
  <c r="F101" i="47"/>
  <c r="E33" i="47"/>
  <c r="H33" i="47"/>
  <c r="F33" i="47"/>
  <c r="D38" i="47"/>
  <c r="J33" i="47"/>
  <c r="G33" i="47"/>
  <c r="I33" i="47"/>
  <c r="I216" i="25"/>
  <c r="I213" i="25"/>
  <c r="I389" i="25"/>
  <c r="O228" i="25"/>
  <c r="AH33" i="57" s="1"/>
  <c r="N228" i="25"/>
  <c r="AG33" i="57" s="1"/>
  <c r="G37" i="47"/>
  <c r="H37" i="47"/>
  <c r="H130" i="47" s="1"/>
  <c r="I37" i="47"/>
  <c r="J37" i="47"/>
  <c r="E37" i="47"/>
  <c r="C33" i="47"/>
  <c r="E9" i="47"/>
  <c r="F9" i="47"/>
  <c r="C37" i="47"/>
  <c r="F37" i="47"/>
  <c r="K418" i="25"/>
  <c r="K419" i="25" s="1"/>
  <c r="J193" i="25"/>
  <c r="AC83" i="57" s="1"/>
  <c r="M284" i="25"/>
  <c r="L284" i="25"/>
  <c r="K284" i="25"/>
  <c r="J284" i="25"/>
  <c r="I284" i="25"/>
  <c r="H284" i="25"/>
  <c r="F284" i="25"/>
  <c r="M216" i="25"/>
  <c r="K216" i="25"/>
  <c r="K164" i="25" s="1"/>
  <c r="L216" i="25"/>
  <c r="M193" i="25"/>
  <c r="AF83" i="57" s="1"/>
  <c r="L193" i="25"/>
  <c r="AE83" i="57" s="1"/>
  <c r="I193" i="25"/>
  <c r="AB83" i="57" s="1"/>
  <c r="H193" i="25"/>
  <c r="AA83" i="57" s="1"/>
  <c r="E21" i="8"/>
  <c r="O210" i="25"/>
  <c r="AH45" i="57" s="1"/>
  <c r="N192" i="25"/>
  <c r="AG3" i="57" s="1"/>
  <c r="O192" i="25"/>
  <c r="AH3" i="57" s="1"/>
  <c r="F193" i="25"/>
  <c r="N53" i="25"/>
  <c r="O53" i="25"/>
  <c r="F389" i="25"/>
  <c r="O417" i="25"/>
  <c r="C38" i="8"/>
  <c r="C39" i="8" s="1"/>
  <c r="C40" i="8" s="1"/>
  <c r="Q246" i="25"/>
  <c r="H21" i="60" l="1"/>
  <c r="P129" i="47"/>
  <c r="P130" i="47" s="1"/>
  <c r="P37" i="47"/>
  <c r="P38" i="47" s="1"/>
  <c r="E112" i="47"/>
  <c r="G112" i="47"/>
  <c r="I112" i="47"/>
  <c r="D112" i="47"/>
  <c r="C112" i="47"/>
  <c r="H112" i="47"/>
  <c r="F112" i="47"/>
  <c r="E20" i="47"/>
  <c r="F20" i="47"/>
  <c r="C20" i="47"/>
  <c r="D20" i="47"/>
  <c r="H20" i="47"/>
  <c r="I20" i="47"/>
  <c r="G20" i="47"/>
  <c r="G130" i="47"/>
  <c r="J164" i="25"/>
  <c r="J463" i="25" s="1"/>
  <c r="AB48" i="57"/>
  <c r="AB79" i="57"/>
  <c r="Z10" i="57"/>
  <c r="Z52" i="57"/>
  <c r="Y4" i="57"/>
  <c r="Y83" i="57"/>
  <c r="H194" i="25"/>
  <c r="AA4" i="57"/>
  <c r="J194" i="25"/>
  <c r="AC4" i="57"/>
  <c r="L194" i="25"/>
  <c r="AE4" i="57"/>
  <c r="M194" i="25"/>
  <c r="AF4" i="57"/>
  <c r="I194" i="25"/>
  <c r="AB4" i="57"/>
  <c r="F130" i="47"/>
  <c r="J130" i="47"/>
  <c r="I130" i="47"/>
  <c r="K124" i="47"/>
  <c r="N283" i="25"/>
  <c r="L124" i="47"/>
  <c r="O283" i="25"/>
  <c r="C130" i="47"/>
  <c r="E130" i="47"/>
  <c r="M164" i="25"/>
  <c r="M463" i="25" s="1"/>
  <c r="L164" i="25"/>
  <c r="L463" i="25" s="1"/>
  <c r="K463" i="25"/>
  <c r="I219" i="25"/>
  <c r="I223" i="25" s="1"/>
  <c r="E102" i="47"/>
  <c r="F102" i="47"/>
  <c r="D104" i="47"/>
  <c r="H38" i="47"/>
  <c r="G38" i="47"/>
  <c r="E38" i="47"/>
  <c r="F38" i="47"/>
  <c r="J38" i="47"/>
  <c r="I38" i="47"/>
  <c r="L32" i="47"/>
  <c r="K32" i="47"/>
  <c r="H29" i="60"/>
  <c r="E10" i="47"/>
  <c r="F10" i="47"/>
  <c r="D12" i="47"/>
  <c r="E12" i="47" s="1"/>
  <c r="C38" i="47"/>
  <c r="N110" i="25"/>
  <c r="N113" i="25" s="1"/>
  <c r="AG107" i="57" s="1"/>
  <c r="N210" i="25"/>
  <c r="AG45" i="57" s="1"/>
  <c r="E23" i="8"/>
  <c r="F18" i="8"/>
  <c r="F20" i="8" s="1"/>
  <c r="F194" i="25"/>
  <c r="C29" i="8"/>
  <c r="C30" i="8" s="1"/>
  <c r="D30" i="8" s="1"/>
  <c r="F418" i="25"/>
  <c r="F419" i="25" s="1"/>
  <c r="N417" i="25"/>
  <c r="N59" i="25"/>
  <c r="O54" i="25"/>
  <c r="O59" i="25"/>
  <c r="N54" i="25"/>
  <c r="P246" i="25"/>
  <c r="S246" i="25" s="1"/>
  <c r="N309" i="25"/>
  <c r="N338" i="25" s="1"/>
  <c r="N341" i="25" s="1"/>
  <c r="AH9" i="57" l="1"/>
  <c r="AH93" i="57"/>
  <c r="AG9" i="57"/>
  <c r="AG93" i="57"/>
  <c r="AB10" i="57"/>
  <c r="AB52" i="57"/>
  <c r="AF10" i="57"/>
  <c r="AF52" i="57"/>
  <c r="AE10" i="57"/>
  <c r="AE52" i="57"/>
  <c r="AC10" i="57"/>
  <c r="AC52" i="57"/>
  <c r="AA10" i="57"/>
  <c r="AA52" i="57"/>
  <c r="Y10" i="57"/>
  <c r="Y52" i="57"/>
  <c r="K125" i="47"/>
  <c r="L125" i="47"/>
  <c r="L129" i="47"/>
  <c r="O289" i="25"/>
  <c r="O418" i="25" s="1"/>
  <c r="O419" i="25" s="1"/>
  <c r="K129" i="47"/>
  <c r="N289" i="25"/>
  <c r="N418" i="25" s="1"/>
  <c r="N419" i="25" s="1"/>
  <c r="E104" i="47"/>
  <c r="L389" i="25"/>
  <c r="K389" i="25"/>
  <c r="J389" i="25"/>
  <c r="M389" i="25"/>
  <c r="K33" i="47"/>
  <c r="L33" i="47"/>
  <c r="N216" i="25"/>
  <c r="K37" i="47"/>
  <c r="L37" i="47"/>
  <c r="O284" i="25"/>
  <c r="N284" i="25"/>
  <c r="O216" i="25"/>
  <c r="O193" i="25"/>
  <c r="AH83" i="57" s="1"/>
  <c r="F21" i="8"/>
  <c r="N193" i="25"/>
  <c r="Q192" i="25"/>
  <c r="AJ3" i="57" s="1"/>
  <c r="Q53" i="25"/>
  <c r="S228" i="25"/>
  <c r="Q417" i="25"/>
  <c r="G345" i="25"/>
  <c r="G346" i="25" s="1"/>
  <c r="G347" i="25" s="1"/>
  <c r="G391" i="25"/>
  <c r="AG4" i="57" l="1"/>
  <c r="AG83" i="57"/>
  <c r="O194" i="25"/>
  <c r="AH4" i="57"/>
  <c r="L130" i="47"/>
  <c r="K130" i="47"/>
  <c r="N124" i="47"/>
  <c r="Q283" i="25"/>
  <c r="O164" i="25"/>
  <c r="O463" i="25" s="1"/>
  <c r="N164" i="25"/>
  <c r="N463" i="25" s="1"/>
  <c r="L38" i="47"/>
  <c r="K38" i="47"/>
  <c r="P228" i="25"/>
  <c r="AI33" i="57" s="1"/>
  <c r="Q228" i="25"/>
  <c r="AJ33" i="57" s="1"/>
  <c r="N32" i="47"/>
  <c r="Q210" i="25"/>
  <c r="AJ45" i="57" s="1"/>
  <c r="F23" i="8"/>
  <c r="G18" i="8"/>
  <c r="N194" i="25"/>
  <c r="S51" i="25"/>
  <c r="P210" i="25"/>
  <c r="AI45" i="57" s="1"/>
  <c r="S79" i="25"/>
  <c r="P192" i="25"/>
  <c r="Q110" i="25"/>
  <c r="Q54" i="25"/>
  <c r="Q59" i="25"/>
  <c r="P53" i="25"/>
  <c r="Q309" i="25"/>
  <c r="S309" i="25" s="1"/>
  <c r="F328" i="25"/>
  <c r="F345" i="25"/>
  <c r="F346" i="25" s="1"/>
  <c r="F347" i="25" s="1"/>
  <c r="AJ9" i="57" l="1"/>
  <c r="AJ93" i="57"/>
  <c r="AG10" i="57"/>
  <c r="AG52" i="57"/>
  <c r="AH10" i="57"/>
  <c r="AH52" i="57"/>
  <c r="S192" i="25"/>
  <c r="A5" i="57" s="1"/>
  <c r="AI3" i="57"/>
  <c r="N125" i="47"/>
  <c r="N129" i="47"/>
  <c r="Q289" i="25"/>
  <c r="Q418" i="25" s="1"/>
  <c r="Q419" i="25" s="1"/>
  <c r="M124" i="47"/>
  <c r="O124" i="47" s="1"/>
  <c r="P283" i="25"/>
  <c r="S283" i="25" s="1"/>
  <c r="N389" i="25"/>
  <c r="N33" i="47"/>
  <c r="P216" i="25"/>
  <c r="N37" i="47"/>
  <c r="M32" i="47"/>
  <c r="Q284" i="25"/>
  <c r="S53" i="25"/>
  <c r="Q216" i="25"/>
  <c r="S281" i="25"/>
  <c r="Q193" i="25"/>
  <c r="AJ83" i="57" s="1"/>
  <c r="G20" i="8"/>
  <c r="F329" i="25"/>
  <c r="Q113" i="25"/>
  <c r="S110" i="25"/>
  <c r="P417" i="25"/>
  <c r="Q338" i="25"/>
  <c r="S338" i="25" s="1"/>
  <c r="P110" i="25"/>
  <c r="P113" i="25" s="1"/>
  <c r="AI107" i="57" s="1"/>
  <c r="P59" i="25"/>
  <c r="P54" i="25"/>
  <c r="F391" i="25"/>
  <c r="G328" i="25"/>
  <c r="P309" i="25"/>
  <c r="P338" i="25" s="1"/>
  <c r="P341" i="25" s="1"/>
  <c r="S113" i="25" l="1"/>
  <c r="AJ107" i="57"/>
  <c r="N130" i="47"/>
  <c r="AI9" i="57"/>
  <c r="AI93" i="57"/>
  <c r="Q194" i="25"/>
  <c r="AJ4" i="57"/>
  <c r="M125" i="47"/>
  <c r="M129" i="47"/>
  <c r="O129" i="47" s="1"/>
  <c r="P289" i="25"/>
  <c r="S289" i="25" s="1"/>
  <c r="T289" i="25" s="1"/>
  <c r="T283" i="25"/>
  <c r="T281" i="25"/>
  <c r="T298" i="25"/>
  <c r="T285" i="25"/>
  <c r="T293" i="25"/>
  <c r="T296" i="25"/>
  <c r="T288" i="25"/>
  <c r="T286" i="25"/>
  <c r="T282" i="25"/>
  <c r="T294" i="25"/>
  <c r="T287" i="25"/>
  <c r="Q164" i="25"/>
  <c r="Q463" i="25" s="1"/>
  <c r="P164" i="25"/>
  <c r="P463" i="25" s="1"/>
  <c r="N38" i="47"/>
  <c r="M33" i="47"/>
  <c r="O32" i="47"/>
  <c r="O125" i="47" s="1"/>
  <c r="M37" i="47"/>
  <c r="S54" i="25"/>
  <c r="P284" i="25"/>
  <c r="S284" i="25"/>
  <c r="T284" i="25" s="1"/>
  <c r="G21" i="8"/>
  <c r="H18" i="8" s="1"/>
  <c r="G329" i="25"/>
  <c r="P193" i="25"/>
  <c r="S59" i="25"/>
  <c r="Q341" i="25"/>
  <c r="S341" i="25" s="1"/>
  <c r="M130" i="47" l="1"/>
  <c r="AI4" i="57"/>
  <c r="AI83" i="57"/>
  <c r="AJ10" i="57"/>
  <c r="AJ52" i="57"/>
  <c r="S164" i="25"/>
  <c r="Q389" i="25"/>
  <c r="S463" i="25"/>
  <c r="O33" i="47"/>
  <c r="M38" i="47"/>
  <c r="O37" i="47"/>
  <c r="O130" i="47" s="1"/>
  <c r="G23" i="8"/>
  <c r="H20" i="8"/>
  <c r="P194" i="25"/>
  <c r="S193" i="25"/>
  <c r="P418" i="25"/>
  <c r="P419" i="25" s="1"/>
  <c r="F331" i="25"/>
  <c r="G331" i="25"/>
  <c r="AC112" i="57" l="1"/>
  <c r="AD112" i="57"/>
  <c r="AA112" i="57"/>
  <c r="AB112" i="57"/>
  <c r="Y112" i="57"/>
  <c r="Z112" i="57"/>
  <c r="AI10" i="57"/>
  <c r="AI52" i="57"/>
  <c r="D5" i="57"/>
  <c r="G5" i="57"/>
  <c r="O38" i="47"/>
  <c r="H21" i="8"/>
  <c r="F308" i="25"/>
  <c r="G178" i="25"/>
  <c r="I18" i="8" l="1"/>
  <c r="I20" i="8" s="1"/>
  <c r="I21" i="8" s="1"/>
  <c r="H23" i="8"/>
  <c r="G403" i="25"/>
  <c r="F312" i="25"/>
  <c r="J18" i="8" l="1"/>
  <c r="I23" i="8"/>
  <c r="F333" i="25"/>
  <c r="F315" i="25"/>
  <c r="J20" i="8" l="1"/>
  <c r="G308" i="25"/>
  <c r="H178" i="25"/>
  <c r="J21" i="8" l="1"/>
  <c r="K18" i="8" s="1"/>
  <c r="H403" i="25"/>
  <c r="G312" i="25"/>
  <c r="J23" i="8" l="1"/>
  <c r="K20" i="8"/>
  <c r="G333" i="25"/>
  <c r="G315" i="25"/>
  <c r="K21" i="8" l="1"/>
  <c r="L18" i="8" l="1"/>
  <c r="K23" i="8"/>
  <c r="L20" i="8" l="1"/>
  <c r="L21" i="8" s="1"/>
  <c r="M18" i="8" l="1"/>
  <c r="M20" i="8" s="1"/>
  <c r="M21" i="8" s="1"/>
  <c r="N18" i="8" s="1"/>
  <c r="L23" i="8"/>
  <c r="M23" i="8" l="1"/>
  <c r="N20" i="8"/>
  <c r="N21" i="8" s="1"/>
  <c r="N23" i="8" l="1"/>
  <c r="C32" i="8"/>
  <c r="C34" i="8" s="1"/>
  <c r="D34" i="8" s="1"/>
  <c r="O21" i="8"/>
  <c r="O18" i="8"/>
  <c r="O23" i="8" l="1"/>
  <c r="O20" i="8"/>
  <c r="H396" i="25" l="1"/>
  <c r="K396" i="25"/>
  <c r="K426" i="25" s="1"/>
  <c r="L396" i="25"/>
  <c r="M396" i="25"/>
  <c r="M426" i="25" s="1"/>
  <c r="N396" i="25"/>
  <c r="N426" i="25" s="1"/>
  <c r="O396" i="25"/>
  <c r="P396" i="25"/>
  <c r="P426" i="25" s="1"/>
  <c r="Q396" i="25"/>
  <c r="Q426" i="25" s="1"/>
  <c r="F353" i="25"/>
  <c r="F124" i="25"/>
  <c r="O426" i="25" l="1"/>
  <c r="H426" i="25"/>
  <c r="L426" i="25"/>
  <c r="F396" i="25"/>
  <c r="F392" i="25"/>
  <c r="F352" i="25"/>
  <c r="F426" i="25" l="1"/>
  <c r="F201" i="25"/>
  <c r="F61" i="25"/>
  <c r="F291" i="25" s="1"/>
  <c r="Y16" i="57" l="1"/>
  <c r="Y62" i="57"/>
  <c r="F62" i="25"/>
  <c r="F67" i="25"/>
  <c r="C131" i="47" l="1"/>
  <c r="F297" i="25"/>
  <c r="C39" i="47"/>
  <c r="F292" i="25"/>
  <c r="G124" i="25"/>
  <c r="G353" i="25"/>
  <c r="F70" i="25" l="1"/>
  <c r="G392" i="25"/>
  <c r="G352" i="25"/>
  <c r="C133" i="47" l="1"/>
  <c r="F300" i="25"/>
  <c r="F421" i="25" s="1"/>
  <c r="F422" i="25" s="1"/>
  <c r="C41" i="47"/>
  <c r="F162" i="25"/>
  <c r="F461" i="25" s="1"/>
  <c r="F153" i="25"/>
  <c r="F380" i="25" s="1"/>
  <c r="F196" i="25"/>
  <c r="Y84" i="57" s="1"/>
  <c r="F71" i="25"/>
  <c r="F301" i="25" s="1"/>
  <c r="G201" i="25"/>
  <c r="G396" i="25"/>
  <c r="G61" i="25"/>
  <c r="G291" i="25" s="1"/>
  <c r="C113" i="47" l="1"/>
  <c r="C21" i="47"/>
  <c r="Z16" i="57"/>
  <c r="Z62" i="57"/>
  <c r="F197" i="25"/>
  <c r="Y5" i="57"/>
  <c r="C134" i="47"/>
  <c r="F387" i="25"/>
  <c r="F168" i="25"/>
  <c r="C21" i="60" s="1"/>
  <c r="C42" i="47"/>
  <c r="F378" i="25"/>
  <c r="G426" i="25"/>
  <c r="G62" i="25"/>
  <c r="G67" i="25"/>
  <c r="F21" i="60" l="1"/>
  <c r="Y11" i="57"/>
  <c r="Y53" i="57"/>
  <c r="D131" i="47"/>
  <c r="G297" i="25"/>
  <c r="F179" i="25"/>
  <c r="I21" i="60" s="1"/>
  <c r="F466" i="25"/>
  <c r="E435" i="25"/>
  <c r="D39" i="47"/>
  <c r="F393" i="25"/>
  <c r="F200" i="25"/>
  <c r="Y57" i="57" s="1"/>
  <c r="G292" i="25"/>
  <c r="G21" i="60" l="1"/>
  <c r="F203" i="25"/>
  <c r="Y15" i="57"/>
  <c r="F469" i="25"/>
  <c r="F468" i="25"/>
  <c r="F472" i="25"/>
  <c r="H435" i="25"/>
  <c r="F404" i="25"/>
  <c r="F425" i="25"/>
  <c r="F428" i="25" s="1"/>
  <c r="F180" i="25"/>
  <c r="F186" i="25" s="1"/>
  <c r="Y22" i="57" s="1"/>
  <c r="G70" i="25"/>
  <c r="H353" i="25"/>
  <c r="H313" i="25"/>
  <c r="Y18" i="57" l="1"/>
  <c r="Y58" i="57"/>
  <c r="D133" i="47"/>
  <c r="G300" i="25"/>
  <c r="F473" i="25"/>
  <c r="F450" i="25"/>
  <c r="F455" i="25"/>
  <c r="F451" i="25"/>
  <c r="F453" i="25"/>
  <c r="F456" i="25"/>
  <c r="F452" i="25"/>
  <c r="Y103" i="57" s="1"/>
  <c r="F184" i="25"/>
  <c r="J435" i="25" s="1"/>
  <c r="F185" i="25"/>
  <c r="I435" i="25"/>
  <c r="F408" i="25"/>
  <c r="F410" i="25" s="1"/>
  <c r="D41" i="47"/>
  <c r="F405" i="25"/>
  <c r="G71" i="25"/>
  <c r="G153" i="25"/>
  <c r="G378" i="25" s="1"/>
  <c r="G196" i="25"/>
  <c r="G162" i="25"/>
  <c r="G461" i="25" s="1"/>
  <c r="H392" i="25"/>
  <c r="H354" i="25"/>
  <c r="I123" i="25"/>
  <c r="D113" i="47" l="1"/>
  <c r="D21" i="47"/>
  <c r="Z5" i="57"/>
  <c r="Z84" i="57"/>
  <c r="D134" i="47"/>
  <c r="K435" i="25"/>
  <c r="D42" i="47"/>
  <c r="I125" i="25"/>
  <c r="I124" i="25" s="1"/>
  <c r="G421" i="25"/>
  <c r="G422" i="25" s="1"/>
  <c r="G301" i="25"/>
  <c r="G197" i="25"/>
  <c r="G387" i="25"/>
  <c r="G168" i="25"/>
  <c r="C22" i="60" s="1"/>
  <c r="H61" i="25"/>
  <c r="H291" i="25" s="1"/>
  <c r="I351" i="25"/>
  <c r="F22" i="60" l="1"/>
  <c r="Z11" i="57"/>
  <c r="Z53" i="57"/>
  <c r="G179" i="25"/>
  <c r="I22" i="60" s="1"/>
  <c r="G466" i="25"/>
  <c r="E436" i="25"/>
  <c r="I167" i="25"/>
  <c r="I462" i="25" s="1"/>
  <c r="G200" i="25"/>
  <c r="G393" i="25"/>
  <c r="H62" i="25"/>
  <c r="H67" i="25"/>
  <c r="G22" i="60" l="1"/>
  <c r="Z15" i="57"/>
  <c r="Z57" i="57"/>
  <c r="E131" i="47"/>
  <c r="H297" i="25"/>
  <c r="G469" i="25"/>
  <c r="G468" i="25"/>
  <c r="G472" i="25"/>
  <c r="E39" i="47"/>
  <c r="H436" i="25"/>
  <c r="G425" i="25"/>
  <c r="G428" i="25" s="1"/>
  <c r="H292" i="25"/>
  <c r="G203" i="25"/>
  <c r="Z18" i="57" l="1"/>
  <c r="Z58" i="57"/>
  <c r="G180" i="25"/>
  <c r="G186" i="25" s="1"/>
  <c r="Z22" i="57" s="1"/>
  <c r="G404" i="25"/>
  <c r="H70" i="25"/>
  <c r="E133" i="47" l="1"/>
  <c r="H300" i="25"/>
  <c r="G473" i="25"/>
  <c r="G450" i="25"/>
  <c r="G455" i="25"/>
  <c r="G451" i="25"/>
  <c r="G453" i="25"/>
  <c r="G452" i="25"/>
  <c r="Z103" i="57" s="1"/>
  <c r="G456" i="25"/>
  <c r="G184" i="25"/>
  <c r="J436" i="25" s="1"/>
  <c r="G185" i="25"/>
  <c r="I436" i="25"/>
  <c r="G405" i="25"/>
  <c r="E41" i="47"/>
  <c r="G408" i="25"/>
  <c r="G410" i="25" s="1"/>
  <c r="H345" i="25"/>
  <c r="H346" i="25" s="1"/>
  <c r="H347" i="25" s="1"/>
  <c r="H391" i="25"/>
  <c r="H119" i="25"/>
  <c r="H196" i="25"/>
  <c r="H153" i="25"/>
  <c r="H71" i="25"/>
  <c r="H162" i="25"/>
  <c r="H461" i="25" s="1"/>
  <c r="E113" i="47" l="1"/>
  <c r="E21" i="47"/>
  <c r="AA5" i="57"/>
  <c r="AA84" i="57"/>
  <c r="E134" i="47"/>
  <c r="K436" i="25"/>
  <c r="E42" i="47"/>
  <c r="H301" i="25"/>
  <c r="H197" i="25"/>
  <c r="H421" i="25"/>
  <c r="H422" i="25" s="1"/>
  <c r="H168" i="25"/>
  <c r="C23" i="60" s="1"/>
  <c r="H155" i="25"/>
  <c r="H387" i="25"/>
  <c r="H378" i="25"/>
  <c r="F23" i="60" l="1"/>
  <c r="AA11" i="57"/>
  <c r="AA53" i="57"/>
  <c r="H179" i="25"/>
  <c r="I23" i="60" s="1"/>
  <c r="H466" i="25"/>
  <c r="E437" i="25"/>
  <c r="H393" i="25"/>
  <c r="H200" i="25"/>
  <c r="I152" i="25"/>
  <c r="H380" i="25"/>
  <c r="G23" i="60" l="1"/>
  <c r="AA15" i="57"/>
  <c r="AA57" i="57"/>
  <c r="H469" i="25"/>
  <c r="H472" i="25"/>
  <c r="H468" i="25"/>
  <c r="I377" i="25"/>
  <c r="H328" i="25"/>
  <c r="H331" i="25"/>
  <c r="H329" i="25"/>
  <c r="H425" i="25"/>
  <c r="H428" i="25" s="1"/>
  <c r="H203" i="25"/>
  <c r="AA18" i="57" l="1"/>
  <c r="AA58" i="57"/>
  <c r="H437" i="25"/>
  <c r="I175" i="25"/>
  <c r="S154" i="25"/>
  <c r="I379" i="25"/>
  <c r="S379" i="25" s="1"/>
  <c r="H404" i="25"/>
  <c r="H180" i="25"/>
  <c r="H186" i="25" s="1"/>
  <c r="AA22" i="57" s="1"/>
  <c r="I178" i="25"/>
  <c r="H308" i="25"/>
  <c r="H473" i="25" l="1"/>
  <c r="H450" i="25"/>
  <c r="H455" i="25"/>
  <c r="H451" i="25"/>
  <c r="H453" i="25"/>
  <c r="H452" i="25"/>
  <c r="AA103" i="57" s="1"/>
  <c r="H456" i="25"/>
  <c r="H184" i="25"/>
  <c r="J437" i="25" s="1"/>
  <c r="H185" i="25"/>
  <c r="I437" i="25"/>
  <c r="S175" i="25"/>
  <c r="I400" i="25"/>
  <c r="S400" i="25" s="1"/>
  <c r="H405" i="25"/>
  <c r="H312" i="25"/>
  <c r="I403" i="25"/>
  <c r="H408" i="25" l="1"/>
  <c r="H410" i="25" s="1"/>
  <c r="K437" i="25"/>
  <c r="H333" i="25"/>
  <c r="H315" i="25"/>
  <c r="I353" i="25"/>
  <c r="I392" i="25" l="1"/>
  <c r="I61" i="25" l="1"/>
  <c r="I291" i="25" s="1"/>
  <c r="I67" i="25" l="1"/>
  <c r="I62" i="25"/>
  <c r="F131" i="47" l="1"/>
  <c r="I297" i="25"/>
  <c r="F39" i="47"/>
  <c r="I292" i="25"/>
  <c r="I70" i="25" l="1"/>
  <c r="F133" i="47" l="1"/>
  <c r="I300" i="25"/>
  <c r="F41" i="47"/>
  <c r="I162" i="25"/>
  <c r="I329" i="25"/>
  <c r="I71" i="25"/>
  <c r="I196" i="25"/>
  <c r="I345" i="25"/>
  <c r="I346" i="25" s="1"/>
  <c r="I347" i="25" s="1"/>
  <c r="I119" i="25"/>
  <c r="I166" i="25"/>
  <c r="F113" i="47" l="1"/>
  <c r="F21" i="47"/>
  <c r="AB5" i="57"/>
  <c r="AB84" i="57"/>
  <c r="F134" i="47"/>
  <c r="I454" i="25"/>
  <c r="I465" i="25"/>
  <c r="I387" i="25"/>
  <c r="I461" i="25"/>
  <c r="F42" i="47"/>
  <c r="I301" i="25"/>
  <c r="I197" i="25"/>
  <c r="I378" i="25"/>
  <c r="I421" i="25"/>
  <c r="I422" i="25" s="1"/>
  <c r="I168" i="25"/>
  <c r="C24" i="60" s="1"/>
  <c r="C28" i="60" s="1"/>
  <c r="I391" i="25"/>
  <c r="I328" i="25"/>
  <c r="I380" i="25"/>
  <c r="J377" i="25"/>
  <c r="AB11" i="57" l="1"/>
  <c r="AB53" i="57"/>
  <c r="I466" i="25"/>
  <c r="E438" i="25"/>
  <c r="I393" i="25"/>
  <c r="I200" i="25"/>
  <c r="AB15" i="57" l="1"/>
  <c r="AB57" i="57"/>
  <c r="I425" i="25"/>
  <c r="P389" i="25" l="1"/>
  <c r="O110" i="25"/>
  <c r="O113" i="25" s="1"/>
  <c r="AH107" i="57" s="1"/>
  <c r="O309" i="25"/>
  <c r="O338" i="25" s="1"/>
  <c r="O341" i="25" s="1"/>
  <c r="O389" i="25" l="1"/>
  <c r="S389" i="25" s="1"/>
  <c r="I368" i="25" l="1"/>
  <c r="G438" i="25"/>
  <c r="I331" i="25" l="1"/>
  <c r="I399" i="25"/>
  <c r="I202" i="25"/>
  <c r="AB17" i="57" l="1"/>
  <c r="AB63" i="57"/>
  <c r="I427" i="25"/>
  <c r="I313" i="25" l="1"/>
  <c r="I354" i="25"/>
  <c r="I171" i="25"/>
  <c r="D24" i="60" s="1"/>
  <c r="D28" i="60" l="1"/>
  <c r="H24" i="60"/>
  <c r="H28" i="60" s="1"/>
  <c r="F24" i="60"/>
  <c r="I467" i="25"/>
  <c r="F438" i="25"/>
  <c r="I179" i="25"/>
  <c r="I24" i="60" s="1"/>
  <c r="I28" i="60" s="1"/>
  <c r="J125" i="25"/>
  <c r="J167" i="25" s="1"/>
  <c r="J462" i="25" s="1"/>
  <c r="I201" i="25"/>
  <c r="I396" i="25"/>
  <c r="I352" i="25"/>
  <c r="J351" i="25"/>
  <c r="F28" i="60" l="1"/>
  <c r="G24" i="60"/>
  <c r="AB16" i="57"/>
  <c r="AB62" i="57"/>
  <c r="I472" i="25"/>
  <c r="I469" i="25"/>
  <c r="I468" i="25"/>
  <c r="J353" i="25"/>
  <c r="H438" i="25"/>
  <c r="J392" i="25"/>
  <c r="I426" i="25"/>
  <c r="I428" i="25" s="1"/>
  <c r="I404" i="25"/>
  <c r="I180" i="25"/>
  <c r="I455" i="25" s="1"/>
  <c r="I203" i="25"/>
  <c r="G28" i="60" l="1"/>
  <c r="C99" i="60"/>
  <c r="C100" i="60" s="1"/>
  <c r="AB18" i="57"/>
  <c r="AB58" i="57"/>
  <c r="I184" i="25"/>
  <c r="J438" i="25" s="1"/>
  <c r="I185" i="25"/>
  <c r="I438" i="25"/>
  <c r="J61" i="25"/>
  <c r="J291" i="25" s="1"/>
  <c r="I405" i="25"/>
  <c r="I308" i="25" l="1"/>
  <c r="I408" i="25"/>
  <c r="I410" i="25" s="1"/>
  <c r="K438" i="25"/>
  <c r="J62" i="25"/>
  <c r="J292" i="25" l="1"/>
  <c r="J403" i="25"/>
  <c r="I312" i="25"/>
  <c r="I315" i="25" l="1"/>
  <c r="I333" i="25"/>
  <c r="M390" i="25" l="1"/>
  <c r="O390" i="25"/>
  <c r="J390" i="25"/>
  <c r="P390" i="25"/>
  <c r="K390" i="25"/>
  <c r="Q390" i="25"/>
  <c r="N390" i="25"/>
  <c r="L390" i="25"/>
  <c r="S390" i="25" l="1"/>
  <c r="J408" i="25" l="1"/>
  <c r="J410" i="25" s="1"/>
  <c r="K408" i="25" l="1"/>
  <c r="K410" i="25" s="1"/>
  <c r="L408" i="25" l="1"/>
  <c r="L410" i="25" s="1"/>
  <c r="M408" i="25" l="1"/>
  <c r="M410" i="25" s="1"/>
  <c r="N408" i="25" l="1"/>
  <c r="N410" i="25" s="1"/>
  <c r="O408" i="25" l="1"/>
  <c r="O410" i="25" s="1"/>
  <c r="P408" i="25" l="1"/>
  <c r="P410" i="25" s="1"/>
  <c r="Q408" i="25" l="1"/>
  <c r="Q410" i="25" l="1"/>
  <c r="S408" i="25"/>
  <c r="S410" i="25" s="1"/>
  <c r="J67" i="25" l="1"/>
  <c r="J297" i="25" l="1"/>
  <c r="G131" i="47"/>
  <c r="G39" i="47"/>
  <c r="G40" i="47" l="1"/>
  <c r="J70" i="25"/>
  <c r="J300" i="25" l="1"/>
  <c r="G133" i="47"/>
  <c r="J153" i="25"/>
  <c r="J196" i="25"/>
  <c r="G41" i="47"/>
  <c r="G21" i="47" s="1"/>
  <c r="J71" i="25"/>
  <c r="J162" i="25"/>
  <c r="J320" i="25"/>
  <c r="J345" i="25" s="1"/>
  <c r="H113" i="47" l="1"/>
  <c r="G113" i="47"/>
  <c r="AC5" i="57"/>
  <c r="AC84" i="57"/>
  <c r="J461" i="25"/>
  <c r="J166" i="25"/>
  <c r="J301" i="25"/>
  <c r="J387" i="25"/>
  <c r="G134" i="47"/>
  <c r="G42" i="47"/>
  <c r="J421" i="25"/>
  <c r="J422" i="25" s="1"/>
  <c r="J378" i="25"/>
  <c r="J197" i="25"/>
  <c r="AC11" i="57" l="1"/>
  <c r="AC53" i="57"/>
  <c r="J168" i="25"/>
  <c r="J454" i="25"/>
  <c r="J380" i="25"/>
  <c r="J465" i="25" l="1"/>
  <c r="J391" i="25"/>
  <c r="J223" i="25"/>
  <c r="J328" i="25"/>
  <c r="J329" i="25"/>
  <c r="K377" i="25"/>
  <c r="J466" i="25" l="1"/>
  <c r="J200" i="25"/>
  <c r="J393" i="25"/>
  <c r="E439" i="25"/>
  <c r="AC15" i="57" l="1"/>
  <c r="AC57" i="57"/>
  <c r="J425" i="25"/>
  <c r="J308" i="25" l="1"/>
  <c r="J229" i="25"/>
  <c r="J318" i="25"/>
  <c r="J344" i="25" s="1"/>
  <c r="J346" i="25" s="1"/>
  <c r="J347" i="25" s="1"/>
  <c r="J230" i="25" l="1"/>
  <c r="AC34" i="57"/>
  <c r="J322" i="25"/>
  <c r="J399" i="25"/>
  <c r="J312" i="25"/>
  <c r="AC35" i="57" l="1"/>
  <c r="AC67" i="57"/>
  <c r="J315" i="25"/>
  <c r="J331" i="25"/>
  <c r="J324" i="25"/>
  <c r="J333" i="25" l="1"/>
  <c r="J313" i="25" l="1"/>
  <c r="J354" i="25"/>
  <c r="K351" i="25"/>
  <c r="J124" i="25"/>
  <c r="S124" i="25" l="1"/>
  <c r="J171" i="25"/>
  <c r="F439" i="25" s="1"/>
  <c r="J352" i="25"/>
  <c r="S352" i="25" s="1"/>
  <c r="S171" i="25" l="1"/>
  <c r="J396" i="25"/>
  <c r="S396" i="25" s="1"/>
  <c r="K313" i="25"/>
  <c r="K353" i="25"/>
  <c r="K462" i="25"/>
  <c r="K392" i="25"/>
  <c r="J467" i="25"/>
  <c r="S467" i="25" s="1"/>
  <c r="J201" i="25"/>
  <c r="AC16" i="57" l="1"/>
  <c r="AC62" i="57"/>
  <c r="J426" i="25"/>
  <c r="L123" i="25"/>
  <c r="L125" i="25" s="1"/>
  <c r="L126" i="25" s="1"/>
  <c r="K354" i="25"/>
  <c r="S201" i="25"/>
  <c r="K292" i="25"/>
  <c r="L351" i="25" l="1"/>
  <c r="M123" i="25"/>
  <c r="L354" i="25"/>
  <c r="L313" i="25"/>
  <c r="L167" i="25"/>
  <c r="L353" i="25"/>
  <c r="M125" i="25" l="1"/>
  <c r="M126" i="25" s="1"/>
  <c r="M351" i="25"/>
  <c r="L290" i="25"/>
  <c r="L462" i="25"/>
  <c r="L392" i="25"/>
  <c r="M353" i="25" l="1"/>
  <c r="M167" i="25"/>
  <c r="M354" i="25"/>
  <c r="M83" i="25"/>
  <c r="M313" i="25" s="1"/>
  <c r="N123" i="25"/>
  <c r="L61" i="25"/>
  <c r="L291" i="25" s="1"/>
  <c r="N125" i="25" l="1"/>
  <c r="N126" i="25" s="1"/>
  <c r="N351" i="25"/>
  <c r="M60" i="25"/>
  <c r="M290" i="25" s="1"/>
  <c r="M462" i="25"/>
  <c r="M392" i="25"/>
  <c r="L62" i="25"/>
  <c r="L292" i="25" s="1"/>
  <c r="N354" i="25" l="1"/>
  <c r="N83" i="25"/>
  <c r="N313" i="25" s="1"/>
  <c r="O123" i="25"/>
  <c r="M61" i="25"/>
  <c r="M291" i="25" s="1"/>
  <c r="N353" i="25"/>
  <c r="N167" i="25"/>
  <c r="M62" i="25" l="1"/>
  <c r="M292" i="25" s="1"/>
  <c r="N462" i="25"/>
  <c r="N392" i="25"/>
  <c r="N60" i="25"/>
  <c r="N290" i="25" s="1"/>
  <c r="O351" i="25"/>
  <c r="O125" i="25"/>
  <c r="O126" i="25" s="1"/>
  <c r="N61" i="25" l="1"/>
  <c r="N291" i="25" s="1"/>
  <c r="O83" i="25"/>
  <c r="O313" i="25" s="1"/>
  <c r="O354" i="25"/>
  <c r="P123" i="25"/>
  <c r="O353" i="25"/>
  <c r="O167" i="25"/>
  <c r="N62" i="25" l="1"/>
  <c r="N292" i="25" s="1"/>
  <c r="O392" i="25"/>
  <c r="O462" i="25"/>
  <c r="O60" i="25"/>
  <c r="O290" i="25" s="1"/>
  <c r="P351" i="25"/>
  <c r="P125" i="25"/>
  <c r="P126" i="25" s="1"/>
  <c r="P83" i="25" l="1"/>
  <c r="P313" i="25" s="1"/>
  <c r="P354" i="25"/>
  <c r="Q123" i="25"/>
  <c r="O61" i="25"/>
  <c r="O291" i="25" s="1"/>
  <c r="P167" i="25"/>
  <c r="P353" i="25"/>
  <c r="Q125" i="25" l="1"/>
  <c r="Q126" i="25" s="1"/>
  <c r="Q351" i="25"/>
  <c r="O62" i="25"/>
  <c r="O292" i="25" s="1"/>
  <c r="P60" i="25"/>
  <c r="P290" i="25" s="1"/>
  <c r="P392" i="25"/>
  <c r="P462" i="25"/>
  <c r="Q353" i="25" l="1"/>
  <c r="S353" i="25" s="1"/>
  <c r="Q167" i="25"/>
  <c r="S125" i="25"/>
  <c r="P61" i="25"/>
  <c r="P291" i="25" s="1"/>
  <c r="S126" i="25"/>
  <c r="Q354" i="25"/>
  <c r="S354" i="25" s="1"/>
  <c r="Q83" i="25"/>
  <c r="P62" i="25" l="1"/>
  <c r="P292" i="25" s="1"/>
  <c r="Q60" i="25"/>
  <c r="Q290" i="25" s="1"/>
  <c r="Q392" i="25"/>
  <c r="S392" i="25" s="1"/>
  <c r="Q462" i="25"/>
  <c r="S462" i="25" s="1"/>
  <c r="S167" i="25"/>
  <c r="S83" i="25"/>
  <c r="Q313" i="25"/>
  <c r="S313" i="25" s="1"/>
  <c r="S290" i="25" l="1"/>
  <c r="T290" i="25" s="1"/>
  <c r="Q61" i="25"/>
  <c r="Q291" i="25" s="1"/>
  <c r="S60" i="25"/>
  <c r="S291" i="25" l="1"/>
  <c r="Q62" i="25"/>
  <c r="Q292" i="25" s="1"/>
  <c r="S61" i="25"/>
  <c r="S62" i="25" s="1"/>
  <c r="T291" i="25" l="1"/>
  <c r="S292" i="25"/>
  <c r="T292" i="25" s="1"/>
  <c r="J132" i="25" l="1"/>
  <c r="J361" i="25"/>
  <c r="K359" i="25" l="1"/>
  <c r="J360" i="25"/>
  <c r="S360" i="25" s="1"/>
  <c r="S132" i="25"/>
  <c r="L131" i="25"/>
  <c r="K361" i="25"/>
  <c r="K364" i="25" l="1"/>
  <c r="K365" i="25" s="1"/>
  <c r="L359" i="25"/>
  <c r="L133" i="25"/>
  <c r="L137" i="25"/>
  <c r="AE39" i="57" l="1"/>
  <c r="H39" i="47"/>
  <c r="H41" i="47"/>
  <c r="H21" i="47" s="1"/>
  <c r="K301" i="25"/>
  <c r="J368" i="25"/>
  <c r="J470" i="25"/>
  <c r="H40" i="47"/>
  <c r="L138" i="25"/>
  <c r="AE88" i="57" s="1"/>
  <c r="L364" i="25"/>
  <c r="M131" i="25"/>
  <c r="L361" i="25"/>
  <c r="J369" i="25" l="1"/>
  <c r="J471" i="25"/>
  <c r="K421" i="25"/>
  <c r="K422" i="25" s="1"/>
  <c r="L295" i="25"/>
  <c r="H42" i="47"/>
  <c r="H134" i="47"/>
  <c r="K320" i="25"/>
  <c r="K345" i="25" s="1"/>
  <c r="K117" i="25"/>
  <c r="K118" i="25" s="1"/>
  <c r="K212" i="25"/>
  <c r="M359" i="25"/>
  <c r="M137" i="25"/>
  <c r="M133" i="25"/>
  <c r="K378" i="25"/>
  <c r="L365" i="25"/>
  <c r="K387" i="25"/>
  <c r="K461" i="25"/>
  <c r="K119" i="25" l="1"/>
  <c r="AD108" i="57"/>
  <c r="AD47" i="57"/>
  <c r="AD75" i="57"/>
  <c r="AF39" i="57"/>
  <c r="M138" i="25"/>
  <c r="AF88" i="57" s="1"/>
  <c r="M364" i="25"/>
  <c r="L152" i="25"/>
  <c r="K380" i="25"/>
  <c r="L67" i="25"/>
  <c r="M361" i="25"/>
  <c r="N131" i="25"/>
  <c r="K213" i="25"/>
  <c r="K218" i="25"/>
  <c r="K166" i="25" s="1"/>
  <c r="K168" i="25" s="1"/>
  <c r="K200" i="25" s="1"/>
  <c r="AD57" i="57" s="1"/>
  <c r="K367" i="25"/>
  <c r="AD48" i="57" l="1"/>
  <c r="AD79" i="57"/>
  <c r="K203" i="25"/>
  <c r="AD15" i="57"/>
  <c r="I131" i="47"/>
  <c r="P131" i="47" s="1"/>
  <c r="L297" i="25"/>
  <c r="N133" i="25"/>
  <c r="N359" i="25"/>
  <c r="N137" i="25"/>
  <c r="L377" i="25"/>
  <c r="M365" i="25"/>
  <c r="M65" i="25"/>
  <c r="M295" i="25" s="1"/>
  <c r="K219" i="25"/>
  <c r="K328" i="25"/>
  <c r="L299" i="25"/>
  <c r="I39" i="47"/>
  <c r="P39" i="47" s="1"/>
  <c r="AD18" i="57" l="1"/>
  <c r="AD58" i="57"/>
  <c r="AG39" i="57"/>
  <c r="L70" i="25"/>
  <c r="I132" i="47"/>
  <c r="P132" i="47" s="1"/>
  <c r="K465" i="25"/>
  <c r="K391" i="25"/>
  <c r="K454" i="25"/>
  <c r="K223" i="25"/>
  <c r="M67" i="25"/>
  <c r="I40" i="47"/>
  <c r="P40" i="47" s="1"/>
  <c r="N138" i="25"/>
  <c r="AG88" i="57" s="1"/>
  <c r="N364" i="25"/>
  <c r="N361" i="25"/>
  <c r="O131" i="25"/>
  <c r="D11" i="47" l="1"/>
  <c r="J131" i="47"/>
  <c r="M297" i="25"/>
  <c r="I133" i="47"/>
  <c r="P133" i="47" s="1"/>
  <c r="P134" i="47" s="1"/>
  <c r="L300" i="25"/>
  <c r="L421" i="25" s="1"/>
  <c r="L422" i="25" s="1"/>
  <c r="L153" i="25"/>
  <c r="L378" i="25" s="1"/>
  <c r="I41" i="47"/>
  <c r="P41" i="47" s="1"/>
  <c r="P42" i="47" s="1"/>
  <c r="L162" i="25"/>
  <c r="L387" i="25" s="1"/>
  <c r="L196" i="25"/>
  <c r="AE84" i="57" s="1"/>
  <c r="L71" i="25"/>
  <c r="L301" i="25" s="1"/>
  <c r="O359" i="25"/>
  <c r="O137" i="25"/>
  <c r="O133" i="25"/>
  <c r="K466" i="25"/>
  <c r="K393" i="25"/>
  <c r="E440" i="25"/>
  <c r="N365" i="25"/>
  <c r="L117" i="25"/>
  <c r="L118" i="25" s="1"/>
  <c r="L320" i="25"/>
  <c r="L345" i="25" s="1"/>
  <c r="L212" i="25"/>
  <c r="J39" i="47"/>
  <c r="M69" i="25"/>
  <c r="M299" i="25" s="1"/>
  <c r="N65" i="25"/>
  <c r="N295" i="25" s="1"/>
  <c r="I134" i="47" l="1"/>
  <c r="I113" i="47"/>
  <c r="I42" i="47"/>
  <c r="I21" i="47"/>
  <c r="D103" i="47"/>
  <c r="F11" i="47"/>
  <c r="D13" i="47"/>
  <c r="E13" i="47" s="1"/>
  <c r="E11" i="47"/>
  <c r="L119" i="25"/>
  <c r="AE108" i="57"/>
  <c r="AE47" i="57"/>
  <c r="AE75" i="57"/>
  <c r="AH39" i="57"/>
  <c r="L197" i="25"/>
  <c r="AE5" i="57"/>
  <c r="L461" i="25"/>
  <c r="L155" i="25"/>
  <c r="M152" i="25" s="1"/>
  <c r="M70" i="25"/>
  <c r="J132" i="47"/>
  <c r="N67" i="25"/>
  <c r="K468" i="25"/>
  <c r="K404" i="25"/>
  <c r="H440" i="25"/>
  <c r="K469" i="25"/>
  <c r="J40" i="47"/>
  <c r="M90" i="25"/>
  <c r="P131" i="25"/>
  <c r="O361" i="25"/>
  <c r="L213" i="25"/>
  <c r="L218" i="25"/>
  <c r="O364" i="25"/>
  <c r="O138" i="25"/>
  <c r="AH88" i="57" s="1"/>
  <c r="K425" i="25"/>
  <c r="D105" i="47" l="1"/>
  <c r="E105" i="47" s="1"/>
  <c r="F103" i="47"/>
  <c r="E103" i="47"/>
  <c r="AE48" i="57"/>
  <c r="AE79" i="57"/>
  <c r="AE11" i="57"/>
  <c r="AE53" i="57"/>
  <c r="K131" i="47"/>
  <c r="N297" i="25"/>
  <c r="J133" i="47"/>
  <c r="J134" i="47" s="1"/>
  <c r="M300" i="25"/>
  <c r="M421" i="25" s="1"/>
  <c r="M422" i="25" s="1"/>
  <c r="M196" i="25"/>
  <c r="M162" i="25"/>
  <c r="M461" i="25" s="1"/>
  <c r="M153" i="25"/>
  <c r="M378" i="25" s="1"/>
  <c r="M71" i="25"/>
  <c r="M301" i="25" s="1"/>
  <c r="L328" i="25"/>
  <c r="L380" i="25"/>
  <c r="J41" i="47"/>
  <c r="J42" i="47" s="1"/>
  <c r="N69" i="25"/>
  <c r="N299" i="25" s="1"/>
  <c r="K39" i="47"/>
  <c r="O65" i="25"/>
  <c r="O295" i="25" s="1"/>
  <c r="M212" i="25"/>
  <c r="M117" i="25"/>
  <c r="M118" i="25" s="1"/>
  <c r="M320" i="25"/>
  <c r="M345" i="25" s="1"/>
  <c r="O365" i="25"/>
  <c r="L166" i="25"/>
  <c r="L219" i="25"/>
  <c r="P133" i="25"/>
  <c r="P359" i="25"/>
  <c r="P137" i="25"/>
  <c r="M377" i="25"/>
  <c r="M119" i="25" l="1"/>
  <c r="AF108" i="57"/>
  <c r="AF5" i="57"/>
  <c r="AF84" i="57"/>
  <c r="AF47" i="57"/>
  <c r="AF75" i="57"/>
  <c r="M387" i="25"/>
  <c r="M197" i="25"/>
  <c r="AI39" i="57"/>
  <c r="M155" i="25"/>
  <c r="M100" i="25" s="1"/>
  <c r="N70" i="25"/>
  <c r="K132" i="47"/>
  <c r="L454" i="25"/>
  <c r="L465" i="25"/>
  <c r="L391" i="25"/>
  <c r="L168" i="25"/>
  <c r="L223" i="25"/>
  <c r="P138" i="25"/>
  <c r="AI88" i="57" s="1"/>
  <c r="P364" i="25"/>
  <c r="P365" i="25" s="1"/>
  <c r="M213" i="25"/>
  <c r="M218" i="25"/>
  <c r="O67" i="25"/>
  <c r="K40" i="47"/>
  <c r="N90" i="25"/>
  <c r="Q131" i="25"/>
  <c r="P361" i="25"/>
  <c r="AF48" i="57" l="1"/>
  <c r="AF79" i="57"/>
  <c r="AF11" i="57"/>
  <c r="AF53" i="57"/>
  <c r="N152" i="25"/>
  <c r="M380" i="25"/>
  <c r="L131" i="47"/>
  <c r="O297" i="25"/>
  <c r="K41" i="47"/>
  <c r="K42" i="47" s="1"/>
  <c r="N300" i="25"/>
  <c r="N421" i="25" s="1"/>
  <c r="N422" i="25" s="1"/>
  <c r="N162" i="25"/>
  <c r="N387" i="25" s="1"/>
  <c r="N153" i="25"/>
  <c r="N155" i="25" s="1"/>
  <c r="N71" i="25"/>
  <c r="N301" i="25" s="1"/>
  <c r="N196" i="25"/>
  <c r="AG84" i="57" s="1"/>
  <c r="K133" i="47"/>
  <c r="K134" i="47" s="1"/>
  <c r="P65" i="25"/>
  <c r="P295" i="25" s="1"/>
  <c r="Q137" i="25"/>
  <c r="Q359" i="25"/>
  <c r="Q133" i="25"/>
  <c r="L200" i="25"/>
  <c r="L179" i="25"/>
  <c r="E441" i="25"/>
  <c r="L466" i="25"/>
  <c r="L393" i="25"/>
  <c r="N377" i="25"/>
  <c r="N212" i="25"/>
  <c r="N117" i="25"/>
  <c r="N118" i="25" s="1"/>
  <c r="N320" i="25"/>
  <c r="N345" i="25" s="1"/>
  <c r="O69" i="25"/>
  <c r="O299" i="25" s="1"/>
  <c r="L39" i="47"/>
  <c r="M328" i="25"/>
  <c r="M166" i="25"/>
  <c r="M219" i="25"/>
  <c r="N119" i="25" l="1"/>
  <c r="AG108" i="57"/>
  <c r="AG47" i="57"/>
  <c r="AG75" i="57"/>
  <c r="AE15" i="57"/>
  <c r="AE57" i="57"/>
  <c r="AJ39" i="57"/>
  <c r="N197" i="25"/>
  <c r="AG5" i="57"/>
  <c r="N378" i="25"/>
  <c r="N461" i="25"/>
  <c r="O70" i="25"/>
  <c r="L132" i="47"/>
  <c r="Q138" i="25"/>
  <c r="AJ88" i="57" s="1"/>
  <c r="Q364" i="25"/>
  <c r="S137" i="25"/>
  <c r="M454" i="25"/>
  <c r="M391" i="25"/>
  <c r="M465" i="25"/>
  <c r="M168" i="25"/>
  <c r="M223" i="25"/>
  <c r="N213" i="25"/>
  <c r="N218" i="25"/>
  <c r="O152" i="25"/>
  <c r="N100" i="25"/>
  <c r="N380" i="25"/>
  <c r="L40" i="47"/>
  <c r="O90" i="25"/>
  <c r="H441" i="25"/>
  <c r="L468" i="25"/>
  <c r="L404" i="25"/>
  <c r="L469" i="25"/>
  <c r="P67" i="25"/>
  <c r="Q361" i="25"/>
  <c r="S361" i="25" s="1"/>
  <c r="S133" i="25"/>
  <c r="L425" i="25"/>
  <c r="AG48" i="57" l="1"/>
  <c r="AG79" i="57"/>
  <c r="AG11" i="57"/>
  <c r="AG53" i="57"/>
  <c r="M131" i="47"/>
  <c r="P297" i="25"/>
  <c r="O162" i="25"/>
  <c r="O387" i="25" s="1"/>
  <c r="O300" i="25"/>
  <c r="O421" i="25" s="1"/>
  <c r="O422" i="25" s="1"/>
  <c r="O153" i="25"/>
  <c r="O155" i="25" s="1"/>
  <c r="O196" i="25"/>
  <c r="AH84" i="57" s="1"/>
  <c r="L41" i="47"/>
  <c r="L42" i="47" s="1"/>
  <c r="L133" i="47"/>
  <c r="L134" i="47" s="1"/>
  <c r="O71" i="25"/>
  <c r="O301" i="25" s="1"/>
  <c r="M179" i="25"/>
  <c r="M393" i="25"/>
  <c r="M466" i="25"/>
  <c r="E442" i="25"/>
  <c r="M200" i="25"/>
  <c r="O377" i="25"/>
  <c r="O117" i="25"/>
  <c r="O118" i="25" s="1"/>
  <c r="O212" i="25"/>
  <c r="O320" i="25"/>
  <c r="O345" i="25" s="1"/>
  <c r="P69" i="25"/>
  <c r="P299" i="25" s="1"/>
  <c r="M39" i="47"/>
  <c r="N328" i="25"/>
  <c r="Q365" i="25"/>
  <c r="S365" i="25" s="1"/>
  <c r="S364" i="25"/>
  <c r="N219" i="25"/>
  <c r="N166" i="25"/>
  <c r="Q65" i="25"/>
  <c r="Q295" i="25" s="1"/>
  <c r="S138" i="25"/>
  <c r="D106" i="60" l="1"/>
  <c r="O461" i="25"/>
  <c r="O119" i="25"/>
  <c r="AH108" i="57"/>
  <c r="AH47" i="57"/>
  <c r="AH75" i="57"/>
  <c r="AF15" i="57"/>
  <c r="AF57" i="57"/>
  <c r="O197" i="25"/>
  <c r="AH5" i="57"/>
  <c r="O378" i="25"/>
  <c r="P70" i="25"/>
  <c r="M132" i="47"/>
  <c r="O218" i="25"/>
  <c r="O213" i="25"/>
  <c r="M404" i="25"/>
  <c r="M469" i="25"/>
  <c r="H442" i="25"/>
  <c r="M468" i="25"/>
  <c r="O100" i="25"/>
  <c r="P152" i="25"/>
  <c r="O380" i="25"/>
  <c r="M425" i="25"/>
  <c r="S295" i="25"/>
  <c r="T295" i="25" s="1"/>
  <c r="Q67" i="25"/>
  <c r="S65" i="25"/>
  <c r="N391" i="25"/>
  <c r="N454" i="25"/>
  <c r="N465" i="25"/>
  <c r="N168" i="25"/>
  <c r="N223" i="25"/>
  <c r="M40" i="47"/>
  <c r="P90" i="25"/>
  <c r="E106" i="60" l="1"/>
  <c r="AH48" i="57"/>
  <c r="AH79" i="57"/>
  <c r="AH11" i="57"/>
  <c r="AH53" i="57"/>
  <c r="M133" i="47"/>
  <c r="M134" i="47" s="1"/>
  <c r="P300" i="25"/>
  <c r="P421" i="25" s="1"/>
  <c r="P422" i="25" s="1"/>
  <c r="N131" i="47"/>
  <c r="O131" i="47" s="1"/>
  <c r="Q297" i="25"/>
  <c r="S297" i="25" s="1"/>
  <c r="T297" i="25" s="1"/>
  <c r="P153" i="25"/>
  <c r="P378" i="25" s="1"/>
  <c r="P196" i="25"/>
  <c r="AI84" i="57" s="1"/>
  <c r="P162" i="25"/>
  <c r="P387" i="25" s="1"/>
  <c r="M41" i="47"/>
  <c r="M42" i="47" s="1"/>
  <c r="P71" i="25"/>
  <c r="P301" i="25" s="1"/>
  <c r="P377" i="25"/>
  <c r="O328" i="25"/>
  <c r="Q69" i="25"/>
  <c r="Q299" i="25" s="1"/>
  <c r="N39" i="47"/>
  <c r="S67" i="25"/>
  <c r="O219" i="25"/>
  <c r="O166" i="25"/>
  <c r="N200" i="25"/>
  <c r="N466" i="25"/>
  <c r="N179" i="25"/>
  <c r="E443" i="25"/>
  <c r="N393" i="25"/>
  <c r="P212" i="25"/>
  <c r="P117" i="25"/>
  <c r="P118" i="25" s="1"/>
  <c r="P320" i="25"/>
  <c r="P345" i="25" s="1"/>
  <c r="F106" i="60" l="1"/>
  <c r="D107" i="60"/>
  <c r="E107" i="60" s="1"/>
  <c r="C115" i="60" s="1"/>
  <c r="P119" i="25"/>
  <c r="AI108" i="57"/>
  <c r="AI47" i="57"/>
  <c r="AI75" i="57"/>
  <c r="AG15" i="57"/>
  <c r="AG57" i="57"/>
  <c r="P197" i="25"/>
  <c r="AI5" i="57"/>
  <c r="P461" i="25"/>
  <c r="P155" i="25"/>
  <c r="Q152" i="25" s="1"/>
  <c r="Q70" i="25"/>
  <c r="S70" i="25" s="1"/>
  <c r="S71" i="25" s="1"/>
  <c r="N132" i="47"/>
  <c r="O132" i="47" s="1"/>
  <c r="P213" i="25"/>
  <c r="P218" i="25"/>
  <c r="N425" i="25"/>
  <c r="O39" i="47"/>
  <c r="N404" i="25"/>
  <c r="H443" i="25"/>
  <c r="N468" i="25"/>
  <c r="N469" i="25"/>
  <c r="N40" i="47"/>
  <c r="S299" i="25"/>
  <c r="Q90" i="25"/>
  <c r="S69" i="25"/>
  <c r="O454" i="25"/>
  <c r="O391" i="25"/>
  <c r="O465" i="25"/>
  <c r="O168" i="25"/>
  <c r="O223" i="25"/>
  <c r="F107" i="60" l="1"/>
  <c r="Q71" i="25"/>
  <c r="Q301" i="25" s="1"/>
  <c r="AI48" i="57"/>
  <c r="AI79" i="57"/>
  <c r="Q162" i="25"/>
  <c r="Q387" i="25" s="1"/>
  <c r="S387" i="25" s="1"/>
  <c r="N41" i="47"/>
  <c r="O41" i="47" s="1"/>
  <c r="Q153" i="25"/>
  <c r="Q378" i="25" s="1"/>
  <c r="S378" i="25" s="1"/>
  <c r="Q196" i="25"/>
  <c r="AI11" i="57"/>
  <c r="AI53" i="57"/>
  <c r="N133" i="47"/>
  <c r="O133" i="47" s="1"/>
  <c r="Q300" i="25"/>
  <c r="S300" i="25" s="1"/>
  <c r="P380" i="25"/>
  <c r="P100" i="25"/>
  <c r="P328" i="25" s="1"/>
  <c r="O200" i="25"/>
  <c r="O393" i="25"/>
  <c r="O466" i="25"/>
  <c r="O179" i="25"/>
  <c r="E444" i="25"/>
  <c r="T299" i="25"/>
  <c r="Q212" i="25"/>
  <c r="Q320" i="25"/>
  <c r="Q345" i="25" s="1"/>
  <c r="S345" i="25" s="1"/>
  <c r="S320" i="25"/>
  <c r="S90" i="25"/>
  <c r="Q117" i="25"/>
  <c r="O40" i="47"/>
  <c r="Q377" i="25"/>
  <c r="P219" i="25"/>
  <c r="P166" i="25"/>
  <c r="D108" i="60" l="1"/>
  <c r="Q155" i="25"/>
  <c r="S155" i="25" s="1"/>
  <c r="S162" i="25"/>
  <c r="N42" i="47"/>
  <c r="Q461" i="25"/>
  <c r="S461" i="25" s="1"/>
  <c r="AJ5" i="57"/>
  <c r="AJ84" i="57"/>
  <c r="S153" i="25"/>
  <c r="AJ47" i="57"/>
  <c r="AJ75" i="57"/>
  <c r="S196" i="25"/>
  <c r="J5" i="57" s="1"/>
  <c r="AH15" i="57"/>
  <c r="AH57" i="57"/>
  <c r="Q197" i="25"/>
  <c r="AJ11" i="57" s="1"/>
  <c r="Q421" i="25"/>
  <c r="Q422" i="25" s="1"/>
  <c r="N134" i="47"/>
  <c r="P465" i="25"/>
  <c r="P391" i="25"/>
  <c r="P454" i="25"/>
  <c r="P168" i="25"/>
  <c r="P223" i="25"/>
  <c r="O404" i="25"/>
  <c r="O468" i="25"/>
  <c r="O469" i="25"/>
  <c r="H444" i="25"/>
  <c r="Q118" i="25"/>
  <c r="AJ108" i="57" s="1"/>
  <c r="S117" i="25"/>
  <c r="O425" i="25"/>
  <c r="O42" i="47"/>
  <c r="O134" i="47"/>
  <c r="Q213" i="25"/>
  <c r="Q218" i="25"/>
  <c r="S301" i="25"/>
  <c r="T300" i="25"/>
  <c r="E108" i="60" l="1"/>
  <c r="Q100" i="25"/>
  <c r="S100" i="25" s="1"/>
  <c r="Q380" i="25"/>
  <c r="S380" i="25" s="1"/>
  <c r="AJ53" i="57"/>
  <c r="AJ48" i="57"/>
  <c r="AJ79" i="57"/>
  <c r="P200" i="25"/>
  <c r="P179" i="25"/>
  <c r="E445" i="25"/>
  <c r="P466" i="25"/>
  <c r="P393" i="25"/>
  <c r="P425" i="25" s="1"/>
  <c r="Q166" i="25"/>
  <c r="Q219" i="25"/>
  <c r="S118" i="25"/>
  <c r="Q119" i="25"/>
  <c r="F108" i="60" l="1"/>
  <c r="D109" i="60"/>
  <c r="Q328" i="25"/>
  <c r="S328" i="25" s="1"/>
  <c r="AI15" i="57"/>
  <c r="AI57" i="57"/>
  <c r="H445" i="25"/>
  <c r="P469" i="25"/>
  <c r="P404" i="25"/>
  <c r="P468" i="25"/>
  <c r="S119" i="25"/>
  <c r="Q223" i="25"/>
  <c r="Q454" i="25"/>
  <c r="S454" i="25" s="1" a="1"/>
  <c r="S454" i="25" s="1"/>
  <c r="Q465" i="25"/>
  <c r="S465" i="25" s="1"/>
  <c r="Q391" i="25"/>
  <c r="S391" i="25" s="1"/>
  <c r="S166" i="25"/>
  <c r="Q168" i="25"/>
  <c r="E109" i="60" l="1"/>
  <c r="Q200" i="25"/>
  <c r="E446" i="25"/>
  <c r="Q179" i="25"/>
  <c r="Q466" i="25"/>
  <c r="S466" i="25" s="1"/>
  <c r="Q393" i="25"/>
  <c r="S168" i="25"/>
  <c r="F109" i="60" l="1"/>
  <c r="D110" i="60"/>
  <c r="AJ15" i="57"/>
  <c r="AJ57" i="57"/>
  <c r="Q425" i="25"/>
  <c r="S393" i="25"/>
  <c r="Q468" i="25"/>
  <c r="Q404" i="25"/>
  <c r="H446" i="25"/>
  <c r="Q469" i="25"/>
  <c r="S200" i="25"/>
  <c r="J327" i="25"/>
  <c r="J374" i="25"/>
  <c r="K372" i="25"/>
  <c r="J148" i="25"/>
  <c r="S148" i="25" s="1"/>
  <c r="E110" i="60" l="1"/>
  <c r="C117" i="60" s="1"/>
  <c r="J373" i="25"/>
  <c r="S373" i="25" s="1"/>
  <c r="J176" i="25"/>
  <c r="F110" i="60" l="1"/>
  <c r="C116" i="60"/>
  <c r="C119" i="60" s="1"/>
  <c r="S176" i="25"/>
  <c r="G439" i="25"/>
  <c r="J401" i="25"/>
  <c r="J202" i="25"/>
  <c r="AC63" i="57" s="1"/>
  <c r="K374" i="25"/>
  <c r="L147" i="25"/>
  <c r="J203" i="25" l="1"/>
  <c r="AC17" i="57"/>
  <c r="J472" i="25"/>
  <c r="J469" i="25"/>
  <c r="S469" i="25" s="1"/>
  <c r="H439" i="25"/>
  <c r="J468" i="25"/>
  <c r="S468" i="25" s="1"/>
  <c r="J404" i="25"/>
  <c r="S404" i="25" s="1"/>
  <c r="S179" i="25"/>
  <c r="J427" i="25"/>
  <c r="J428" i="25" s="1"/>
  <c r="S401" i="25"/>
  <c r="K327" i="25"/>
  <c r="K329" i="25"/>
  <c r="L372" i="25"/>
  <c r="L149" i="25"/>
  <c r="AC18" i="57" l="1"/>
  <c r="AC58" i="57"/>
  <c r="K439" i="25"/>
  <c r="J405" i="25"/>
  <c r="I439" i="25"/>
  <c r="J439" i="25"/>
  <c r="L374" i="25"/>
  <c r="M147" i="25"/>
  <c r="J473" i="25" l="1"/>
  <c r="M372" i="25"/>
  <c r="M149" i="25"/>
  <c r="L327" i="25"/>
  <c r="L101" i="25"/>
  <c r="L329" i="25" s="1"/>
  <c r="K403" i="25" l="1"/>
  <c r="M374" i="25"/>
  <c r="N147" i="25"/>
  <c r="M99" i="25"/>
  <c r="I440" i="25" l="1"/>
  <c r="K405" i="25"/>
  <c r="J440" i="25"/>
  <c r="M327" i="25"/>
  <c r="M101" i="25"/>
  <c r="M329" i="25" s="1"/>
  <c r="N372" i="25"/>
  <c r="N149" i="25"/>
  <c r="K440" i="25" l="1"/>
  <c r="O147" i="25"/>
  <c r="N374" i="25"/>
  <c r="N99" i="25"/>
  <c r="K368" i="25" l="1"/>
  <c r="K470" i="25"/>
  <c r="N327" i="25"/>
  <c r="N101" i="25"/>
  <c r="N329" i="25" s="1"/>
  <c r="O372" i="25"/>
  <c r="O149" i="25"/>
  <c r="K472" i="25" l="1"/>
  <c r="K369" i="25"/>
  <c r="L141" i="25"/>
  <c r="L367" i="25" s="1"/>
  <c r="K471" i="25"/>
  <c r="O374" i="25"/>
  <c r="P147" i="25"/>
  <c r="O99" i="25"/>
  <c r="K455" i="25" l="1"/>
  <c r="K451" i="25"/>
  <c r="K456" i="25"/>
  <c r="K450" i="25"/>
  <c r="L178" i="25"/>
  <c r="K473" i="25"/>
  <c r="K452" i="25"/>
  <c r="AD103" i="57" s="1"/>
  <c r="K229" i="25"/>
  <c r="K318" i="25"/>
  <c r="K344" i="25" s="1"/>
  <c r="K346" i="25" s="1"/>
  <c r="K347" i="25" s="1"/>
  <c r="O327" i="25"/>
  <c r="O101" i="25"/>
  <c r="O329" i="25" s="1"/>
  <c r="P372" i="25"/>
  <c r="P149" i="25"/>
  <c r="K230" i="25" l="1"/>
  <c r="AD34" i="57"/>
  <c r="L180" i="25"/>
  <c r="L403" i="25"/>
  <c r="K308" i="25"/>
  <c r="K453" i="25"/>
  <c r="K322" i="25"/>
  <c r="G440" i="25"/>
  <c r="K399" i="25"/>
  <c r="K427" i="25" s="1"/>
  <c r="K428" i="25" s="1"/>
  <c r="P99" i="25"/>
  <c r="P374" i="25"/>
  <c r="Q147" i="25"/>
  <c r="AD35" i="57" l="1"/>
  <c r="AD67" i="57"/>
  <c r="K312" i="25"/>
  <c r="L185" i="25"/>
  <c r="L405" i="25"/>
  <c r="I441" i="25"/>
  <c r="L184" i="25"/>
  <c r="J441" i="25" s="1"/>
  <c r="K324" i="25"/>
  <c r="K331" i="25"/>
  <c r="Q372" i="25"/>
  <c r="Q149" i="25"/>
  <c r="P327" i="25"/>
  <c r="P101" i="25"/>
  <c r="P329" i="25" s="1"/>
  <c r="K441" i="25" l="1"/>
  <c r="L142" i="25"/>
  <c r="K315" i="25"/>
  <c r="K333" i="25"/>
  <c r="S149" i="25"/>
  <c r="Q99" i="25"/>
  <c r="Q374" i="25"/>
  <c r="S374" i="25" s="1"/>
  <c r="L470" i="25" l="1"/>
  <c r="L368" i="25"/>
  <c r="L143" i="25"/>
  <c r="L472" i="25" s="1"/>
  <c r="Q101" i="25"/>
  <c r="S99" i="25"/>
  <c r="Q327" i="25"/>
  <c r="S327" i="25" s="1"/>
  <c r="L144" i="25" l="1"/>
  <c r="L471" i="25"/>
  <c r="S101" i="25"/>
  <c r="Q329" i="25"/>
  <c r="S329" i="25" s="1"/>
  <c r="AE71" i="57" l="1"/>
  <c r="AE112" i="57"/>
  <c r="AE40" i="57"/>
  <c r="AE41" i="57"/>
  <c r="M141" i="25"/>
  <c r="L369" i="25"/>
  <c r="L92" i="25" l="1"/>
  <c r="L318" i="25"/>
  <c r="L344" i="25" s="1"/>
  <c r="L346" i="25" s="1"/>
  <c r="L347" i="25" s="1"/>
  <c r="L174" i="25"/>
  <c r="L229" i="25"/>
  <c r="M367" i="25"/>
  <c r="L230" i="25" l="1"/>
  <c r="AE34" i="57"/>
  <c r="L202" i="25"/>
  <c r="AE63" i="57" s="1"/>
  <c r="L399" i="25"/>
  <c r="L427" i="25" s="1"/>
  <c r="L428" i="25" s="1"/>
  <c r="G441" i="25"/>
  <c r="L322" i="25"/>
  <c r="L96" i="25"/>
  <c r="AE35" i="57" l="1"/>
  <c r="AE67" i="57"/>
  <c r="L203" i="25"/>
  <c r="AE17" i="57"/>
  <c r="L103" i="25"/>
  <c r="L331" i="25" s="1"/>
  <c r="L324" i="25"/>
  <c r="AE18" i="57" l="1"/>
  <c r="AE58" i="57"/>
  <c r="L82" i="25" l="1"/>
  <c r="L312" i="25" s="1"/>
  <c r="L186" i="25"/>
  <c r="L451" i="25" s="1"/>
  <c r="L308" i="25"/>
  <c r="L456" i="25" l="1"/>
  <c r="L455" i="25"/>
  <c r="L453" i="25"/>
  <c r="L85" i="25"/>
  <c r="L452" i="25"/>
  <c r="AE22" i="57"/>
  <c r="L450" i="25"/>
  <c r="L473" i="25"/>
  <c r="M178" i="25"/>
  <c r="M403" i="25" l="1"/>
  <c r="M180" i="25"/>
  <c r="AE103" i="57"/>
  <c r="L105" i="25"/>
  <c r="L333" i="25" s="1"/>
  <c r="L315" i="25"/>
  <c r="I442" i="25" l="1"/>
  <c r="M185" i="25"/>
  <c r="M405" i="25"/>
  <c r="M184" i="25"/>
  <c r="J442" i="25" l="1"/>
  <c r="M142" i="25"/>
  <c r="K442" i="25"/>
  <c r="M143" i="25" l="1"/>
  <c r="M186" i="25" s="1"/>
  <c r="M368" i="25"/>
  <c r="M470" i="25"/>
  <c r="M472" i="25" l="1"/>
  <c r="M144" i="25"/>
  <c r="M369" i="25" s="1"/>
  <c r="M471" i="25"/>
  <c r="N141" i="25" l="1"/>
  <c r="N367" i="25" s="1"/>
  <c r="M88" i="25"/>
  <c r="M229" i="25" s="1"/>
  <c r="AF40" i="57"/>
  <c r="AF112" i="57"/>
  <c r="AF71" i="57"/>
  <c r="AF41" i="57"/>
  <c r="M455" i="25"/>
  <c r="M452" i="25"/>
  <c r="M456" i="25"/>
  <c r="M451" i="25"/>
  <c r="N178" i="25"/>
  <c r="M473" i="25"/>
  <c r="M78" i="25"/>
  <c r="M450" i="25"/>
  <c r="AF22" i="57"/>
  <c r="M318" i="25" l="1"/>
  <c r="M344" i="25" s="1"/>
  <c r="M346" i="25" s="1"/>
  <c r="M347" i="25" s="1"/>
  <c r="M92" i="25"/>
  <c r="M96" i="25" s="1"/>
  <c r="M174" i="25"/>
  <c r="M202" i="25" s="1"/>
  <c r="AF103" i="57"/>
  <c r="AF34" i="57"/>
  <c r="M230" i="25"/>
  <c r="M308" i="25"/>
  <c r="M453" i="25"/>
  <c r="M82" i="25"/>
  <c r="N180" i="25"/>
  <c r="N403" i="25"/>
  <c r="M399" i="25" l="1"/>
  <c r="G442" i="25"/>
  <c r="M322" i="25"/>
  <c r="AF63" i="57"/>
  <c r="M203" i="25"/>
  <c r="AF17" i="57"/>
  <c r="M312" i="25"/>
  <c r="M85" i="25"/>
  <c r="AF67" i="57"/>
  <c r="AF35" i="57"/>
  <c r="M324" i="25"/>
  <c r="M103" i="25"/>
  <c r="M331" i="25" s="1"/>
  <c r="N184" i="25"/>
  <c r="I443" i="25"/>
  <c r="N185" i="25"/>
  <c r="N405" i="25"/>
  <c r="M427" i="25"/>
  <c r="M428" i="25" s="1"/>
  <c r="J443" i="25" l="1"/>
  <c r="M105" i="25"/>
  <c r="M333" i="25" s="1"/>
  <c r="M315" i="25"/>
  <c r="AF58" i="57"/>
  <c r="AF18" i="57"/>
  <c r="K443" i="25"/>
  <c r="N142" i="25"/>
  <c r="N470" i="25" l="1"/>
  <c r="N368" i="25"/>
  <c r="N143" i="25"/>
  <c r="N471" i="25" l="1"/>
  <c r="N186" i="25"/>
  <c r="N144" i="25"/>
  <c r="N472" i="25"/>
  <c r="N88" i="25" l="1"/>
  <c r="O141" i="25"/>
  <c r="N369" i="25"/>
  <c r="AG71" i="57"/>
  <c r="AG40" i="57"/>
  <c r="AG112" i="57"/>
  <c r="AG41" i="57"/>
  <c r="N473" i="25"/>
  <c r="N452" i="25"/>
  <c r="AG22" i="57"/>
  <c r="N456" i="25"/>
  <c r="N78" i="25"/>
  <c r="N451" i="25"/>
  <c r="O178" i="25"/>
  <c r="N450" i="25"/>
  <c r="N455" i="25"/>
  <c r="O180" i="25" l="1"/>
  <c r="O403" i="25"/>
  <c r="N82" i="25"/>
  <c r="N453" i="25"/>
  <c r="N308" i="25"/>
  <c r="AG103" i="57"/>
  <c r="O367" i="25"/>
  <c r="N92" i="25"/>
  <c r="N318" i="25"/>
  <c r="N344" i="25" s="1"/>
  <c r="N346" i="25" s="1"/>
  <c r="N347" i="25" s="1"/>
  <c r="N229" i="25"/>
  <c r="N174" i="25"/>
  <c r="N96" i="25" l="1"/>
  <c r="N322" i="25"/>
  <c r="N85" i="25"/>
  <c r="N312" i="25"/>
  <c r="O405" i="25"/>
  <c r="O185" i="25"/>
  <c r="I444" i="25"/>
  <c r="O184" i="25"/>
  <c r="AG34" i="57"/>
  <c r="N230" i="25"/>
  <c r="N399" i="25"/>
  <c r="N202" i="25"/>
  <c r="G443" i="25"/>
  <c r="N427" i="25" l="1"/>
  <c r="N428" i="25" s="1"/>
  <c r="AG35" i="57"/>
  <c r="AG67" i="57"/>
  <c r="K444" i="25"/>
  <c r="O142" i="25"/>
  <c r="AG17" i="57"/>
  <c r="AG63" i="57"/>
  <c r="N203" i="25"/>
  <c r="J444" i="25"/>
  <c r="N315" i="25"/>
  <c r="N324" i="25"/>
  <c r="N103" i="25"/>
  <c r="N331" i="25" s="1"/>
  <c r="N105" i="25" l="1"/>
  <c r="N333" i="25" s="1"/>
  <c r="AG18" i="57"/>
  <c r="AG58" i="57"/>
  <c r="O368" i="25"/>
  <c r="O470" i="25"/>
  <c r="O143" i="25"/>
  <c r="O471" i="25" l="1"/>
  <c r="O186" i="25"/>
  <c r="O144" i="25"/>
  <c r="O472" i="25"/>
  <c r="O455" i="25" l="1"/>
  <c r="O451" i="25"/>
  <c r="O452" i="25"/>
  <c r="O78" i="25"/>
  <c r="O473" i="25"/>
  <c r="P178" i="25"/>
  <c r="O456" i="25"/>
  <c r="AH22" i="57"/>
  <c r="O450" i="25"/>
  <c r="O369" i="25"/>
  <c r="AH112" i="57"/>
  <c r="O88" i="25"/>
  <c r="AH41" i="57"/>
  <c r="AH40" i="57"/>
  <c r="AH71" i="57"/>
  <c r="P141" i="25"/>
  <c r="O92" i="25" l="1"/>
  <c r="O318" i="25"/>
  <c r="O344" i="25" s="1"/>
  <c r="O346" i="25" s="1"/>
  <c r="O347" i="25" s="1"/>
  <c r="O229" i="25"/>
  <c r="O174" i="25"/>
  <c r="AH103" i="57"/>
  <c r="P403" i="25"/>
  <c r="P180" i="25"/>
  <c r="O308" i="25"/>
  <c r="O82" i="25"/>
  <c r="O453" i="25"/>
  <c r="P367" i="25"/>
  <c r="O85" i="25" l="1"/>
  <c r="O312" i="25"/>
  <c r="P184" i="25"/>
  <c r="P185" i="25"/>
  <c r="I445" i="25"/>
  <c r="P405" i="25"/>
  <c r="O399" i="25"/>
  <c r="G444" i="25"/>
  <c r="O202" i="25"/>
  <c r="AH34" i="57"/>
  <c r="O230" i="25"/>
  <c r="O96" i="25"/>
  <c r="O322" i="25"/>
  <c r="AH17" i="57" l="1"/>
  <c r="O203" i="25"/>
  <c r="AH63" i="57"/>
  <c r="O427" i="25"/>
  <c r="O428" i="25" s="1"/>
  <c r="K445" i="25"/>
  <c r="P142" i="25"/>
  <c r="O324" i="25"/>
  <c r="O103" i="25"/>
  <c r="O331" i="25" s="1"/>
  <c r="AH67" i="57"/>
  <c r="AH35" i="57"/>
  <c r="J445" i="25"/>
  <c r="O315" i="25"/>
  <c r="O105" i="25" l="1"/>
  <c r="O333" i="25" s="1"/>
  <c r="P470" i="25"/>
  <c r="P368" i="25"/>
  <c r="P143" i="25"/>
  <c r="P144" i="25" s="1"/>
  <c r="AH58" i="57"/>
  <c r="AH18" i="57"/>
  <c r="AI71" i="57" l="1"/>
  <c r="AI40" i="57"/>
  <c r="Q141" i="25"/>
  <c r="AI112" i="57"/>
  <c r="P88" i="25"/>
  <c r="P369" i="25"/>
  <c r="AI41" i="57"/>
  <c r="P471" i="25"/>
  <c r="P186" i="25"/>
  <c r="P472" i="25"/>
  <c r="P229" i="25" l="1"/>
  <c r="P174" i="25"/>
  <c r="P318" i="25"/>
  <c r="P344" i="25" s="1"/>
  <c r="P346" i="25" s="1"/>
  <c r="P347" i="25" s="1"/>
  <c r="P92" i="25"/>
  <c r="P78" i="25"/>
  <c r="P456" i="25"/>
  <c r="P450" i="25"/>
  <c r="Q178" i="25"/>
  <c r="P451" i="25"/>
  <c r="P455" i="25"/>
  <c r="P452" i="25"/>
  <c r="AI22" i="57"/>
  <c r="P473" i="25"/>
  <c r="Q367" i="25"/>
  <c r="Q403" i="25" l="1"/>
  <c r="Q180" i="25"/>
  <c r="P322" i="25"/>
  <c r="P96" i="25"/>
  <c r="P202" i="25"/>
  <c r="P399" i="25"/>
  <c r="G445" i="25"/>
  <c r="AI103" i="57"/>
  <c r="P308" i="25"/>
  <c r="P82" i="25"/>
  <c r="P453" i="25"/>
  <c r="P230" i="25"/>
  <c r="AI34" i="57"/>
  <c r="AI35" i="57" l="1"/>
  <c r="AI67" i="57"/>
  <c r="P85" i="25"/>
  <c r="P312" i="25"/>
  <c r="AI63" i="57"/>
  <c r="P203" i="25"/>
  <c r="AI17" i="57"/>
  <c r="Q185" i="25"/>
  <c r="Q184" i="25"/>
  <c r="I446" i="25"/>
  <c r="Q405" i="25"/>
  <c r="S405" i="25" s="1"/>
  <c r="S180" i="25"/>
  <c r="P427" i="25"/>
  <c r="P428" i="25" s="1"/>
  <c r="P103" i="25"/>
  <c r="P331" i="25" s="1"/>
  <c r="P324" i="25"/>
  <c r="K446" i="25" l="1"/>
  <c r="S185" i="25"/>
  <c r="Q142" i="25"/>
  <c r="J446" i="25"/>
  <c r="S184" i="25"/>
  <c r="AI18" i="57"/>
  <c r="AI58" i="57"/>
  <c r="P105" i="25"/>
  <c r="P333" i="25" s="1"/>
  <c r="P315" i="25"/>
  <c r="Q368" i="25" l="1"/>
  <c r="S368" i="25" s="1"/>
  <c r="Q470" i="25"/>
  <c r="S470" i="25" s="1"/>
  <c r="S142" i="25"/>
  <c r="Q143" i="25"/>
  <c r="Q471" i="25" l="1"/>
  <c r="S471" i="25" s="1"/>
  <c r="S143" i="25"/>
  <c r="Q186" i="25"/>
  <c r="Q144" i="25"/>
  <c r="Q472" i="25"/>
  <c r="S472" i="25" s="1"/>
  <c r="Q88" i="25" l="1"/>
  <c r="AJ71" i="57"/>
  <c r="Q369" i="25"/>
  <c r="S369" i="25" s="1"/>
  <c r="AJ40" i="57"/>
  <c r="AJ112" i="57"/>
  <c r="S144" i="25"/>
  <c r="AJ41" i="57"/>
  <c r="Q451" i="25"/>
  <c r="S451" i="25" s="1"/>
  <c r="Q78" i="25"/>
  <c r="Q473" i="25"/>
  <c r="S473" i="25" s="1"/>
  <c r="Q450" i="25"/>
  <c r="S450" i="25" s="1"/>
  <c r="AJ22" i="57"/>
  <c r="Q452" i="25"/>
  <c r="M5" i="57"/>
  <c r="Q456" i="25"/>
  <c r="S456" i="25" s="1"/>
  <c r="S186" i="25"/>
  <c r="Q455" i="25"/>
  <c r="S455" i="25" s="1" a="1"/>
  <c r="S455" i="25" s="1"/>
  <c r="Q308" i="25" l="1"/>
  <c r="S308" i="25" s="1"/>
  <c r="Q453" i="25"/>
  <c r="S453" i="25" s="1" a="1"/>
  <c r="S453" i="25" s="1"/>
  <c r="S78" i="25"/>
  <c r="Q82" i="25"/>
  <c r="AJ103" i="57"/>
  <c r="S452" i="25"/>
  <c r="P5" i="57" s="1"/>
  <c r="Q229" i="25"/>
  <c r="S318" i="25"/>
  <c r="Q318" i="25"/>
  <c r="Q344" i="25" s="1"/>
  <c r="Q92" i="25"/>
  <c r="Q174" i="25"/>
  <c r="S88" i="25"/>
  <c r="S229" i="25"/>
  <c r="S230" i="25" s="1"/>
  <c r="Q202" i="25" l="1"/>
  <c r="G446" i="25"/>
  <c r="Q399" i="25"/>
  <c r="S174" i="25"/>
  <c r="Q346" i="25"/>
  <c r="S344" i="25"/>
  <c r="AJ34" i="57"/>
  <c r="Q230" i="25"/>
  <c r="Q312" i="25"/>
  <c r="S312" i="25" s="1"/>
  <c r="Q85" i="25"/>
  <c r="S82" i="25"/>
  <c r="Q96" i="25"/>
  <c r="S92" i="25"/>
  <c r="Q322" i="25"/>
  <c r="S322" i="25"/>
  <c r="Q324" i="25" l="1"/>
  <c r="S324" i="25"/>
  <c r="S96" i="25"/>
  <c r="Q103" i="25"/>
  <c r="Q105" i="25" s="1"/>
  <c r="Q333" i="25" s="1"/>
  <c r="S85" i="25"/>
  <c r="Q315" i="25"/>
  <c r="S315" i="25" s="1"/>
  <c r="AJ67" i="57"/>
  <c r="AJ35" i="57"/>
  <c r="S346" i="25"/>
  <c r="Q347" i="25"/>
  <c r="S347" i="25" s="1"/>
  <c r="Q427" i="25"/>
  <c r="Q428" i="25" s="1"/>
  <c r="S399" i="25"/>
  <c r="AJ17" i="57"/>
  <c r="AJ63" i="57"/>
  <c r="Q203" i="25"/>
  <c r="S202" i="25"/>
  <c r="AJ18" i="57" l="1"/>
  <c r="AJ58" i="57"/>
  <c r="S203" i="25"/>
  <c r="S103" i="25"/>
  <c r="S105" i="25" s="1"/>
  <c r="Q331" i="25"/>
  <c r="S331" i="25" s="1"/>
  <c r="S333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8" authorId="0" shapeId="0" xr:uid="{DB6D5FF5-3FD2-43FA-A8F3-B635B8B1C3D7}">
      <text>
        <r>
          <rPr>
            <b/>
            <sz val="9"/>
            <color indexed="81"/>
            <rFont val="Tahoma"/>
            <charset val="1"/>
          </rPr>
          <t>Colombia: ingresos netos acumulados ene-jul (EF Julio COCO 2026, Inputs N132 = Acum Jul PDF). Antes usaba 'Informe Accionista'!I136 (YTD ene-jun).</t>
        </r>
      </text>
    </comment>
    <comment ref="C15" authorId="0" shapeId="0" xr:uid="{914F203D-BD71-48E8-9684-15536B00F5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Suma la fila Utilidad de USA, Perú y Costa Rica para abril y convierte el resultado a COP MM.</t>
        </r>
      </text>
    </comment>
    <comment ref="C16" authorId="0" shapeId="0" xr:uid="{8AB01F66-DCC8-4C26-A6FB-35499F1509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Suma la fila Utilidad de USA, Perú y Costa Rica para mayo y convierte el resultado a COP MM.</t>
        </r>
      </text>
    </comment>
    <comment ref="C17" authorId="0" shapeId="0" xr:uid="{47EB245B-8F78-426C-B94A-98DEFFE974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Suma la fila Utilidad de USA, Perú y Costa Rica para junio y convierte el resultado a COP MM.</t>
        </r>
      </text>
    </comment>
    <comment ref="E26" authorId="0" shapeId="0" xr:uid="{99EBA799-6831-45E5-A412-6169BF214E7B}">
      <text>
        <r>
          <rPr>
            <b/>
            <sz val="9"/>
            <color indexed="81"/>
            <rFont val="Tahoma"/>
            <family val="2"/>
          </rPr>
          <t>Source: Consolidado USD | As-of: 2026-06-30 | Ref: M6:O16 | Notes: Flujo neto de USA, Perú y Costa Rica; excluye Colombia y filas 17 en adelante.</t>
        </r>
      </text>
    </comment>
    <comment ref="D39" authorId="0" shapeId="0" xr:uid="{01DB0F69-1296-4494-8B8A-5D7C7536111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Ejecutado julio real (EF Julio COCO 2026) vía Modelo Base L51, convertido a USD con TRM ppto G45.</t>
        </r>
      </text>
    </comment>
    <comment ref="G44" authorId="0" shapeId="0" xr:uid="{DA5BE47C-20E2-4BFA-AD57-27C0DB37147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M6:M7 | Notes: Solo filas anteriores a la 17; Colombia excluida.</t>
        </r>
      </text>
    </comment>
    <comment ref="H44" authorId="0" shapeId="0" xr:uid="{8F89FA32-6ACC-4721-9BAC-AC98F92FA4F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M9,M11:M13,M15 | Notes: Solo filas anteriores a la 17; signo de salida de caja.</t>
        </r>
      </text>
    </comment>
    <comment ref="G45" authorId="0" shapeId="0" xr:uid="{43015169-4F69-4252-889A-7573806CC3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N6:N7 | Notes: Solo filas anteriores a la 17; Colombia excluida.</t>
        </r>
      </text>
    </comment>
    <comment ref="H45" authorId="0" shapeId="0" xr:uid="{3D845C39-A916-432A-850B-FAAA51104A1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N9,N11:N13,N15 | Notes: Solo filas anteriores a la 17; signo de salida de caja.</t>
        </r>
      </text>
    </comment>
    <comment ref="G46" authorId="0" shapeId="0" xr:uid="{BF9ED419-940E-4D54-A1A4-7C67A0C18F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O6:O7 | Notes: Solo filas anteriores a la 17; Colombia excluida.</t>
        </r>
      </text>
    </comment>
    <comment ref="H46" authorId="0" shapeId="0" xr:uid="{34585156-6A1E-4D6D-9CF3-59A2C469B9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O9,O11:O13,O15 | Notes: Solo filas anteriores a la 17; signo de salida de caja.</t>
        </r>
      </text>
    </comment>
    <comment ref="J49" authorId="0" shapeId="0" xr:uid="{85EE9339-89C0-4D3F-8685-3D42DC628DD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Consolidado USD | As-of: 2026-06-30 | Ref: P4 | Notes: TRM usada para convertir los flujos internacionales de junio.</t>
        </r>
      </text>
    </comment>
    <comment ref="C90" authorId="0" shapeId="0" xr:uid="{F465F19B-EF82-45E6-A174-2C5F185AC89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Caja Colombia a 31-jul-2026 (EF Julio COCO 2026, Nota 03). Antes: =Inputs!I93/1000000 (junio).</t>
        </r>
      </text>
    </comment>
    <comment ref="C91" authorId="0" shapeId="0" xr:uid="{F9512199-48D4-4E37-90C9-622292A570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saldo informado por el usuario | As-of: 2026-07-14 | Notes: Caja mantenida en Estados Unidos, expresada en USD miles.</t>
        </r>
      </text>
    </comment>
    <comment ref="C92" authorId="0" shapeId="0" xr:uid="{517D0E9C-E976-4D4A-AE1F-3A3F760BA6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TRM consultada para la conversión de caja EE.UU. | As-of: 2026-07-14 | Notes: COP por USD.</t>
        </r>
      </text>
    </comment>
    <comment ref="E106" authorId="0" shapeId="0" xr:uid="{70EAE6EF-6583-4951-9D17-9B1E3ED6FF7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Parte de la caja total consolidada a julio (real) y suma el flujo proyectado de agosto.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6" authorId="0" shapeId="0" xr:uid="{AD15C925-EEBB-4746-8B0B-D4BC86114F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Source: User-provided input | As-of: Apr-2026 close | Ref: chat value | Notes: Cash at April close used for runway calculation; amount in USD.</t>
        </r>
      </text>
    </comment>
    <comment ref="C29" authorId="0" shapeId="0" xr:uid="{E6BF3D6E-B27D-48D3-8CCA-22974D2B04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Tasa anual sobre préstamos intercompañía de corto plazo. Default 12% (ajustable)</t>
        </r>
      </text>
    </comment>
    <comment ref="I93" authorId="0" shapeId="0" xr:uid="{DD94DFE0-67C4-4552-9BF3-1CDCA81505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03 — Efectivo y equivalentes.</t>
        </r>
      </text>
    </comment>
    <comment ref="J93" authorId="0" shapeId="0" xr:uid="{9F4C512C-BFD4-4161-8E67-626F1AB5489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03 — Efectivo 741.932 + Bancolombia 173.520.635 + Epayco 4.359.</t>
        </r>
      </text>
    </comment>
    <comment ref="I94" authorId="0" shapeId="0" xr:uid="{C3E12090-4C9B-47AA-A03C-F3DAB2C53F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04 — Fiducuenta No. 9405.</t>
        </r>
      </text>
    </comment>
    <comment ref="J94" authorId="0" shapeId="0" xr:uid="{A7BDFD9C-485F-444F-8881-205E30FEF5A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04 — Fiducuenta No. 9405.</t>
        </r>
      </text>
    </comment>
    <comment ref="I95" authorId="0" shapeId="0" xr:uid="{307F8E47-803C-4DE5-A851-D2A0983EAC4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05 — Cuentas comerciales y otras cuentas por cobrar.</t>
        </r>
      </text>
    </comment>
    <comment ref="J95" authorId="0" shapeId="0" xr:uid="{F40CD788-BA34-46D5-B8D7-AE1BA524FFD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05 — Total cuentas comerciales y otras cuentas por cobrar.</t>
        </r>
      </text>
    </comment>
    <comment ref="I96" authorId="0" shapeId="0" xr:uid="{5268C112-CACF-4386-B623-45B5D81AA5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05 — Clientes.</t>
        </r>
      </text>
    </comment>
    <comment ref="J96" authorId="0" shapeId="0" xr:uid="{DCEBA5E7-978E-4F7A-A0A3-98F48B4E0DA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05 — Clientes.</t>
        </r>
      </text>
    </comment>
    <comment ref="I101" authorId="0" shapeId="0" xr:uid="{F793F27B-7381-4526-983D-2F72BB9699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06. Total no corrientes 635.975.514 menos intangibles 410.000.000 (la suma de partidas da 225.975.513 por redondeo del PDF).</t>
        </r>
      </text>
    </comment>
    <comment ref="J101" authorId="0" shapeId="0" xr:uid="{315F1FA9-6FD7-4024-BA13-33A48D55671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06. Total PPE 635.975.514 menos intangibles 410.000.000 (la suma de partidas da 225.975.513 por redondeo del PDF).</t>
        </r>
      </text>
    </comment>
    <comment ref="I102" authorId="0" shapeId="0" xr:uid="{EFE89285-DD4C-4483-BF41-5EFFE14D6D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06 — Derechos intangibles (software).</t>
        </r>
      </text>
    </comment>
    <comment ref="J102" authorId="0" shapeId="0" xr:uid="{33A01FEB-AC4C-4CD1-811D-3BAE74D660B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06 — Derechos intangibles (software).</t>
        </r>
      </text>
    </comment>
    <comment ref="I108" authorId="0" shapeId="0" xr:uid="{90521F2D-BDB6-4858-BE8D-3021FC9680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Entidades financieras (tarjetas). Mismo mapeo que meses anteriores.</t>
        </r>
      </text>
    </comment>
    <comment ref="J108" authorId="0" shapeId="0" xr:uid="{8F19CEC7-A7B4-47F9-B74D-2D433EB7371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Entidades financieras (tarjetas).</t>
        </r>
      </text>
    </comment>
    <comment ref="I109" authorId="0" shapeId="0" xr:uid="{6F4C9985-0E4E-4D7E-B5A8-1C7C008AD7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Proveedores 469.974.009 + CxP terceros 13.416.897.</t>
        </r>
      </text>
    </comment>
    <comment ref="I110" authorId="0" shapeId="0" xr:uid="{5D7BDA4F-F54A-4ACC-9C25-D4A2FEE0358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Proveedores.</t>
        </r>
      </text>
    </comment>
    <comment ref="J110" authorId="0" shapeId="0" xr:uid="{F9D96CC8-DFA0-4CA4-851D-0E37F81F4A1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Proveedores.</t>
        </r>
      </text>
    </comment>
    <comment ref="J111" authorId="0" shapeId="0" xr:uid="{6CF3AC34-B31D-4D9C-9836-D40BE04AAD9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Cuentas por pagar a terceros.</t>
        </r>
      </text>
    </comment>
    <comment ref="I112" authorId="0" shapeId="0" xr:uid="{9BB480C5-1604-422A-AEF2-612B669EFC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Impuestos.</t>
        </r>
      </text>
    </comment>
    <comment ref="J112" authorId="0" shapeId="0" xr:uid="{EE11AA99-93CA-483F-9AFF-22BDB2B3EAE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Impuestos.</t>
        </r>
      </text>
    </comment>
    <comment ref="I113" authorId="0" shapeId="0" xr:uid="{52416C07-F103-42F4-B117-54EDFACCBB4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Obligaciones laborales.</t>
        </r>
      </text>
    </comment>
    <comment ref="J113" authorId="0" shapeId="0" xr:uid="{CCD6B585-7D86-41F6-86FF-FF7C54FEED1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Obligaciones laborales.</t>
        </r>
      </text>
    </comment>
    <comment ref="I116" authorId="0" shapeId="0" xr:uid="{755C3327-2159-457F-A376-BB46B396E01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07 — Obligaciones con terceros / cuentas por pagar a socios.</t>
        </r>
      </text>
    </comment>
    <comment ref="J116" authorId="0" shapeId="0" xr:uid="{DE1C502F-E59D-4D74-B064-15BE83AE399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07 — Obligaciones con terceros / cuentas por pagar a socios.</t>
        </r>
      </text>
    </comment>
    <comment ref="I121" authorId="0" shapeId="0" xr:uid="{84BBE6E1-F446-4E63-B164-008AB7DA2B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08 — Capital 830.909.000 + prima en colocación 379.430.000.</t>
        </r>
      </text>
    </comment>
    <comment ref="J121" authorId="0" shapeId="0" xr:uid="{EF8E0D92-1FE0-40C0-AFD0-1B278BDB79F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08 — Capital 830.909.000 + prima en colocación 379.430.000.</t>
        </r>
      </text>
    </comment>
    <comment ref="I122" authorId="0" shapeId="0" xr:uid="{8CCED297-27EE-467F-A3F3-AA9A0AEB3E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08 — Utilidades acumuladas 1.214.592.672 + utilidad del ejercicio 222.021.225.</t>
        </r>
      </text>
    </comment>
    <comment ref="J122" authorId="0" shapeId="0" xr:uid="{5458E6F7-4910-49E9-80DF-747AAD896BD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08 — Utilidades acumuladas 1.214.592.672 + utilidad del ejercicio 246.728.277.</t>
        </r>
      </text>
    </comment>
    <comment ref="I133" authorId="0" shapeId="0" xr:uid="{D2C98C98-95F8-415B-BE12-38E56E60ED7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Junio = acumulado ene-jun (EEFF Junio 2026 PDF) menos suma de reales ene-may.</t>
        </r>
      </text>
    </comment>
    <comment ref="J133" authorId="0" shapeId="0" xr:uid="{BA861C17-1CED-4445-B1BB-AAADF2209E7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Julio = acumulado ene-jul (EF Julio COCO 2026 PDF) menos suma de reales ene-jun.</t>
        </r>
      </text>
    </comment>
    <comment ref="M133" authorId="0" shapeId="0" xr:uid="{2D1CB934-CCA4-44C7-BF10-E7CAF19F67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09 — Servicios de Software de Agendamiento, acumulado ene-jun.</t>
        </r>
      </text>
    </comment>
    <comment ref="N133" authorId="0" shapeId="0" xr:uid="{4F017319-6390-49A1-879B-33B261776D1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09 — Servicios de Software de Agendamiento, acumulado ene-jul.</t>
        </r>
      </text>
    </comment>
    <comment ref="M134" authorId="0" shapeId="0" xr:uid="{E2E3540B-CA17-449B-B864-9DBD1BBE97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09 — Devoluciones, acumulado ene-jun.</t>
        </r>
      </text>
    </comment>
    <comment ref="N134" authorId="0" shapeId="0" xr:uid="{14E523AB-9DA7-40C1-9511-21F20CC426F5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09 — Devoluciones, acumulado ene-jul.</t>
        </r>
      </text>
    </comment>
    <comment ref="M135" authorId="0" shapeId="0" xr:uid="{20C045EB-C8ED-4706-B38A-FD83EB59D2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10 — Costo del desarrollo del software, acumulado ene-jun.</t>
        </r>
      </text>
    </comment>
    <comment ref="N135" authorId="0" shapeId="0" xr:uid="{5EDA9DF1-6892-453D-A5BD-EB7D75D2605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10 — Costos del desarrollo del software, acumulado ene-jul.</t>
        </r>
      </text>
    </comment>
    <comment ref="M139" authorId="0" shapeId="0" xr:uid="{DBF702D8-16B7-4565-BF08-65CD2E0469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ER — Gastos de administración, acumulado ene-jun.</t>
        </r>
      </text>
    </comment>
    <comment ref="N139" authorId="0" shapeId="0" xr:uid="{112BB0C3-E958-444C-AD75-2ED21DDCA62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11 / ER — Gastos administrativos, acumulado ene-jul.</t>
        </r>
      </text>
    </comment>
    <comment ref="M141" authorId="0" shapeId="0" xr:uid="{D564CAE1-E0C5-4505-B9C2-3510A97417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ER — Gastos operacionales, acumulado ene-jun.</t>
        </r>
      </text>
    </comment>
    <comment ref="N141" authorId="0" shapeId="0" xr:uid="{8307B1BD-859E-432E-AB32-0E488ADFEDB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11 / ER — Gastos operativos, acumulado ene-jul.</t>
        </r>
      </text>
    </comment>
    <comment ref="M142" authorId="0" shapeId="0" xr:uid="{F9CC350C-B9E5-437D-8F91-55FB64F70F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ER — Gastos de ventas, acumulado ene-jun.</t>
        </r>
      </text>
    </comment>
    <comment ref="N142" authorId="0" shapeId="0" xr:uid="{FF0EEC29-08CE-430B-8D52-9FA80716F59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11 / ER — Gastos de ventas, acumulado ene-jul.</t>
        </r>
      </text>
    </comment>
    <comment ref="M144" authorId="0" shapeId="0" xr:uid="{75B81ED4-0F2B-4FCD-8E59-369CCB6193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pág. 2. El PDF reporta resultado de operación de COP 246.693.821; la suma de los rubros publicados da COP 246.693.822 (diferencia de COP 1). Se conserva el cálculo por componentes.</t>
        </r>
      </text>
    </comment>
    <comment ref="N144" authorId="0" shapeId="0" xr:uid="{7F2EB95D-B77E-4583-B9CB-A29DF397AD3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El PDF reporta resultado de la operación de COP 276.036.182; la suma de los rubros publicados da COP 276.036.183 (diferencia de COP 1 por redondeo).</t>
        </r>
      </text>
    </comment>
    <comment ref="M147" authorId="0" shapeId="0" xr:uid="{12DFFC8B-EDC5-45E7-9446-755518D0C7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12 — Ingresos no operacionales (financieros), acumulado ene-jun.</t>
        </r>
      </text>
    </comment>
    <comment ref="N147" authorId="0" shapeId="0" xr:uid="{2D873BBC-9637-479B-BA76-8AF78BBF410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Nota 12 — Ingresos no operacionales (financieros), acumulado ene-jul.</t>
        </r>
      </text>
    </comment>
    <comment ref="M151" authorId="0" shapeId="0" xr:uid="{27FC02ED-8287-4F09-9381-26D28417F4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Nota 13 — Gastos financieros, acumulado ene-jun (ER; la nota suma 34.754.733 por redondeo).</t>
        </r>
      </text>
    </comment>
    <comment ref="N151" authorId="0" shapeId="0" xr:uid="{1B4315C7-8446-4442-ACA9-C29231A2811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Fuente: EF Julio COCO 2026 (PDF), ER — Gastos financieros acumulado ene-jul (la Nota 13 suma 40.108.354, dif. COP 1 por redondeo).</t>
        </r>
      </text>
    </comment>
    <comment ref="M153" authorId="0" shapeId="0" xr:uid="{7A2B8621-FAA3-4DA9-A269-2A5EF78C06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pág. 2. El PDF reporta resultado antes de impuestos de COP 222.021.225; la suma de los rubros publicados da COP 222.021.226 (diferencia de COP 1). Se conserva el cálculo por componentes.</t>
        </r>
      </text>
    </comment>
    <comment ref="M155" authorId="0" shapeId="0" xr:uid="{5EFA1F88-29CD-4745-9CFD-93D9087BB68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Fuente: Estados Financieros Junio 2026 (PDF), pág. 2. El PDF reporta utilidad del ejercicio de COP 222.021.225; la suma de los rubros publicados da COP 222.021.226 (diferencia de COP 1). Se conserva el cálculo por componentes.</t>
        </r>
      </text>
    </comment>
    <comment ref="D160" authorId="0" shapeId="0" xr:uid="{272D4CFE-398E-4529-942E-EB0715719398}">
      <text>
        <r>
          <rPr>
            <b/>
            <sz val="9"/>
            <color indexed="81"/>
            <rFont val="Tahoma"/>
            <family val="2"/>
          </rPr>
          <t>Fuente: EF Julio COCO 2026 (PDF), Nota 09 — acumulado ene-jul.</t>
        </r>
      </text>
    </comment>
    <comment ref="D161" authorId="0" shapeId="0" xr:uid="{1A72D04B-E2A0-4929-AAA5-DB26AC9466EF}">
      <text>
        <r>
          <rPr>
            <b/>
            <sz val="9"/>
            <color indexed="81"/>
            <rFont val="Tahoma"/>
            <family val="2"/>
          </rPr>
          <t>Fuente: EF Julio COCO 2026 (PDF), Nota 09 — devoluciones acumuladas ene-jul.</t>
        </r>
      </text>
    </comment>
    <comment ref="D162" authorId="0" shapeId="0" xr:uid="{4FE53B29-919D-4B99-AE21-0D6D50CB3CB6}">
      <text>
        <r>
          <rPr>
            <b/>
            <sz val="9"/>
            <color indexed="81"/>
            <rFont val="Tahoma"/>
            <family val="2"/>
          </rPr>
          <t>Fuente: EF Julio COCO 2026 (PDF), Nota 10 — costo del desarrollo del software, acum ene-jul.</t>
        </r>
      </text>
    </comment>
    <comment ref="D163" authorId="0" shapeId="0" xr:uid="{B170F106-A31D-4769-B1B9-14A2C12F179C}">
      <text>
        <r>
          <rPr>
            <b/>
            <sz val="9"/>
            <color indexed="81"/>
            <rFont val="Tahoma"/>
            <family val="2"/>
          </rPr>
          <t>Fuente: EF Julio COCO 2026 (PDF), Nota 11 / ER — gastos administrativos acum ene-jul.</t>
        </r>
      </text>
    </comment>
    <comment ref="D164" authorId="0" shapeId="0" xr:uid="{3B3DFEF1-4239-4679-BFF2-8B5501A18A44}">
      <text>
        <r>
          <rPr>
            <b/>
            <sz val="9"/>
            <color indexed="81"/>
            <rFont val="Tahoma"/>
            <family val="2"/>
          </rPr>
          <t>Fuente: EF Julio COCO 2026 (PDF), Nota 11 / ER — gastos operativos acum ene-jul.</t>
        </r>
      </text>
    </comment>
    <comment ref="D165" authorId="0" shapeId="0" xr:uid="{AD03963E-204B-4C9E-B5B8-F739EBEEA659}">
      <text>
        <r>
          <rPr>
            <b/>
            <sz val="9"/>
            <color indexed="81"/>
            <rFont val="Tahoma"/>
            <family val="2"/>
          </rPr>
          <t>Fuente: EF Julio COCO 2026 (PDF), Nota 11 / ER — gastos de ventas acum ene-jul.</t>
        </r>
      </text>
    </comment>
    <comment ref="D166" authorId="0" shapeId="0" xr:uid="{DC1F32EE-AE48-4584-9F23-424553D76439}">
      <text>
        <r>
          <rPr>
            <b/>
            <sz val="9"/>
            <color indexed="81"/>
            <rFont val="Tahoma"/>
            <family val="2"/>
          </rPr>
          <t>Fuente: EF Julio COCO 2026 (PDF), Nota 12 — ingresos no operacionales acum ene-jul.</t>
        </r>
      </text>
    </comment>
    <comment ref="D167" authorId="0" shapeId="0" xr:uid="{357E7D8C-BDF0-4820-8DCF-6D165665C121}">
      <text>
        <r>
          <rPr>
            <b/>
            <sz val="9"/>
            <color indexed="81"/>
            <rFont val="Tahoma"/>
            <family val="2"/>
          </rPr>
          <t>Fuente: EF Julio COCO 2026 (PDF), ER — gastos financieros acum ene-jul 40.108.353; la Nota 13 suma 40.108.354 (dif. COP 1).</t>
        </r>
      </text>
    </comment>
    <comment ref="D168" authorId="0" shapeId="0" xr:uid="{28F42883-7EF0-4947-984A-6CFDBA0D8C07}">
      <text>
        <r>
          <rPr>
            <b/>
            <sz val="9"/>
            <color indexed="81"/>
            <rFont val="Tahoma"/>
            <family val="2"/>
          </rPr>
          <t>Valor reportado en el Estado de Resultados, EF Julio COCO 2026 (PDF), pág. 2.</t>
        </r>
      </text>
    </comment>
    <comment ref="D169" authorId="0" shapeId="0" xr:uid="{B6F143CD-ECEE-4949-859C-C2A4EF759B68}">
      <text>
        <r>
          <rPr>
            <b/>
            <sz val="9"/>
            <color indexed="81"/>
            <rFont val="Tahoma"/>
            <family val="2"/>
          </rPr>
          <t>Valor reportado en el Estado de Resultados, EF Julio COCO 2026 (PDF), pág. 2.</t>
        </r>
      </text>
    </comment>
    <comment ref="D170" authorId="0" shapeId="0" xr:uid="{F20244D8-E9DF-4491-8437-C80CF949EC5D}">
      <text>
        <r>
          <rPr>
            <b/>
            <sz val="9"/>
            <color indexed="81"/>
            <rFont val="Tahoma"/>
            <family val="2"/>
          </rPr>
          <t>Fuente: Estado de Situación Financiera, EF Julio COCO 2026 (PDF), pág. 1.</t>
        </r>
      </text>
    </comment>
    <comment ref="D171" authorId="0" shapeId="0" xr:uid="{60E709D8-E612-4F3B-946E-87440674F7A8}">
      <text>
        <r>
          <rPr>
            <b/>
            <sz val="9"/>
            <color indexed="81"/>
            <rFont val="Tahoma"/>
            <family val="2"/>
          </rPr>
          <t>Fuente: Estado de Situación Financiera, EF Julio COCO 2026 (PDF), pág.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6" authorId="0" shapeId="0" xr:uid="{05DBC5F1-634E-483F-9018-8936300C86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TRM mensual editable por mes (14-jul-2026). Antes: =TrmLargoPlazo (Inputs, 3.690 todos los meses). Fuente original: TRM presupuesto. Editar cada mes con la tasa de cierre.</t>
        </r>
      </text>
    </comment>
    <comment ref="F10" authorId="0" shapeId="0" xr:uid="{EAA632E9-08CB-4E2F-9A7C-F432670C51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Ingreso neto real Ene-26 (Servicios 689.690.890 - Devoluciones 77.443.189). Source: EF ENERO 2026.pdf</t>
        </r>
      </text>
    </comment>
    <comment ref="G10" authorId="0" shapeId="0" xr:uid="{A5C4BF47-C3C7-4EDF-8AD3-F11778564D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Ingreso neto real Feb-26 (acum Feb 1.356.465.838 - Ene 612.247.701). Source: EF COCO FEBRERO 2026.pdf</t>
        </r>
      </text>
    </comment>
    <comment ref="H10" authorId="0" shapeId="0" xr:uid="{C3E7B15F-4A52-4BC7-8606-6994DF480D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Ingreso neto real Mar-26 (acum Mar 2.143.507.025 - acum Feb 1.356.465.838). Source: EF Marzo COCO 2026.pdf</t>
        </r>
      </text>
    </comment>
    <comment ref="J10" authorId="0" shapeId="0" xr:uid="{39F469B9-B526-4FD3-9C33-BF6CCC8570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 may-26 (Inputs!H132). Antes: Revenue!H52 (proyección 1.064,9M). Decisión 14-jul-2026: meses cerrados usan reales en todos los escenarios.</t>
        </r>
      </text>
    </comment>
    <comment ref="K10" authorId="0" shapeId="0" xr:uid="{74392E01-FEBC-428A-9FC4-9B9F344DAE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 jun-26 (Inputs!I132). Antes: Revenue!I52 (proyección 935,5M).</t>
        </r>
      </text>
    </comment>
    <comment ref="L10" authorId="0" shapeId="0" xr:uid="{47A6B89D-E1FF-42D9-B0BF-0B2DABA617A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 (Inputs!J132). Antes: =INDEX(Revenue!J:J,$E$18) (proyección). Convención del modelo: meses cerrados usan reales. Fuente: EF Julio COCO 2026 (PDF).</t>
        </r>
      </text>
    </comment>
    <comment ref="L11" authorId="0" shapeId="0" xr:uid="{A0B279C6-C674-4C11-83C5-D107CD5A7F5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CostoVentasBase*(1+InflacionAnual)*(1/12)+DeltaModQ2.</t>
        </r>
      </text>
    </comment>
    <comment ref="L12" authorId="0" shapeId="0" xr:uid="{BF390F9E-5E73-4DDC-AD79-5A43C29C87A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GtosAdminBase*(1+InflacionAnual)*(1/12).</t>
        </r>
      </text>
    </comment>
    <comment ref="L13" authorId="0" shapeId="0" xr:uid="{11498487-02A6-4C1C-B8E3-B31ABA04D51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GtosVentasBase*(1+InflacionAnual)*(1/12)+DeltaVtasQ2.</t>
        </r>
      </text>
    </comment>
    <comment ref="L14" authorId="0" shapeId="0" xr:uid="{2E960A62-6EAC-4EB9-839E-65B5BBB6A11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GtosOpInflado*(1/12).</t>
        </r>
      </text>
    </comment>
    <comment ref="L15" authorId="0" shapeId="0" xr:uid="{F2361555-1221-4C7B-877B-417EA4113C5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IngNoOpBase*(1+InflacionAnual)*(1/12).</t>
        </r>
      </text>
    </comment>
    <comment ref="J16" authorId="0" shapeId="0" xr:uid="{32D1BA91-FE2D-48CE-A471-23BB9EDC23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 may-26 (Inputs!H150). Antes: fórmula GtosNoOpBase (proyección).</t>
        </r>
      </text>
    </comment>
    <comment ref="K16" authorId="0" shapeId="0" xr:uid="{B7788FDB-A372-464D-8774-D3FA9657E5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 jun-26 (Inputs!I150).</t>
        </r>
      </text>
    </comment>
    <comment ref="L16" authorId="0" shapeId="0" xr:uid="{AFE2D9B4-14C9-407B-9E7F-4AAB7E1ED97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Real jul-26. Antes: GtosNoOpBase*(1+InflacionAnual)*(1/12).</t>
        </r>
      </text>
    </comment>
    <comment ref="C18" authorId="0" shapeId="0" xr:uid="{70784168-1BE0-4277-AC24-224C2B8CA96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SELECTOR DE ESCENARIO (14-jul-2026): elige Conservador / Base / Optimista. La fila 10 (Ingresos jul-dic) toma la fila de Revenue según E18. Reales ene-jun fijos para todos los escenarios. Reemplaza a las antiguas hojas Modelo Cons y Modelo Opti.</t>
        </r>
      </text>
    </comment>
    <comment ref="F18" authorId="0" shapeId="0" xr:uid="{C65E8F44-1CEA-4477-8AB9-2EDA2B45E2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Índice del escenario para el P&amp;G: 1=Ppto Metas (f21, Optimista), 2=Ppto Intnl (f22, Conservador), 3=Ppto Consolidado (f23, Base). Usado por INDEX en fila 51 (jul-dic). Creado 14-jul-2026.</t>
        </r>
      </text>
    </comment>
    <comment ref="C19" authorId="0" shapeId="0" xr:uid="{6DB0E8BF-456A-4659-BF36-B91023C075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SELECTOR DE MONEDA (14-jul-2026): USD muestra el bloque de presentación (filas 281-301) en dólares con títulos en inglés; COP en pesos con títulos en español. Divide por la TRM mensual de la fila 6. El P&amp;G español (filas 49-71) SIEMPRE queda en COP — de él dependen los reportes. Convención snapshots Escenarios: USD.</t>
        </r>
      </text>
    </comment>
    <comment ref="L51" authorId="0" shapeId="0" xr:uid="{F503B151-FB2B-467E-8DB8-14D01C5AE8E4}">
      <text>
        <r>
          <rPr>
            <b/>
            <sz val="9"/>
            <color indexed="81"/>
            <rFont val="Tahoma"/>
            <family val="2"/>
          </rPr>
          <t>Julio cerrado: ingresos reales (EF Julio COCO 2026). Antes: =INDEX(L$21:L$23,$F$18) conmutado por selector.</t>
        </r>
      </text>
    </comment>
    <comment ref="J60" authorId="0" shapeId="0" xr:uid="{10DEBC86-9C71-4E68-A555-A59493EF1F3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D&amp;A mayo real = 0 (incluida en costo de ventas en EEFF reales). Dato real tomado de Inputs col H.</t>
        </r>
      </text>
    </comment>
    <comment ref="K60" authorId="0" shapeId="0" xr:uid="{4BDEAEE8-BDA7-47E1-B459-EBAAA869955D}">
      <text>
        <r>
          <rPr>
            <b/>
            <sz val="9"/>
            <color indexed="81"/>
            <rFont val="Tahoma"/>
            <family val="2"/>
          </rPr>
          <t>D&amp;A junio real = 0 (incluida en costo de ventas en EEFF reales). Dato real tomado de Inputs col I (EEFF Junio 2026).</t>
        </r>
      </text>
    </comment>
    <comment ref="L60" authorId="0" shapeId="0" xr:uid="{AAE0DDFB-DEBC-4488-B5B2-5FA83CDB7AD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D&amp;A julio real = 0 (incluida en costo de ventas en EEFF reales). Antes: =L167 (proyección).</t>
        </r>
      </text>
    </comment>
    <comment ref="J65" authorId="0" shapeId="0" xr:uid="{5D907290-0C0F-4D4C-B175-0017C1C2874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Corregido 14-jul-2026: antes =Inputs!H150 directo (saltaba la fila 16). Mismo valor, cadena restaurada.</t>
        </r>
      </text>
    </comment>
    <comment ref="K65" authorId="0" shapeId="0" xr:uid="{3A3EEE50-7AC2-472A-B161-7E5B4A7A48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Corregido 14-jul-2026: antes =Inputs!I150 directo. Mismo valor, cadena restaurada.</t>
        </r>
      </text>
    </comment>
    <comment ref="L65" authorId="0" shapeId="0" xr:uid="{551DDBA9-57AB-4875-9053-FA10893743A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Corregido: antes =L16+L138, que sumaba intereses proyectados (COP 695.866) sobre los gastos financieros reales de julio. Meses cerrados usan solo la fila 16 (real de Inputs).</t>
        </r>
      </text>
    </comment>
    <comment ref="F69" authorId="0" shapeId="0" xr:uid="{95FEBF05-DCF7-41E0-B446-B2C99416763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Impuesto real Ene-26 = 0 (no provisiona mensual; renta presuntiva anual). Source: EF ENERO 2026.pdf</t>
        </r>
      </text>
    </comment>
    <comment ref="G69" authorId="0" shapeId="0" xr:uid="{66C39748-0D19-4C1C-8FED-21309AEA1D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Impuesto real Feb-26 acum = 0. Source: EF COCO FEBRERO 2026.pdf</t>
        </r>
      </text>
    </comment>
    <comment ref="H69" authorId="0" shapeId="0" xr:uid="{9C18083A-7724-4815-80CB-12C1D533FB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Impuesto real Mar-26 acum = 0. Source: EF Marzo COCO 2026.pdf</t>
        </r>
      </text>
    </comment>
    <comment ref="L69" authorId="0" shapeId="0" xr:uid="{5C83F755-9463-4280-A28B-2A9D116FB51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Impuesto real jul-26 = 0 (no provisiona mensual). Antes: =IF(L67&gt;0,L67*L$7,0).</t>
        </r>
      </text>
    </comment>
    <comment ref="L78" authorId="0" shapeId="0" xr:uid="{8F0D9729-CC96-4508-BF65-C6E362472B9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=L186</t>
        </r>
      </text>
    </comment>
    <comment ref="L79" authorId="0" shapeId="0" xr:uid="{2AFB9596-B4A5-425D-AD74-474F69E96EE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=L51*$E$27/30</t>
        </r>
      </text>
    </comment>
    <comment ref="L80" authorId="0" shapeId="0" xr:uid="{AACAA651-F831-42D9-BB99-2D25CC4F03C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=$I80</t>
        </r>
      </text>
    </comment>
    <comment ref="L81" authorId="0" shapeId="0" xr:uid="{18DBB0E0-1B1F-4B80-AF19-3E712CB38BF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=$I81</t>
        </r>
      </text>
    </comment>
    <comment ref="L83" authorId="0" shapeId="0" xr:uid="{48E0FCA9-EC8A-4425-86EA-BDEB814C835C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=L126</t>
        </r>
      </text>
    </comment>
    <comment ref="L84" authorId="0" shapeId="0" xr:uid="{FB0D4D8D-B2B0-45D1-BEAA-15B5C600D92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=$I84</t>
        </r>
      </text>
    </comment>
    <comment ref="L88" authorId="0" shapeId="0" xr:uid="{F2D8B15E-96B9-4988-90A9-97B32A0300FB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2026): solo tarjetas, igual que junio (K88=K44). Fórmula proyectada anterior: =L133+L144</t>
        </r>
      </text>
    </comment>
    <comment ref="L89" authorId="0" shapeId="0" xr:uid="{C099C53B-54BF-44D0-B1BA-41CEFBE9245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=L52*$E$28/30</t>
        </r>
      </text>
    </comment>
    <comment ref="L90" authorId="0" shapeId="0" xr:uid="{F4C31652-FD96-4B6C-9984-7CB4F003FFDE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=L69*$E$31</t>
        </r>
      </text>
    </comment>
    <comment ref="L91" authorId="0" shapeId="0" xr:uid="{347246BB-97E5-40E3-9F45-5F8AC20ADFF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=K91</t>
        </r>
      </text>
    </comment>
    <comment ref="L94" authorId="0" shapeId="0" xr:uid="{9D15306D-A1C7-49D8-B742-5716E8C98AC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=K94</t>
        </r>
      </text>
    </comment>
    <comment ref="L99" authorId="0" shapeId="0" xr:uid="{1BD521CB-19B3-4508-B8E5-DFBA1DB1379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=L149</t>
        </r>
      </text>
    </comment>
    <comment ref="L100" authorId="0" shapeId="0" xr:uid="{502BFDB9-6BB4-41A6-9515-D636D4988CB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Mes real (EEFF Julio 2026). Fórmula proyectada anterior: =L155</t>
        </r>
      </text>
    </comment>
    <comment ref="I124" authorId="0" shapeId="0" xr:uid="{9A5E87C9-CDFC-402A-AC8C-276F9D5C53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CapEx plug Abr-26 (ahora consistente con PP&amp;E restaurado).</t>
        </r>
      </text>
    </comment>
    <comment ref="I126" authorId="0" shapeId="0" xr:uid="{BD51A8F7-A9EA-4932-8C0D-8638D8D86F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PP&amp;E neto Abr-26 desde Inputs!G126. Corrige enlace roto a Inputs!$L$125 (vacía).</t>
        </r>
      </text>
    </comment>
    <comment ref="I132" authorId="0" shapeId="0" xr:uid="{18E45774-9F33-42DB-A261-701E59849A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Movimiento de deuda Abr-26 (ahora consistente).</t>
        </r>
      </text>
    </comment>
    <comment ref="I133" authorId="0" shapeId="0" xr:uid="{F3ADFEE0-85E4-40E7-B225-0F3EB4B6CB6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Obligaciones financieras (LTD) Abr-26 desde Inputs!G131. Corrige enlace roto a Inputs!$L$130 (vacía).</t>
        </r>
      </text>
    </comment>
    <comment ref="F142" authorId="0" shapeId="0" xr:uid="{2A63C714-EE48-4294-BA2D-E083D430B6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Histórico Ene-26: sin préstamos intercompañía</t>
        </r>
      </text>
    </comment>
    <comment ref="G142" authorId="0" shapeId="0" xr:uid="{AFE6596A-B99E-44F2-B670-7E8C36A032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Histórico Feb-26</t>
        </r>
      </text>
    </comment>
    <comment ref="H142" authorId="0" shapeId="0" xr:uid="{DB08E43A-0A5E-473D-8A5A-6FD9F91577A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Histórico Mar-26</t>
        </r>
      </text>
    </comment>
    <comment ref="I142" authorId="0" shapeId="0" xr:uid="{F98544E7-2DBC-4435-8065-B8AC85B5A648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J142" authorId="0" shapeId="0" xr:uid="{BF7E9465-CC14-4D99-93F2-4ED8F8F898DC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K142" authorId="0" shapeId="0" xr:uid="{63AE7A34-3898-4270-8A7F-87DAC61F4DBF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L142" authorId="0" shapeId="0" xr:uid="{E0C974AC-BB32-426D-8B63-5375CAD43618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M142" authorId="0" shapeId="0" xr:uid="{C264CD6B-2CF7-4D84-B8A1-A6D00DF4F5BF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N142" authorId="0" shapeId="0" xr:uid="{70B9D52F-0BC3-4766-9374-967E17E3D712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O142" authorId="0" shapeId="0" xr:uid="{00E258D8-7066-4220-8C59-D3C3F5D05F1C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P142" authorId="0" shapeId="0" xr:uid="{EE9F50B5-10D1-4310-90A4-B02730B7F3FF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Q142" authorId="0" shapeId="0" xr:uid="{4D4EFDF8-23BE-4413-B501-507A5023C76B}">
      <text>
        <r>
          <rPr>
            <b/>
            <sz val="9"/>
            <color indexed="81"/>
            <rFont val="Tahoma"/>
            <family val="2"/>
          </rPr>
          <t>Input: préstamo nuevo desde subsidiaria este mes (positivo=desembolso, negativo=pago)</t>
        </r>
      </text>
    </comment>
    <comment ref="I148" authorId="0" shapeId="0" xr:uid="{A5C00FA6-2E78-4AE2-8D26-0125AE982A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Capitalizaciones implícitas del mes (plug). Mantiene roll-forward consistente.</t>
        </r>
      </text>
    </comment>
    <comment ref="I149" authorId="0" shapeId="0" xr:uid="{DB4491BF-AB79-459A-8DEA-F0F7B99B8F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Capital Social Abr-26 (cierre histórico desde Inputs!G139). Corrige enlace roto que apuntaba a Inputs!$L$138 (vacía).</t>
        </r>
      </text>
    </comment>
    <comment ref="I153" authorId="0" shapeId="0" xr:uid="{3E7223B5-072C-4438-98D8-CAC01D5C978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Utilidad neta Abr-26 desde Inputs!G209. Corrige enlace roto que apuntaba a Inputs!$L$209 (vacía).</t>
        </r>
      </text>
    </comment>
    <comment ref="I155" authorId="0" shapeId="0" xr:uid="{8BCFDD6F-A2FB-4027-BC3D-61A6A652B9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Utilidades Retenidas Abr-26 (cierre histórico desde Inputs!G140). Corrige enlace roto que apuntaba a Inputs!$L$139 (vacía).</t>
        </r>
      </text>
    </comment>
    <comment ref="E184" authorId="0" shapeId="0" xr:uid="{739FE912-1379-495F-8446-EC1B17142C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Saldo inicial subsidiaria USD × TRM LP. Source: INPUTS!B25, Base!E6</t>
        </r>
      </text>
    </comment>
    <comment ref="F186" authorId="0" shapeId="0" xr:uid="{7C5B4A95-3A98-43CE-8C4E-639C7EFC6BF3}">
      <text>
        <r>
          <rPr>
            <b/>
            <sz val="9"/>
            <color indexed="81"/>
            <rFont val="Tahoma"/>
            <family val="2"/>
          </rPr>
          <t>Histórico Ene-26: sin transferencias (refleja EEFF reales)</t>
        </r>
      </text>
    </comment>
    <comment ref="G186" authorId="0" shapeId="0" xr:uid="{F995269E-B1AF-46CE-BA50-0030D0D77422}">
      <text>
        <r>
          <rPr>
            <b/>
            <sz val="9"/>
            <color indexed="81"/>
            <rFont val="Tahoma"/>
            <family val="2"/>
          </rPr>
          <t>Histórico Feb-26: sin transferencias (refleja EEFF reales)</t>
        </r>
      </text>
    </comment>
    <comment ref="H186" authorId="0" shapeId="0" xr:uid="{38640C64-26D1-47B4-BC12-6B5E7917ADAA}">
      <text>
        <r>
          <rPr>
            <b/>
            <sz val="9"/>
            <color indexed="81"/>
            <rFont val="Tahoma"/>
            <family val="2"/>
          </rPr>
          <t>Histórico Mar-26: sin transferencias (refleja EEFF reales)</t>
        </r>
      </text>
    </comment>
    <comment ref="I186" authorId="0" shapeId="0" xr:uid="{07DDEBE1-AD2D-4775-8F17-30289211F90F}">
      <text>
        <r>
          <rPr>
            <b/>
            <sz val="9"/>
            <color indexed="81"/>
            <rFont val="Tahoma"/>
            <family val="2"/>
          </rPr>
          <t>Input manual: transferencia desde subsidiaria a matriz en COP. Para usar barrido contable, requiere agregar cuenta 'Inversión en Subsidiaria' al BS.</t>
        </r>
      </text>
    </comment>
    <comment ref="J186" authorId="0" shapeId="0" xr:uid="{0D61036C-F3C2-465D-AE5F-1EC5CEB98B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K186" authorId="0" shapeId="0" xr:uid="{6693A33B-22A9-48C9-9B9F-5C552ADF6268}">
      <text>
        <r>
          <rPr>
            <b/>
            <sz val="9"/>
            <color indexed="81"/>
            <rFont val="Tahoma"/>
            <family val="2"/>
          </rPr>
          <t>Mes real: caja fin = efectivo del balance (Inputs col I, EEFF Junio 2026).</t>
        </r>
      </text>
    </comment>
    <comment ref="L186" authorId="0" shapeId="0" xr:uid="{09862FBF-9530-40AA-8FF2-1613E3784B5E}">
      <text>
        <r>
          <rPr>
            <b/>
            <sz val="9"/>
            <color indexed="81"/>
            <rFont val="Tahoma"/>
            <family val="2"/>
          </rPr>
          <t>Mes real: caja fin = efectivo del balance (Inputs col J, EEFF Julio 2026). Fórmula proyectada anterior: =L180-L143+L142</t>
        </r>
      </text>
    </comment>
    <comment ref="M186" authorId="0" shapeId="0" xr:uid="{CD29F27D-214D-4BEF-8009-BA4F0893A9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N186" authorId="0" shapeId="0" xr:uid="{AF8E4396-4CCD-45A1-B5CB-AACFF6D177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O186" authorId="0" shapeId="0" xr:uid="{0744FFFA-CCF0-4FB5-A4F8-6E0E0E9682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P186" authorId="0" shapeId="0" xr:uid="{7A5A3B3F-24F9-425E-8BA8-B1D373B5261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Q186" authorId="0" shapeId="0" xr:uid="{B2563B97-DB11-4082-BE0E-45E6B443EC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manual: monto transferido desde subsidiaria USD a operación CO en este mes (en COP)</t>
        </r>
      </text>
    </comment>
    <comment ref="B228" authorId="0" shapeId="0" xr:uid="{7D274A17-7E47-439A-B45D-AE9A0CC1AF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DSO = (AR promedio / Ingresos del mes) × 30. AR promedio = (AR_t + AR_t-1)/2. Mide cuántos días tarda en cobrarse una venta.</t>
        </r>
      </text>
    </comment>
    <comment ref="S228" authorId="0" shapeId="0" xr:uid="{B4515FA3-4DF1-4C6D-8F19-53B96FD423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DSO anual = AR promedio 12 meses / Ingresos anuales × 365</t>
        </r>
      </text>
    </comment>
    <comment ref="B229" authorId="0" shapeId="0" xr:uid="{366AB910-0340-47F3-8483-8C09918F59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DPO = (AP promedio / COGS del mes) × 30. AP promedio = (AP_t + AP_t-1)/2. Mide cuántos días tarda en pagarse a proveedores.</t>
        </r>
      </text>
    </comment>
    <comment ref="S229" authorId="0" shapeId="0" xr:uid="{4A0C14E5-35D1-47D7-8653-501BA065BAE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DPO anual = AP promedio 12 meses / COGS anual × 365</t>
        </r>
      </text>
    </comment>
    <comment ref="B230" authorId="0" shapeId="0" xr:uid="{A4EB455F-39BD-4D3F-A9B1-E1EC6C7EA1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CCC = DSO − DPO. No incluye DIO (inventario) porque el BS no tiene línea de inventario. Si CCC&gt;0, la compañía financia capital de trabajo. Si CCC&lt;0, los proveedores financian las ventas.</t>
        </r>
      </text>
    </comment>
    <comment ref="S230" authorId="0" shapeId="0" xr:uid="{53135579-03CA-4E69-905A-B4CE355F35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CCC anual = DSO − DPO. Sin inventario (no hay línea de inventario en el BS).</t>
        </r>
      </text>
    </comment>
    <comment ref="A281" authorId="0" shapeId="0" xr:uid="{CE41F9E3-354E-433E-A175-678D2D01B7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Columna fuente (español, vivo desde el P&amp;G filas 51-71). Oculta a pedido del usuario 14-jul-2026. Col U = inglés. B = título visible conmutado.</t>
        </r>
      </text>
    </comment>
    <comment ref="F281" authorId="0" shapeId="0" xr:uid="{AFC55D4E-A3CF-422F-B3FF-DFFC265F95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Conversión conmutable (14-jul-2026): USD divide por TRM mensual (fila 6), COP muestra el P&amp;G español tal cual. Filas de margen % no convierten.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0" authorId="0" shapeId="0" xr:uid="{BAB7D4F2-B144-45AD-9071-AF79AC55F3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TRM vinculada a Inputs!C6 (variable maestra).</t>
        </r>
      </text>
    </comment>
    <comment ref="C95" authorId="0" shapeId="0" xr:uid="{EDB09ED9-14C3-4D9B-AD36-BF71BA35F59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TRM vinculada a Inputs!C6 (variable maestra).</t>
        </r>
      </text>
    </comment>
    <comment ref="C148" authorId="0" shapeId="0" xr:uid="{15978DB4-A8CA-4558-A7F4-B358A0DA53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TRM vinculada a Inputs!C6 (variable maestra).</t>
        </r>
      </text>
    </comment>
    <comment ref="G180" authorId="0" shapeId="0" xr:uid="{EED239EE-C591-4EE1-A1DE-4929FD7E7B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Ingreso real Abril desde variable C153.</t>
        </r>
      </text>
    </comment>
    <comment ref="G181" authorId="0" shapeId="0" xr:uid="{5ABFA7CF-2EC4-480B-BAB6-BE1C77490B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MRR base arranca en Mayo, no en Abril (corrección).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110" authorId="0" shapeId="0" xr:uid="{FAFFA891-D6CA-4D39-927F-3F89B2094BA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Reapuntado al presupuesto original en USD (filas 90-99) x TRM 4.000, para poder eliminar el bloque COP duplicado de la sección 8.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990C7404-ABAA-4838-820C-8B0199FC621E}">
      <text>
        <r>
          <rPr>
            <sz val="10"/>
            <rFont val="Arial"/>
            <family val="2"/>
          </rPr>
          <t>USD/PEN = 1 / 3.443. BCRP: tipo de cambio promedio del período, abril 2026 (S/ por US$).
Fuente: https://estadisticas.bcrp.gob.pe/estadisticas/series/mensuales/resultados/PN01234PM/html</t>
        </r>
      </text>
    </comment>
    <comment ref="E4" authorId="0" shapeId="0" xr:uid="{DFAA75B1-6CDE-4B64-81CB-11DF7EA2AABF}">
      <text>
        <r>
          <rPr>
            <sz val="10"/>
            <rFont val="Arial"/>
            <family val="2"/>
          </rPr>
          <t>Costa Rica reportada directamente en USD. Factor de conversión USD/USD = 1.
Fuente: Dato confirmado por el usuario</t>
        </r>
      </text>
    </comment>
    <comment ref="F4" authorId="0" shapeId="0" xr:uid="{A0BCAC86-B8CB-4AF7-8F40-4897655D4BC6}">
      <text>
        <r>
          <rPr>
            <sz val="10"/>
            <rFont val="Arial"/>
            <family val="2"/>
          </rPr>
          <t>TRM promedio abril 2026: 3,617.5187 COP/USD.
Fuente: Superintendencia Financiera / serie diaria TRM</t>
        </r>
      </text>
    </comment>
    <comment ref="I4" authorId="0" shapeId="0" xr:uid="{C2836468-A877-4992-9B2B-69E29EB7BFAB}">
      <text>
        <r>
          <rPr>
            <sz val="10"/>
            <rFont val="Arial"/>
            <family val="2"/>
          </rPr>
          <t>USD/PEN = 1 / 3.435. BCRP: tipo de cambio promedio del período, mayo 2026 (S/ por US$).
Fuente: https://estadisticas.bcrp.gob.pe/estadisticas/series/mensuales/resultados/PN01234PM/html</t>
        </r>
      </text>
    </comment>
    <comment ref="J4" authorId="0" shapeId="0" xr:uid="{BB157A85-E243-4DA3-B290-1D63771350A7}">
      <text>
        <r>
          <rPr>
            <sz val="10"/>
            <rFont val="Arial"/>
            <family val="2"/>
          </rPr>
          <t>Costa Rica reportada directamente en USD. Factor de conversión USD/USD = 1.
Fuente: Dato confirmado por el usuario</t>
        </r>
      </text>
    </comment>
    <comment ref="K4" authorId="0" shapeId="0" xr:uid="{8A462A99-6D55-42CE-A916-C8D03B54E1F1}">
      <text>
        <r>
          <rPr>
            <sz val="10"/>
            <rFont val="Arial"/>
            <family val="2"/>
          </rPr>
          <t>TRM promedio mayo 2026: 3,714.0210 COP/USD.
Fuente: Superintendencia Financiera / serie diaria TRM</t>
        </r>
      </text>
    </comment>
    <comment ref="N4" authorId="0" shapeId="0" xr:uid="{1329BD6D-B05D-49BE-A2B6-448A7A88FFF0}">
      <text>
        <r>
          <rPr>
            <sz val="10"/>
            <rFont val="Arial"/>
            <family val="2"/>
          </rPr>
          <t>USD/PEN = 1 / 3.405. BCRP: tipo de cambio promedio del período, junio 2026 (S/ por US$).
Fuente: https://estadisticas.bcrp.gob.pe/estadisticas/series/mensuales/resultados/PN01234PM/html</t>
        </r>
      </text>
    </comment>
    <comment ref="O4" authorId="0" shapeId="0" xr:uid="{60C8C259-6B9C-46D7-8CFD-1BE595835968}">
      <text>
        <r>
          <rPr>
            <sz val="10"/>
            <rFont val="Arial"/>
            <family val="2"/>
          </rPr>
          <t>Costa Rica reportada directamente en USD. Factor de conversión USD/USD = 1.
Fuente: Dato confirmado por el usuario</t>
        </r>
      </text>
    </comment>
    <comment ref="P4" authorId="0" shapeId="0" xr:uid="{9F07E037-94BF-4CBB-9FC3-9DC12E5CE69D}">
      <text>
        <r>
          <rPr>
            <sz val="10"/>
            <rFont val="Arial"/>
            <family val="2"/>
          </rPr>
          <t>TRM promedio junio 2026 calculada con los 30 valores diarios: 3,505.2683 COP/USD.
Fuente: https://www.dolar-colombia.com/mes/2026-06</t>
        </r>
      </text>
    </comment>
    <comment ref="N20" authorId="0" shapeId="0" xr:uid="{04295BF0-91C7-40CF-AD0B-B6D0EC423C69}">
      <text>
        <r>
          <rPr>
            <sz val="10"/>
            <rFont val="Arial"/>
            <family val="2"/>
          </rPr>
          <t xml:space="preserve">Devolucion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17" authorId="0" shapeId="0" xr:uid="{9E0AA3B0-FFC5-4907-B3EF-E5E19573A5E3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Julio real (EF Julio COCO 2026) vía Modelo Base L51, convertido a USD con la TRM de la columna.</t>
        </r>
      </text>
    </comment>
    <comment ref="J18" authorId="0" shapeId="0" xr:uid="{FB564306-15AB-4FB3-AFB2-8B7E99A84E6D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Julio real (EF Julio COCO 2026): ingresos netos del mes.</t>
        </r>
      </text>
    </comment>
    <comment ref="C60" authorId="0" shapeId="0" xr:uid="{FE79BDAA-5E53-4011-B5C7-38FF2AE76BCA}">
      <text>
        <r>
          <rPr>
            <b/>
            <sz val="9"/>
            <color indexed="81"/>
            <rFont val="Tahoma"/>
            <family val="2"/>
          </rPr>
          <t>Movimiento enero calculado como caja al 31-dic-2025 menos caja al cierre de enero. Valor negativo representa reposición/generación de caja.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<sst xmlns="http://schemas.openxmlformats.org/spreadsheetml/2006/main" count="2199" uniqueCount="1211">
  <si>
    <t>Plan Comercial 2026 (USD) + Puente de MRR</t>
  </si>
  <si>
    <t>Legacy drivers (not used after target alignment)</t>
  </si>
  <si>
    <t>Stream</t>
  </si>
  <si>
    <t>Annual Target (USD)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</si>
  <si>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</si>
  <si>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</si>
  <si>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</si>
  <si>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</si>
  <si>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</si>
  <si>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</si>
  <si>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</si>
  <si>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</si>
  <si>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</si>
  <si>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</si>
  <si>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</si>
  <si>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</si>
  <si>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Total 2026</t>
  </si>
  <si>
    <t>MRR</t>
  </si>
  <si>
    <t>Upsell / Cross-sell (expansion)</t>
  </si>
  <si>
    <t>New Business LATAM</t>
  </si>
  <si>
    <t>New Business Gobierno y Enterprise</t>
  </si>
  <si>
    <t>One-off (Implementation)</t>
  </si>
  <si>
    <t>One-off (Interoperability)</t>
  </si>
  <si>
    <t>TOTAL</t>
  </si>
  <si>
    <t>MRR BRIDGE 2026 (USD)</t>
  </si>
  <si>
    <t>Metric</t>
  </si>
  <si>
    <t>Total/End</t>
  </si>
  <si>
    <t>Starting MRR (USD)</t>
  </si>
  <si>
    <t>New MRR (from SalesPlan) (USD)</t>
  </si>
  <si>
    <t>Churned MRR (USD)</t>
  </si>
  <si>
    <t>Ending MRR (USD)</t>
  </si>
  <si>
    <t>MRR Promedio mes (USD)</t>
  </si>
  <si>
    <t>CHECKS &amp; KPIs (sanity check rápido)</t>
  </si>
  <si>
    <t>Check</t>
  </si>
  <si>
    <t>Valor</t>
  </si>
  <si>
    <t>Status</t>
  </si>
  <si>
    <t>Target total (recurrente + one-off) (USD)</t>
  </si>
  <si>
    <t>Total plan comercial (USD)</t>
  </si>
  <si>
    <t>Brecha (USD)</t>
  </si>
  <si>
    <t>MRR final dic-2026 (USD)</t>
  </si>
  <si>
    <t>Target run-rate mensual (USD)</t>
  </si>
  <si>
    <t>Brecha vs target (USD)</t>
  </si>
  <si>
    <t>Devoluciones implícitas (% bruto, ref)</t>
  </si>
  <si>
    <t>Referencia — modelo usa revenue neto</t>
  </si>
  <si>
    <t>Ingresos brutos implicitos (USD)</t>
  </si>
  <si>
    <t>Devoluciones implicitas (USD)</t>
  </si>
  <si>
    <t>Devoluciones implicitas (COP)</t>
  </si>
  <si>
    <t>PROYECCIÓN DE INGRESOS 2026 — 3 ESCENARIOS (COP)</t>
  </si>
  <si>
    <t>Cifras en pesos colombianos (COP). TRM utilizada: INPUTS!B5. Distribución mensual: pesos de estacionalidad INPUTS!C30:N30.</t>
  </si>
  <si>
    <t>ESCENARIO CONSERVADOR (COP)</t>
  </si>
  <si>
    <t>Total Anual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</si>
  <si>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</si>
  <si>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</si>
  <si>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</si>
  <si>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</si>
  <si>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</si>
  <si>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</si>
  <si>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</si>
  <si>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</si>
  <si>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</si>
  <si>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</si>
  <si>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</si>
  <si>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</si>
  <si>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% del total</t>
  </si>
  <si>
    <t>Ingresos (COP)</t>
  </si>
  <si>
    <t>Check suma meses</t>
  </si>
  <si>
    <t>ESCENARIO BASE (COP)</t>
  </si>
  <si>
    <t>ESCENARIO OPTIMISTA (COP)</t>
  </si>
  <si>
    <t>PROYECCIÓN DE INGRESOS 2026 — 3 ESCENARIOS (USD)</t>
  </si>
  <si>
    <t>Cifras en dólares (USD). Fuente: COP / TRM (INPUTS!B5). Misma distribución mensual por estacionalidad.</t>
  </si>
  <si>
    <t>ESCENARIO CONSERVADOR (USD)</t>
  </si>
  <si>
    <t>Ingresos (USD)</t>
  </si>
  <si>
    <t>ESCENARIO BASE (USD)</t>
  </si>
  <si>
    <t>ESCENARIO OPTIMISTA (USD)</t>
  </si>
  <si>
    <t>INPUTS — CocoTech 2026 Budget Model (All Assumptions Consolidated)</t>
  </si>
  <si>
    <t>temp</t>
  </si>
  <si>
    <t>Calculado</t>
  </si>
  <si>
    <t>Escenarios target 2026 (USD)</t>
  </si>
  <si>
    <t>ARR target (USD) = Total - One-off</t>
  </si>
  <si>
    <t>Escenario</t>
  </si>
  <si>
    <t>Total target (USD)</t>
  </si>
  <si>
    <t>One-off (USD)</t>
  </si>
  <si>
    <t>Recurrente implícito (USD)</t>
  </si>
  <si>
    <t>Run-rate mensual (USD)</t>
  </si>
  <si>
    <t>FX rate (COP per USD)</t>
  </si>
  <si>
    <t>TrmLargoPlazo</t>
  </si>
  <si>
    <t>Calculado / Referencia</t>
  </si>
  <si>
    <t>MRR Dec-2025 (COP)</t>
  </si>
  <si>
    <t>MrrDic25</t>
  </si>
  <si>
    <t>Referencia: Ene-2026 neto real (COP)</t>
  </si>
  <si>
    <t>Conservador</t>
  </si>
  <si>
    <t>Customers Dec-2025 (count)</t>
  </si>
  <si>
    <t>ClientesDic25</t>
  </si>
  <si>
    <t>Base</t>
  </si>
  <si>
    <t>Monthly churn rate (revenue)</t>
  </si>
  <si>
    <t>ChurnMensual</t>
  </si>
  <si>
    <t>Optimista</t>
  </si>
  <si>
    <t>Annual price increase applied in Jan</t>
  </si>
  <si>
    <t>InflacionAnual</t>
  </si>
  <si>
    <t>Escenario activo</t>
  </si>
  <si>
    <t>2026 Total target (ARR + One-off) (USD)</t>
  </si>
  <si>
    <t>TargetTotal26</t>
  </si>
  <si>
    <t>Otros ingresos / One-off anual (USD)</t>
  </si>
  <si>
    <t>OtrosIngresos</t>
  </si>
  <si>
    <t>Ingreso Meta 2026 por Hoja</t>
  </si>
  <si>
    <t>Total (USD)</t>
  </si>
  <si>
    <t>Recurrente (USD)</t>
  </si>
  <si>
    <t>Run-rate mensual</t>
  </si>
  <si>
    <t>Procentaje de Otros Ingresos</t>
  </si>
  <si>
    <t>PctOtrosIng</t>
  </si>
  <si>
    <t>Target recurrente anual (USD)</t>
  </si>
  <si>
    <t>TargetRecurrente</t>
  </si>
  <si>
    <t>Check: Total = Recurrente + One-off</t>
  </si>
  <si>
    <t>CheckTotal</t>
  </si>
  <si>
    <t>Check: Target anual = Ingresos proyectados</t>
  </si>
  <si>
    <t>CheckIngresos</t>
  </si>
  <si>
    <t>NRR target</t>
  </si>
  <si>
    <t>NrrTarget</t>
  </si>
  <si>
    <t>One-off split: % Implementation</t>
  </si>
  <si>
    <t>PctImplement</t>
  </si>
  <si>
    <t>One-off split: % Interoperability</t>
  </si>
  <si>
    <t>PctInterop</t>
  </si>
  <si>
    <t>Devoluciones (% de ingresos brutos)</t>
  </si>
  <si>
    <t>PctDevoluciones</t>
  </si>
  <si>
    <t>FX &amp; Tax Assumptions</t>
  </si>
  <si>
    <t>FX Low scenario (COP/USD)</t>
  </si>
  <si>
    <t>TrmBajo</t>
  </si>
  <si>
    <t>FX High scenario (COP/USD)</t>
  </si>
  <si>
    <t>TrmAlto</t>
  </si>
  <si>
    <t>Tax rate (statutory)</t>
  </si>
  <si>
    <t>TasaImpuesto</t>
  </si>
  <si>
    <t>Caja Subsidiaria (USD)</t>
  </si>
  <si>
    <t>CajaSubsidiaria</t>
  </si>
  <si>
    <t>TRM Subsidiaria (COP/USD)</t>
  </si>
  <si>
    <t>TrmSubsidiaria</t>
  </si>
  <si>
    <t>Tasa de interés deuda LP (anual)</t>
  </si>
  <si>
    <t>TasaDeudaLp</t>
  </si>
  <si>
    <t>Tasa de interés deuda CP (anual)</t>
  </si>
  <si>
    <t>TasaDeudaCp</t>
  </si>
  <si>
    <t>2025 Monthly Revenue (COP)</t>
  </si>
  <si>
    <t>COP</t>
  </si>
  <si>
    <t>Weights (sum to 1.0)</t>
  </si>
  <si>
    <t>Index</t>
  </si>
  <si>
    <t>x</t>
  </si>
  <si>
    <t>Check: sum weights = 1</t>
  </si>
  <si>
    <t>MRR PLAN (USD) — Base</t>
  </si>
  <si>
    <t>USD</t>
  </si>
  <si>
    <t>Check: Total Plan USD</t>
  </si>
  <si>
    <t>Calc</t>
  </si>
  <si>
    <t>COSTOS BASE 2025 (COP) — Ajustados por inflación en P&amp;L</t>
  </si>
  <si>
    <t>Cuenta</t>
  </si>
  <si>
    <t>Base 2025 (COP)</t>
  </si>
  <si>
    <t>2026 = Base×(1+Infl.) (COP)</t>
  </si>
  <si>
    <t>Costo de Ventas</t>
  </si>
  <si>
    <t>CostoVentasBase</t>
  </si>
  <si>
    <t xml:space="preserve">  Otros costos directos / desarrollo</t>
  </si>
  <si>
    <t>Op. Administración</t>
  </si>
  <si>
    <t>GtosAdminBase</t>
  </si>
  <si>
    <t xml:space="preserve">  Gastos de Personal</t>
  </si>
  <si>
    <t>Op. Ventas</t>
  </si>
  <si>
    <t>GtosVentasBase</t>
  </si>
  <si>
    <t xml:space="preserve">  Gastos de Personal Ventas</t>
  </si>
  <si>
    <t xml:space="preserve">  Honorarios</t>
  </si>
  <si>
    <t>Ingresos no Operacionales</t>
  </si>
  <si>
    <t>IngNoOpBase</t>
  </si>
  <si>
    <t>Gastos no Operacionales</t>
  </si>
  <si>
    <t>GtosNoOpBase</t>
  </si>
  <si>
    <t>Gastos Operacionales / Proyectos</t>
  </si>
  <si>
    <t>GtosOpProyectosBase</t>
  </si>
  <si>
    <t>SUPUESTOS DE ESCENARIOS (% variación vs Base)</t>
  </si>
  <si>
    <t>Línea de Ingreso</t>
  </si>
  <si>
    <t>Base (USD/mes Dic)</t>
  </si>
  <si>
    <t>% Optimista</t>
  </si>
  <si>
    <t>% Pesimista</t>
  </si>
  <si>
    <t>Upsell / Cross-sell</t>
  </si>
  <si>
    <t>New Business Gob/Enterprise</t>
  </si>
  <si>
    <t>TOTAL INGRESOS</t>
  </si>
  <si>
    <t>~19.8%</t>
  </si>
  <si>
    <t>~-19.4%</t>
  </si>
  <si>
    <t>NUEVAS CONTRATACIONES — Pipeline Trimestral 2026 (mismo grupo cada 3 meses, acumulativo)</t>
  </si>
  <si>
    <t>Cargo</t>
  </si>
  <si>
    <t>Qty</t>
  </si>
  <si>
    <t>Costo Empresa/mes (COP)</t>
  </si>
  <si>
    <t>Línea P&amp;L</t>
  </si>
  <si>
    <t>Implementador</t>
  </si>
  <si>
    <t>COGS → Mano de Obra Directa</t>
  </si>
  <si>
    <t>Aprendiz</t>
  </si>
  <si>
    <t>Customer Success</t>
  </si>
  <si>
    <t>Ventas → Gastos de Personal</t>
  </si>
  <si>
    <t>Mes contratación</t>
  </si>
  <si>
    <t>Abr-2026</t>
  </si>
  <si>
    <t>Impacto desde</t>
  </si>
  <si>
    <t>Contrataciones se ejecutan a finales del trimestre</t>
  </si>
  <si>
    <t>CALENDARIO DE IMPACTO ACUMULATIVO</t>
  </si>
  <si>
    <t>Rondas acum.</t>
  </si>
  <si>
    <t>Δ MOD (COP)</t>
  </si>
  <si>
    <t>Δ Ventas (COP)</t>
  </si>
  <si>
    <t>Ene – Mar (sin incremento)</t>
  </si>
  <si>
    <t>Abr – Jun (Ronda 1: contratación Mar)</t>
  </si>
  <si>
    <t>DeltaModQ2 / DeltaVtasQ2</t>
  </si>
  <si>
    <t>Jul – Sep (Ronda 2: contratación Jun)</t>
  </si>
  <si>
    <t>DeltaModQ3 / DeltaVtasQ3</t>
  </si>
  <si>
    <t>Oct – Dic (Ronda 3: contratación Sep)</t>
  </si>
  <si>
    <t>DeltaModQ4 / DeltaVtasQ4</t>
  </si>
  <si>
    <t>Resumen: mismo grupo cada trimestre</t>
  </si>
  <si>
    <t>Δ mensual → MOD (COP) por ronda</t>
  </si>
  <si>
    <t>´= Implementadores×2 + Aprendices×2</t>
  </si>
  <si>
    <t>Δ mensual → Gtos Personal Ventas (COP) por ronda</t>
  </si>
  <si>
    <t>´= Customer Success×1</t>
  </si>
  <si>
    <t>Ene-26</t>
  </si>
  <si>
    <t>Concepto</t>
  </si>
  <si>
    <t>COP Dic-25</t>
  </si>
  <si>
    <t>COP Ene</t>
  </si>
  <si>
    <t>COP Feb</t>
  </si>
  <si>
    <t>COP Mar</t>
  </si>
  <si>
    <t>COP Abr</t>
  </si>
  <si>
    <t>Var %</t>
  </si>
  <si>
    <t>Fuente / Nota</t>
  </si>
  <si>
    <t>Efectivo y equivalentes de efectivo</t>
  </si>
  <si>
    <t>Nota 03</t>
  </si>
  <si>
    <t>Inversiones</t>
  </si>
  <si>
    <t>Nota 04</t>
  </si>
  <si>
    <t>Cuentas comerciales y otras cuentas por cobrar</t>
  </si>
  <si>
    <t>Nota 05</t>
  </si>
  <si>
    <t xml:space="preserve">   Clientes</t>
  </si>
  <si>
    <t xml:space="preserve">   Otros deudores / anticipos / terceros</t>
  </si>
  <si>
    <t>Total activos corrientes</t>
  </si>
  <si>
    <t>Estado financiero</t>
  </si>
  <si>
    <t>Propiedad, planta y equipo neto</t>
  </si>
  <si>
    <t>Nota 06, excluye intangibles</t>
  </si>
  <si>
    <t>Intangibles (software)</t>
  </si>
  <si>
    <t>Nota 06</t>
  </si>
  <si>
    <t>Total activos no corrientes</t>
  </si>
  <si>
    <t>TOTAL ACTIVO</t>
  </si>
  <si>
    <t>Estado de Situación Financiera</t>
  </si>
  <si>
    <t>Obligaciones financieras (tarjetas)</t>
  </si>
  <si>
    <t>Nota 07</t>
  </si>
  <si>
    <t>Proveedores y cuentas por pagar terceros</t>
  </si>
  <si>
    <t>Nota 07: proveedores + CxP terceros</t>
  </si>
  <si>
    <t>Impuestos por pagar</t>
  </si>
  <si>
    <t>Obligaciones laborales</t>
  </si>
  <si>
    <t>Total pasivo corriente</t>
  </si>
  <si>
    <t>Cuentas por pagar a socios</t>
  </si>
  <si>
    <t>TOTAL PASIVO</t>
  </si>
  <si>
    <t>Capital + prima en colocación</t>
  </si>
  <si>
    <t>Nota 08</t>
  </si>
  <si>
    <t>Utilidades acumuladas + resultado ejercicio</t>
  </si>
  <si>
    <t>TOTAL PATRIMONIO</t>
  </si>
  <si>
    <t>TOTAL PASIVO + PATRIMONIO</t>
  </si>
  <si>
    <t>Check Activo - Pasivo y Patrimonio</t>
  </si>
  <si>
    <t>Tolerancia redondeo PDF &lt;= $2</t>
  </si>
  <si>
    <t>PATRIMONIO</t>
  </si>
  <si>
    <t>Ingresos operacionales netos</t>
  </si>
  <si>
    <t xml:space="preserve">  Servicio de software</t>
  </si>
  <si>
    <t xml:space="preserve">  Devoluciones en ventas</t>
  </si>
  <si>
    <t>Costo de ventas</t>
  </si>
  <si>
    <t>Utilidad bruta reconciliada</t>
  </si>
  <si>
    <t>Gastos operacionales de administración</t>
  </si>
  <si>
    <t>Gastos operacionales / proyectos reclasificados</t>
  </si>
  <si>
    <t>Gastos operacionales de ventas</t>
  </si>
  <si>
    <t>Utilidad operativa</t>
  </si>
  <si>
    <t>Ingresos no operacionales</t>
  </si>
  <si>
    <t xml:space="preserve">  Ingresos financieros</t>
  </si>
  <si>
    <t xml:space="preserve">  Otros ingresos no operacionales</t>
  </si>
  <si>
    <t>Gastos no operacionales</t>
  </si>
  <si>
    <t xml:space="preserve">  Gastos financieros</t>
  </si>
  <si>
    <t>Utilidad antes de impuestos</t>
  </si>
  <si>
    <t>Impuestos</t>
  </si>
  <si>
    <t>Utilidad neta</t>
  </si>
  <si>
    <t>TRM Real / Ajustado:</t>
  </si>
  <si>
    <t>Todas las cifras en USD. Presupuesto original Enero valorado a TRM 4,000 COP/USD (versión entregada en su momento). Real y presupuesto ajustado valorados a TRM 3,690 COP/USD.</t>
  </si>
  <si>
    <t>TRM Ppto Original Enero:</t>
  </si>
  <si>
    <t>TRM: 3,690</t>
  </si>
  <si>
    <t>Real</t>
  </si>
  <si>
    <t>Diferencia</t>
  </si>
  <si>
    <t>% Cumpl.</t>
  </si>
  <si>
    <t>Ingresos</t>
  </si>
  <si>
    <t>Utilidad bruta</t>
  </si>
  <si>
    <t>EBITDA</t>
  </si>
  <si>
    <t xml:space="preserve">  Margen EBITDA</t>
  </si>
  <si>
    <t xml:space="preserve">  Margen neto</t>
  </si>
  <si>
    <t>Línea</t>
  </si>
  <si>
    <t xml:space="preserve">  Margen bruto</t>
  </si>
  <si>
    <t>Gastos admin</t>
  </si>
  <si>
    <t>Gastos ventas</t>
  </si>
  <si>
    <t>Ene-Feb</t>
  </si>
  <si>
    <t>Ene-Mar</t>
  </si>
  <si>
    <t>Enero</t>
  </si>
  <si>
    <t>Febrero</t>
  </si>
  <si>
    <t>Marzo</t>
  </si>
  <si>
    <t>Abril</t>
  </si>
  <si>
    <t>%</t>
  </si>
  <si>
    <t>Real Ene-Abr + proyección May-Dic actualizada del Modelo Base, valorado en USD a TRM 3,690.</t>
  </si>
  <si>
    <t>(Verde: real · Amarillo: proyectado)</t>
  </si>
  <si>
    <t>Gastos op/proyectos</t>
  </si>
  <si>
    <t>UAI</t>
  </si>
  <si>
    <t>Presupuesto consolidado de ingresos 2026 (versión actualizada) desglosado por rubro: MRR base, logos nuevos, innovación, up/cross selling, internacional y ajustes. Cifras en USD a TRM 3,690 (vinculada a Inputs!C6). Datos fuente: hoja 'Consol. Pptos'.</t>
  </si>
  <si>
    <t>TRM aplicada:</t>
  </si>
  <si>
    <t>Rubro de ingreso</t>
  </si>
  <si>
    <t>Ingresos reales reportados</t>
  </si>
  <si>
    <t>MRR base</t>
  </si>
  <si>
    <t>Logos nuevos (MRR)</t>
  </si>
  <si>
    <t>One-off (implementación / interop.)</t>
  </si>
  <si>
    <t>Innovación</t>
  </si>
  <si>
    <t>Up/Cross selling (NRR)</t>
  </si>
  <si>
    <t>MRR Internacional</t>
  </si>
  <si>
    <t>One-off Internacional</t>
  </si>
  <si>
    <t>Churn (-)</t>
  </si>
  <si>
    <t>Contracción (-)</t>
  </si>
  <si>
    <t>Total ingresos consolidado</t>
  </si>
  <si>
    <t>TRM original: 4,000</t>
  </si>
  <si>
    <t>Versión original del presupuesto presentado en enero. Esta es la base histórica contra la cual se mide el desempeño en la sección 4.</t>
  </si>
  <si>
    <t>Equivalencia: presupuesto original Enero valorado a la tasa actual (3,690 COP/USD)</t>
  </si>
  <si>
    <t>El presupuesto original Enero fue construido a TRM 4,000. A continuación se muestra cómo cambian las cifras anuales si se revaluaran a la tasa actual de 3,690 (las mismas COP a una tasa menor producen más USD).</t>
  </si>
  <si>
    <t>Ppto Enero @ 4,000</t>
  </si>
  <si>
    <t>Ppto Enero @ 3,690</t>
  </si>
  <si>
    <t>Diferencia $</t>
  </si>
  <si>
    <t>Diferencia %</t>
  </si>
  <si>
    <t>Todas las cifras en COP. Presupuesto original Enero convertido a pesos con TRM 4,000 COP/USD. Real y presupuesto ajustado convertidos con TRM 3,690 COP/USD.</t>
  </si>
  <si>
    <t>Real Ene-Abr + proyección May-Dic actualizada del Modelo Base, valorado en COP a TRM 3,690.</t>
  </si>
  <si>
    <t>Presupuesto consolidado de ingresos 2026 (versión actualizada) desglosado por rubro: MRR base, logos nuevos, innovación, up/cross selling, internacional y ajustes. Cifras en COP, convertidas con TRM 3,690 (vinculada a Inputs!C6). Datos fuente: hoja 'Consol. Pptos'.</t>
  </si>
  <si>
    <t xml:space="preserve"> </t>
  </si>
  <si>
    <t>Coco Tecnologías — Modelo Financiero 3 Estados</t>
  </si>
  <si>
    <t>Dic-25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</si>
  <si>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</si>
  <si>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</si>
  <si>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</si>
  <si>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</si>
  <si>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</si>
  <si>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</si>
  <si>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</si>
  <si>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</si>
  <si>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</si>
  <si>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</si>
  <si>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</si>
  <si>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SUPUESTOS Y DRIVERS (COP)</t>
  </si>
  <si>
    <t>Cifras en pesos colombianos. Fuente: INPUTS + EEFF reales Feb/Mar-26</t>
  </si>
  <si>
    <t>Tasa de Cambio (COP/USD)</t>
  </si>
  <si>
    <t>TRM</t>
  </si>
  <si>
    <t>Tasa de Impuestos</t>
  </si>
  <si>
    <t>% Estatutario</t>
  </si>
  <si>
    <t>Drivers del Estado de Resultados</t>
  </si>
  <si>
    <t>Total COP</t>
  </si>
  <si>
    <t>Total USD</t>
  </si>
  <si>
    <t>Ingresos Mensuales (COP)</t>
  </si>
  <si>
    <t>fuente: P&amp;L</t>
  </si>
  <si>
    <t>Costo de Ventas Mensual (COP)</t>
  </si>
  <si>
    <t>Gastos Administrativos (COP)</t>
  </si>
  <si>
    <t>Gastos de Ventas (COP)</t>
  </si>
  <si>
    <t>Gastos Operativos/Proyectos (COP)</t>
  </si>
  <si>
    <t>Ingresos No Operacionales (COP)</t>
  </si>
  <si>
    <t>Gastos No Operacionales (COP)</t>
  </si>
  <si>
    <t>3 Escenarios de Ingresos</t>
  </si>
  <si>
    <t xml:space="preserve">Conservador </t>
  </si>
  <si>
    <t>Drivers del Balance General</t>
  </si>
  <si>
    <t>Préstamo Intercompany - Coco Delaware</t>
  </si>
  <si>
    <t>DSO (Días de Cobro)</t>
  </si>
  <si>
    <t>Días</t>
  </si>
  <si>
    <t>Prestamista</t>
  </si>
  <si>
    <t>Nombre</t>
  </si>
  <si>
    <t>Coco Delaware</t>
  </si>
  <si>
    <t>DPO (Días de Pago)</t>
  </si>
  <si>
    <t>Fondos USA disponibles</t>
  </si>
  <si>
    <t>Vida Útil PPE (meses)</t>
  </si>
  <si>
    <t>Meses</t>
  </si>
  <si>
    <t>Cupo máximo Coco Delaware</t>
  </si>
  <si>
    <t>CapEx mensual proyectado (COP)</t>
  </si>
  <si>
    <t>Tasa interés intercompany</t>
  </si>
  <si>
    <t>% anual</t>
  </si>
  <si>
    <t>Impuestos x Pagar (% de Impuestos)</t>
  </si>
  <si>
    <t>Inicio de mecánica</t>
  </si>
  <si>
    <t>Mes</t>
  </si>
  <si>
    <t>Caja mínima operativa (COP)</t>
  </si>
  <si>
    <t>Saldos Iniciales (Dic-25, COP)</t>
  </si>
  <si>
    <t>Efectivo</t>
  </si>
  <si>
    <t>CxC Clientes</t>
  </si>
  <si>
    <t>Otros Deudores</t>
  </si>
  <si>
    <t>PPE (neto)</t>
  </si>
  <si>
    <t>Intangibles</t>
  </si>
  <si>
    <t>CxP Proveedores</t>
  </si>
  <si>
    <t>CxP Socios/Terceros</t>
  </si>
  <si>
    <t>Impuestos x Pagar</t>
  </si>
  <si>
    <t>Obligaciones Laborales</t>
  </si>
  <si>
    <t>Obligaciones Financieras</t>
  </si>
  <si>
    <t>Capital Social + Superávit</t>
  </si>
  <si>
    <t>Utilidades Acumuladas</t>
  </si>
  <si>
    <t>Estado de Resultados (COP)</t>
  </si>
  <si>
    <t>TOTAL 2026</t>
  </si>
  <si>
    <t>Ingresos Operacionales</t>
  </si>
  <si>
    <t>Utilidad Bruta</t>
  </si>
  <si>
    <t xml:space="preserve">  Margen Bruto %</t>
  </si>
  <si>
    <t>Gastos Administrativos</t>
  </si>
  <si>
    <t>Gastos de Ventas</t>
  </si>
  <si>
    <t>Gastos Operativos/Proyectos</t>
  </si>
  <si>
    <t>(-) Depreciación y Amortización</t>
  </si>
  <si>
    <t>EBIT (Utilidad Operativa)</t>
  </si>
  <si>
    <t xml:space="preserve">  Margen EBIT %</t>
  </si>
  <si>
    <t>Ingresos No Operacionales</t>
  </si>
  <si>
    <t>Gastos No Operacionales</t>
  </si>
  <si>
    <t>Utilidad Antes de Impuestos (UAI)</t>
  </si>
  <si>
    <t>Impuesto de Renta</t>
  </si>
  <si>
    <t>Utilidad Neta</t>
  </si>
  <si>
    <t xml:space="preserve">  Margen Neto %</t>
  </si>
  <si>
    <t>Balance General (COP)</t>
  </si>
  <si>
    <t>ACTIVOS</t>
  </si>
  <si>
    <t>Total Activos Corrientes</t>
  </si>
  <si>
    <t>TOTAL ACTIVOS</t>
  </si>
  <si>
    <t>PASIVOS</t>
  </si>
  <si>
    <t>Obligaciones Financieras / Tarjetas + CxP Relacionada Coco Delaware</t>
  </si>
  <si>
    <t>Total Pasivos Corrientes</t>
  </si>
  <si>
    <t>CxP Socios/Terceros (pasivo no corriente)</t>
  </si>
  <si>
    <t>Total Pasivos No Corrientes</t>
  </si>
  <si>
    <t>TOTAL PASIVOS</t>
  </si>
  <si>
    <t>Verificación Balance (Activos - Pasivos+Patrimonio)</t>
  </si>
  <si>
    <t>Capital de Trabajo — Balance y cuentas operativas (COP)</t>
  </si>
  <si>
    <t>Activos Corrientes Operativos</t>
  </si>
  <si>
    <t xml:space="preserve">  CxC Clientes</t>
  </si>
  <si>
    <t xml:space="preserve">  Inversiones</t>
  </si>
  <si>
    <t xml:space="preserve">  Otros Deudores</t>
  </si>
  <si>
    <t>Total Activos Corrientes Op.</t>
  </si>
  <si>
    <t>Pasivos Corrientes Operativos</t>
  </si>
  <si>
    <t xml:space="preserve">  CxP Proveedores</t>
  </si>
  <si>
    <t xml:space="preserve">  Impuestos x Pagar</t>
  </si>
  <si>
    <t>Total Pasivos Corrientes Op.</t>
  </si>
  <si>
    <t>Capital de Trabajo Neto (incl. inversiones y otros deudores)</t>
  </si>
  <si>
    <t>Schedule PP&amp;E / Activos Fijos (COP)</t>
  </si>
  <si>
    <t>PP&amp;E Inicio de Periodo</t>
  </si>
  <si>
    <t>CapEx / Adiciones (Disposiciones)</t>
  </si>
  <si>
    <t>(-) Depreciación</t>
  </si>
  <si>
    <t>PP&amp;E Neto, Fin de Periodo</t>
  </si>
  <si>
    <t>Estructura de Capital (COP)</t>
  </si>
  <si>
    <t>Obligaciones Financieras / Tarjetas</t>
  </si>
  <si>
    <t>Saldo Inicio de Periodo</t>
  </si>
  <si>
    <t>Adiciones (Pagos)</t>
  </si>
  <si>
    <t>Obligaciones Financieras, Fin de Periodo</t>
  </si>
  <si>
    <t>Tasa / Intereses de Deuda</t>
  </si>
  <si>
    <t>Interés CxP Coco Delaware (0%)</t>
  </si>
  <si>
    <t>Interés Obligaciones Financieras / Tarjetas</t>
  </si>
  <si>
    <t>Total Intereses</t>
  </si>
  <si>
    <t>CxP Relacionada Coco Delaware / Cash Sweep</t>
  </si>
  <si>
    <t>Desembolso Coco Delaware por faltante de caja</t>
  </si>
  <si>
    <t>Repago Coco Delaware vía cash sweep</t>
  </si>
  <si>
    <t>CxP Coco Delaware, Fin de Periodo</t>
  </si>
  <si>
    <t>Capitalizaciones (Reducciones)</t>
  </si>
  <si>
    <t>Capital, Fin de Periodo</t>
  </si>
  <si>
    <t>Utilidades Acumuladas (RE)</t>
  </si>
  <si>
    <t>Dividendos</t>
  </si>
  <si>
    <t>RE, Fin de Periodo</t>
  </si>
  <si>
    <t>Flujo de Caja (COP)</t>
  </si>
  <si>
    <t>Actividades Operativas</t>
  </si>
  <si>
    <t>Cambios en Capital de Trabajo (desde schedule):</t>
  </si>
  <si>
    <t xml:space="preserve">  Δ Cuentas por Cobrar</t>
  </si>
  <si>
    <t xml:space="preserve">  Δ Cuentas por Pagar</t>
  </si>
  <si>
    <t xml:space="preserve">  Δ Impuestos x Pagar</t>
  </si>
  <si>
    <t xml:space="preserve">  Depreciación (suma)</t>
  </si>
  <si>
    <t>Flujo Operativo</t>
  </si>
  <si>
    <t>Actividades de Inversión</t>
  </si>
  <si>
    <t xml:space="preserve">  Inversiones de Capital (CapEx)</t>
  </si>
  <si>
    <t>Actividades de Financiamiento</t>
  </si>
  <si>
    <t>Movimiento neto de deuda y relacionadas — disclosure / no usar directamente en caja antes de sweep May-Dic</t>
  </si>
  <si>
    <t xml:space="preserve">  Dividendos</t>
  </si>
  <si>
    <t xml:space="preserve">  Emisión de Capital</t>
  </si>
  <si>
    <t>Caja Inicio de Mes</t>
  </si>
  <si>
    <t>Cambio en Caja antes de Cash Sweep</t>
  </si>
  <si>
    <t>Caja antes de Cash Sweep</t>
  </si>
  <si>
    <t>Cash Sweep Coco Delaware / Caja Final (COP)</t>
  </si>
  <si>
    <t>Caja mínima operativa</t>
  </si>
  <si>
    <t>Exceso de caja antes de sweep</t>
  </si>
  <si>
    <t>Faltante de caja antes de sweep</t>
  </si>
  <si>
    <t>Caja fin de mes post cash sweep</t>
  </si>
  <si>
    <t>Gráficas y Datos (COP)</t>
  </si>
  <si>
    <t>Cifras en millones COP salvo que se indique lo contrario</t>
  </si>
  <si>
    <t>Estado de Resultados</t>
  </si>
  <si>
    <t xml:space="preserve">  Margen Neto</t>
  </si>
  <si>
    <t>Flujo de Caja</t>
  </si>
  <si>
    <t>Operativo</t>
  </si>
  <si>
    <t>Inversión</t>
  </si>
  <si>
    <t>Financiamiento</t>
  </si>
  <si>
    <t>Cambio en Caja</t>
  </si>
  <si>
    <t>Schedule Capital de Trabajo — driver Balance/CFS (COP)</t>
  </si>
  <si>
    <t>Fuente proyectada: CxC, CxP e impuestos; CFS lee este schedule</t>
  </si>
  <si>
    <t>Saldos Working Capital</t>
  </si>
  <si>
    <t>CxC Clientes (AR)</t>
  </si>
  <si>
    <t>CxP Proveedores (AP)</t>
  </si>
  <si>
    <t>Capital de Trabajo Operativo Driver-Based</t>
  </si>
  <si>
    <t>Cambios en WC (impacto en caja)</t>
  </si>
  <si>
    <t>Δ CxC Clientes (uso si ↑)</t>
  </si>
  <si>
    <t>Δ CxP Proveedores (fuente si ↑)</t>
  </si>
  <si>
    <t>Δ Impuestos x Pagar (fuente si ↑)</t>
  </si>
  <si>
    <t>Cambio Total WC</t>
  </si>
  <si>
    <t>Check: WC Balance vs WC usado en CFS</t>
  </si>
  <si>
    <t>Check WC Balance - CFS</t>
  </si>
  <si>
    <t>CASH CONVERSION CYCLE (CCC)</t>
  </si>
  <si>
    <t>Anual 2026</t>
  </si>
  <si>
    <t>DSO, DPO y CCC mensuales (30 días) — promedios de AR/AP entre cierres</t>
  </si>
  <si>
    <t>(365 días)</t>
  </si>
  <si>
    <t>DSO — Días de Cobro</t>
  </si>
  <si>
    <t>DPO — Días de Pago</t>
  </si>
  <si>
    <t>Cash Conversion Cycle (DSO − DPO)</t>
  </si>
  <si>
    <t>3 FINANCIAL STATEMENTS — USD</t>
  </si>
  <si>
    <t>All figures in USD. Source: Revenue sheet + P&amp;L USD</t>
  </si>
  <si>
    <t>ASSUMPTIONS &amp; DRIVERS (USD)</t>
  </si>
  <si>
    <t>FX Rate (COP/USD)</t>
  </si>
  <si>
    <t>Tax Rate</t>
  </si>
  <si>
    <t>Income Statement Drivers</t>
  </si>
  <si>
    <t>Revenue Monthly (USD)</t>
  </si>
  <si>
    <t>COGS Monthly (USD)</t>
  </si>
  <si>
    <t>Op Admin Expenses (USD)</t>
  </si>
  <si>
    <t>Op Sales Expenses (USD)</t>
  </si>
  <si>
    <t>Op Project Expenses (USD)</t>
  </si>
  <si>
    <t>Non-Operating Income (USD)</t>
  </si>
  <si>
    <t>Non-Operating Expenses (USD)</t>
  </si>
  <si>
    <t>Balance Sheet Drivers</t>
  </si>
  <si>
    <t>DSO (Days Sales Outstanding)</t>
  </si>
  <si>
    <t>DPO (Days Payable Outstanding)</t>
  </si>
  <si>
    <t>Depreciation (% of Revenue)</t>
  </si>
  <si>
    <t>PP&amp;E Turnover</t>
  </si>
  <si>
    <t>Tax Payable (% of Taxes)</t>
  </si>
  <si>
    <t>Initial Balances (Dec-25, USD)</t>
  </si>
  <si>
    <t>Cash</t>
  </si>
  <si>
    <t>Trade Receivables (AR)</t>
  </si>
  <si>
    <t>Investments</t>
  </si>
  <si>
    <t>Other Receivables</t>
  </si>
  <si>
    <t>PP&amp;E (net)</t>
  </si>
  <si>
    <t>Trade Payables (AP)</t>
  </si>
  <si>
    <t>CxP Socios (LP)</t>
  </si>
  <si>
    <t>Tax Payable</t>
  </si>
  <si>
    <t>Labor Obligations</t>
  </si>
  <si>
    <t>Financial Obligations / Cards</t>
  </si>
  <si>
    <t>Capital + Paid-In Surplus</t>
  </si>
  <si>
    <t>Retained Earnings</t>
  </si>
  <si>
    <t>Income Statement (USD)</t>
  </si>
  <si>
    <t>Revenue</t>
  </si>
  <si>
    <t>Cost of Goods Sold</t>
  </si>
  <si>
    <t>Gross Profit</t>
  </si>
  <si>
    <t xml:space="preserve">  Gross Margin %</t>
  </si>
  <si>
    <t>Operating Admin Expenses</t>
  </si>
  <si>
    <t>Operating Sales Expenses</t>
  </si>
  <si>
    <t>Operating Project Expenses</t>
  </si>
  <si>
    <t>(-) Depreciation &amp; Amortization</t>
  </si>
  <si>
    <t>EBIT (Operating Income)</t>
  </si>
  <si>
    <t xml:space="preserve">  EBIT Margin %</t>
  </si>
  <si>
    <t>Non-Operating Income</t>
  </si>
  <si>
    <t>Non-Operating Expenses</t>
  </si>
  <si>
    <t>Earnings Before Taxes (EBT)</t>
  </si>
  <si>
    <t>Income Tax</t>
  </si>
  <si>
    <t>Net Income</t>
  </si>
  <si>
    <t xml:space="preserve">  Net Margin %</t>
  </si>
  <si>
    <t>Balance Sheet (USD)</t>
  </si>
  <si>
    <t>ASSETS</t>
  </si>
  <si>
    <t>Trade Receivables</t>
  </si>
  <si>
    <t>Total Current Assets</t>
  </si>
  <si>
    <t>TOTAL ASSETS</t>
  </si>
  <si>
    <t>LIABILITIES</t>
  </si>
  <si>
    <t>Financial Obligations / Cards + Coco Delaware Payable</t>
  </si>
  <si>
    <t>Trade Payables</t>
  </si>
  <si>
    <t>Total Current Liabilities</t>
  </si>
  <si>
    <t>Shareholder/Third-Party Payables (Non-current)</t>
  </si>
  <si>
    <t>Total Liabilities</t>
  </si>
  <si>
    <t>EQUITY</t>
  </si>
  <si>
    <t>Total Equity</t>
  </si>
  <si>
    <t>Total Liabilities &amp; Equity</t>
  </si>
  <si>
    <t>Balance Sheet Check</t>
  </si>
  <si>
    <t>Working Capital (USD - linked from COP)</t>
  </si>
  <si>
    <t>Operating Current Assets</t>
  </si>
  <si>
    <t xml:space="preserve">  Trade Receivables</t>
  </si>
  <si>
    <t xml:space="preserve">  Investments</t>
  </si>
  <si>
    <t xml:space="preserve">  Other Receivables</t>
  </si>
  <si>
    <t>Total Operating Current Assets</t>
  </si>
  <si>
    <t>Operating Current Liabilities</t>
  </si>
  <si>
    <t xml:space="preserve">  Trade Payables</t>
  </si>
  <si>
    <t xml:space="preserve">  Tax Payable</t>
  </si>
  <si>
    <t>Total Operating Current Liabilities</t>
  </si>
  <si>
    <t>Net Working Capital</t>
  </si>
  <si>
    <t>PP&amp;E Schedule (USD - linked from COP)</t>
  </si>
  <si>
    <t>PP&amp;E Beginning of Period</t>
  </si>
  <si>
    <t>CapEx / Additions (Disposals)</t>
  </si>
  <si>
    <t>(-) Depreciation</t>
  </si>
  <si>
    <t>Net PP&amp;E, End of Period</t>
  </si>
  <si>
    <t>Capital Structure (USD)</t>
  </si>
  <si>
    <t>Beginning of Period</t>
  </si>
  <si>
    <t>Additions (Repayments)</t>
  </si>
  <si>
    <t>LTD, End of Period</t>
  </si>
  <si>
    <t>LTD Interest (Average Debt)</t>
  </si>
  <si>
    <t>Long-Term Debt Interest</t>
  </si>
  <si>
    <t>Total Interest</t>
  </si>
  <si>
    <t>Short-Term Debt</t>
  </si>
  <si>
    <t>Short-Term Debt, End of Period</t>
  </si>
  <si>
    <t>Common Stock + Paid-In Capital</t>
  </si>
  <si>
    <t>Issuance (Reductions)</t>
  </si>
  <si>
    <t>Common Stock, End of Period</t>
  </si>
  <si>
    <t>Retained Earnings (RE)</t>
  </si>
  <si>
    <t>Dividends</t>
  </si>
  <si>
    <t>RE, End of Period</t>
  </si>
  <si>
    <t>Cash Flow Statement (USD)</t>
  </si>
  <si>
    <t>=S342</t>
  </si>
  <si>
    <t>Operating Activities</t>
  </si>
  <si>
    <t>Changes in Working Capital (USD - from COP CFS)</t>
  </si>
  <si>
    <t xml:space="preserve">  Δ Trade Receivables</t>
  </si>
  <si>
    <t xml:space="preserve">  Δ Trade Payables</t>
  </si>
  <si>
    <t xml:space="preserve">  Δ Tax Payable</t>
  </si>
  <si>
    <t xml:space="preserve">  Depreciation (add-back)</t>
  </si>
  <si>
    <t>Cash from Operations</t>
  </si>
  <si>
    <t>Investing Activities</t>
  </si>
  <si>
    <t xml:space="preserve">  Capital Expenditures (CapEx)</t>
  </si>
  <si>
    <t>Financing Activities</t>
  </si>
  <si>
    <t xml:space="preserve">  Net Debt Issued (Repaid)</t>
  </si>
  <si>
    <t xml:space="preserve">  Dividends</t>
  </si>
  <si>
    <t xml:space="preserve">  Common Stock Issuance</t>
  </si>
  <si>
    <t>Cash, Beginning of Period</t>
  </si>
  <si>
    <t>Change in Cash</t>
  </si>
  <si>
    <t>Cash, End of Period</t>
  </si>
  <si>
    <t>Total Available Cash (USD)</t>
  </si>
  <si>
    <t>Cash from Operations (CocoTech)</t>
  </si>
  <si>
    <t>Subsidiary Cash (USD)</t>
  </si>
  <si>
    <t>Total Available Cash</t>
  </si>
  <si>
    <t>Charts &amp; Data (USD)</t>
  </si>
  <si>
    <t>All figures in USD thousands unless stated</t>
  </si>
  <si>
    <t>Income Statement</t>
  </si>
  <si>
    <t xml:space="preserve">  EBITDA Margin</t>
  </si>
  <si>
    <t xml:space="preserve">  Net Margin</t>
  </si>
  <si>
    <t>Cash Flow</t>
  </si>
  <si>
    <t>Operating</t>
  </si>
  <si>
    <t>Investing</t>
  </si>
  <si>
    <t>Financing</t>
  </si>
  <si>
    <t>FLUJO DE CAJA 2026 (COP millones)</t>
  </si>
  <si>
    <t>Cambio Neto</t>
  </si>
  <si>
    <t>Caja Fin Mes</t>
  </si>
  <si>
    <t>Caja Subsidiaria</t>
  </si>
  <si>
    <t>Caja Total</t>
  </si>
  <si>
    <t>Auditoría caja / cash sweep (COP)</t>
  </si>
  <si>
    <t>Métrica</t>
  </si>
  <si>
    <t>Total / Check</t>
  </si>
  <si>
    <t>Check Caja Mínima = Caja Final - Caja Mínima</t>
  </si>
  <si>
    <t>Estado caja mínima post-sweep</t>
  </si>
  <si>
    <t>Déficit vs caja mínima (si aplica)</t>
  </si>
  <si>
    <t>Check caja Balance vs Flujo</t>
  </si>
  <si>
    <t>Check WC CFS vs schedule</t>
  </si>
  <si>
    <t>Check fórmula cash sweep</t>
  </si>
  <si>
    <t>Cupo adicional requerido para cumplir caja mínima</t>
  </si>
  <si>
    <t>Puente ejecutivo de caja (COP)</t>
  </si>
  <si>
    <t>+ Depreciación y amortización</t>
  </si>
  <si>
    <t>+/- Cambio en cuentas por cobrar</t>
  </si>
  <si>
    <t>+/- Cambio en cuentas por pagar</t>
  </si>
  <si>
    <t>+/- Cambio en impuestos por pagar</t>
  </si>
  <si>
    <t>Flujo de caja operativo</t>
  </si>
  <si>
    <t>- CapEx</t>
  </si>
  <si>
    <t>+/- Otros movimientos de financiación / patrimonio antes sweep</t>
  </si>
  <si>
    <t>Cambio de caja antes de cash sweep</t>
  </si>
  <si>
    <t>+ Desembolsos Coco Delaware</t>
  </si>
  <si>
    <t>- Repagos Coco Delaware</t>
  </si>
  <si>
    <t>Cambio neto de caja post cash sweep</t>
  </si>
  <si>
    <t>Caja final post cash sweep</t>
  </si>
  <si>
    <t>Notas de auditoría cash sweep / Coco Delaware</t>
  </si>
  <si>
    <t>Caja mínima</t>
  </si>
  <si>
    <t>La caja mínima operativa se toma de la fila 183, vinculada a E32.</t>
  </si>
  <si>
    <t>Caja final</t>
  </si>
  <si>
    <t>La caja final post cash sweep se toma de la fila 186.</t>
  </si>
  <si>
    <t>Draw Coco Delaware</t>
  </si>
  <si>
    <t>Si la caja antes del sweep es menor que la caja mínima, el modelo solicita desembolso hasta cubrir el faltante, limitado por el cupo disponible: Draw_t = MIN(Shortfall_t, MaxDebt - DebtBalance_{t-1}).</t>
  </si>
  <si>
    <t>Repago Coco Delaware</t>
  </si>
  <si>
    <t>Si la caja antes del sweep supera la caja mínima, el modelo usa el exceso para repagar deuda, limitado por el saldo adeudado: Repay_t = MIN(ExcessCash_t, DebtBalance_{t-1}+Draw_t).</t>
  </si>
  <si>
    <t>CashFinal_t = CashPreSweep_t + Draw_t - Repay_t. El check de la fila 455 valida esta ecuación para May-Dic 2026.</t>
  </si>
  <si>
    <t>Fila 174</t>
  </si>
  <si>
    <t>La fila 174 muestra movimiento neto de deuda/CxP relacionada; en May-Dic la caja antes de sweep usa deuda financiera y CxP socios/terceros, no el movimiento Coco, para evitar doble conteo.</t>
  </si>
  <si>
    <t>Renombre sugerido</t>
  </si>
  <si>
    <t>Movimiento neto de deuda y relacionadas — disclosure; revisar antes de usar directamente en caja proyectada.</t>
  </si>
  <si>
    <t>WC</t>
  </si>
  <si>
    <t>El check de WC compara CxC + CxP + impuestos del CFS contra el schedule de WC; se evalúa en May-Dic 2026 porque el forecast usa directamente el schedule.</t>
  </si>
  <si>
    <t>Capital de Trabajo Neto</t>
  </si>
  <si>
    <t>Margen Bruto</t>
  </si>
  <si>
    <t>Margen EBITDA</t>
  </si>
  <si>
    <t>Margen Neto</t>
  </si>
  <si>
    <t>COP MM</t>
  </si>
  <si>
    <t>Utilidad Antes de Impuestos</t>
  </si>
  <si>
    <t>Rubro</t>
  </si>
  <si>
    <t>Indicador</t>
  </si>
  <si>
    <t>Comentario</t>
  </si>
  <si>
    <t>COCO Tecnologías — Consolidado Total de Presupuestos 2026</t>
  </si>
  <si>
    <t>Apila las 4 hojas fuente: Ppto Metas · Ppto Intnl · Ppto Consolidado · Datos Intnl. Valores linkeados a las hojas originales.</t>
  </si>
  <si>
    <t>Óptica</t>
  </si>
  <si>
    <t>Ppto Metas</t>
  </si>
  <si>
    <t xml:space="preserve">▸ Salta a:  </t>
  </si>
  <si>
    <t>1. Ppto Metas</t>
  </si>
  <si>
    <t>2. Ppto Intnl</t>
  </si>
  <si>
    <t>3. Ppto Consolidado</t>
  </si>
  <si>
    <t>4. Datos Intnl</t>
  </si>
  <si>
    <t>Ppto Intnl</t>
  </si>
  <si>
    <t>Ppto Consolidado</t>
  </si>
  <si>
    <t>1. PPTO METAS — Escenario objetivo (incluye Enterprise CR 1M USD)</t>
  </si>
  <si>
    <t>Variables principales</t>
  </si>
  <si>
    <t>COP/USD</t>
  </si>
  <si>
    <t>MRR base abril asumido</t>
  </si>
  <si>
    <t>Ingreso real enero</t>
  </si>
  <si>
    <t>Ingreso real febrero</t>
  </si>
  <si>
    <t>Ingreso real marzo</t>
  </si>
  <si>
    <t>Metas 2026 (inputs USD)</t>
  </si>
  <si>
    <t>Ingreso acumulado (referencia)</t>
  </si>
  <si>
    <t>One-off (imp. + interop.)</t>
  </si>
  <si>
    <t xml:space="preserve">   Siesa</t>
  </si>
  <si>
    <t xml:space="preserve">   Indigo</t>
  </si>
  <si>
    <t xml:space="preserve">   Weli</t>
  </si>
  <si>
    <t xml:space="preserve">   Menudeo</t>
  </si>
  <si>
    <t xml:space="preserve">   Clientes &gt; 3mil citas</t>
  </si>
  <si>
    <t xml:space="preserve">   Campañas + bot 2.0</t>
  </si>
  <si>
    <t xml:space="preserve">   COCO Pay</t>
  </si>
  <si>
    <t xml:space="preserve">   Cirugías</t>
  </si>
  <si>
    <t xml:space="preserve">   ChargeBee</t>
  </si>
  <si>
    <t>Up/Cross Selling (NRR)</t>
  </si>
  <si>
    <t xml:space="preserve">   Comfama</t>
  </si>
  <si>
    <t xml:space="preserve">   Maple</t>
  </si>
  <si>
    <t xml:space="preserve">   Otros</t>
  </si>
  <si>
    <t>Enterprise (MRR) CR</t>
  </si>
  <si>
    <t>Proyección mensual COP — Ppto Metas</t>
  </si>
  <si>
    <t>Categoría</t>
  </si>
  <si>
    <t>Actual</t>
  </si>
  <si>
    <t>Base recurrente</t>
  </si>
  <si>
    <t>MRR base (800M plano Abr-Dic)</t>
  </si>
  <si>
    <t>Subtotal logos nuevos</t>
  </si>
  <si>
    <t>Logos nuevos</t>
  </si>
  <si>
    <t>One-off</t>
  </si>
  <si>
    <t>Subtotal innovación</t>
  </si>
  <si>
    <t>Subtotal up/cross selling</t>
  </si>
  <si>
    <t>Up/Cross</t>
  </si>
  <si>
    <t>Enterprise</t>
  </si>
  <si>
    <t>Ajustes</t>
  </si>
  <si>
    <t>Total</t>
  </si>
  <si>
    <t>Total ingresos</t>
  </si>
  <si>
    <t>Proyección mensual USD equivalente — Ppto Metas</t>
  </si>
  <si>
    <t>2. PPTO INTNL — Proyección con embudo USD ponderado por probabilidad</t>
  </si>
  <si>
    <t>Supuestos USD por trimestre</t>
  </si>
  <si>
    <t>Monto USD</t>
  </si>
  <si>
    <t>Probabilidad</t>
  </si>
  <si>
    <t>Distribución</t>
  </si>
  <si>
    <t>Supuestos COP</t>
  </si>
  <si>
    <t>Monto</t>
  </si>
  <si>
    <t>Unidad</t>
  </si>
  <si>
    <t>Variable editable para convertir USD a COP.</t>
  </si>
  <si>
    <t>Embudo MRR Q2</t>
  </si>
  <si>
    <t>Equitativa Abr-Jun</t>
  </si>
  <si>
    <t>OCR mayo</t>
  </si>
  <si>
    <t>Inicio en mayo.</t>
  </si>
  <si>
    <t>Probabilidad Q2</t>
  </si>
  <si>
    <t>Aplica a embudo y cross-selling del Q2.</t>
  </si>
  <si>
    <t>Embudo one-off Q2</t>
  </si>
  <si>
    <t>OCR diciembre</t>
  </si>
  <si>
    <t>Crecimiento lineal hasta diciembre.</t>
  </si>
  <si>
    <t>Probabilidad Q3</t>
  </si>
  <si>
    <t>Aplica a embudo y cross-selling del Q3.</t>
  </si>
  <si>
    <t>Embudo MRR Q3</t>
  </si>
  <si>
    <t>Equitativa Jul-Sep</t>
  </si>
  <si>
    <t>Campañas Q3</t>
  </si>
  <si>
    <t>Equitativa Jul-Sep.</t>
  </si>
  <si>
    <t>Probabilidad Q4</t>
  </si>
  <si>
    <t>Aplica al embudo del Q4.</t>
  </si>
  <si>
    <t>Embudo one-off Q3</t>
  </si>
  <si>
    <t>Campañas Q4</t>
  </si>
  <si>
    <t>Equitativa Oct-Dic.</t>
  </si>
  <si>
    <t>One-off facturado marzo a restar</t>
  </si>
  <si>
    <t>Embudo MRR Q4</t>
  </si>
  <si>
    <t>Equitativa Oct-Dic</t>
  </si>
  <si>
    <t>Ingresos reales enero</t>
  </si>
  <si>
    <t>Dato suministrado por el usuario.</t>
  </si>
  <si>
    <t>Ingreso real marzo reportado</t>
  </si>
  <si>
    <t>Embudo one-off Q4</t>
  </si>
  <si>
    <t>Ingresos reales febrero</t>
  </si>
  <si>
    <t>MRR mínimo estimado abril</t>
  </si>
  <si>
    <t>Cross-selling MRR Q2</t>
  </si>
  <si>
    <t>Cross-selling one-off Q2</t>
  </si>
  <si>
    <t>Cross-selling MRR Q3</t>
  </si>
  <si>
    <t>Cross-selling one-off Q3</t>
  </si>
  <si>
    <t>Upselling MRR</t>
  </si>
  <si>
    <t>N/A</t>
  </si>
  <si>
    <t>Sin ingresos incluidos.</t>
  </si>
  <si>
    <t>Upselling one-off</t>
  </si>
  <si>
    <t>Proyección mensual COP — Ppto Intnl</t>
  </si>
  <si>
    <t>MRR base mínimo estimado</t>
  </si>
  <si>
    <t>Internacional</t>
  </si>
  <si>
    <t>MRR internacional</t>
  </si>
  <si>
    <t>One-off internacional</t>
  </si>
  <si>
    <t>Embudo USD</t>
  </si>
  <si>
    <t>Embudo MRR ponderado</t>
  </si>
  <si>
    <t>Embudo one-off ponderado</t>
  </si>
  <si>
    <t>Cross-selling USD</t>
  </si>
  <si>
    <t>Cross-selling MRR ponderado</t>
  </si>
  <si>
    <t>Cross-selling one-off ponderado</t>
  </si>
  <si>
    <t>Upselling USD</t>
  </si>
  <si>
    <t>Upselling MRR ponderado</t>
  </si>
  <si>
    <t>Upselling one-off ponderado</t>
  </si>
  <si>
    <t>OCR</t>
  </si>
  <si>
    <t>Campañas</t>
  </si>
  <si>
    <t>Proyección mensual USD equivalente — Ppto Intnl</t>
  </si>
  <si>
    <t>3. PPTO CONSOLIDADO — MRR base + Metas (sin Enterprise) + Internacional</t>
  </si>
  <si>
    <t>Ingreso real abril</t>
  </si>
  <si>
    <t>Metas 2026 (inputs USD, sin Enterprise)</t>
  </si>
  <si>
    <t>Subtotal Metas (sin Enterprise)</t>
  </si>
  <si>
    <t>Proyección mensual COP — Ppto Consolidado</t>
  </si>
  <si>
    <t>MRR Internacional (de Intnl.)</t>
  </si>
  <si>
    <t>One-off Internacional (de Intnl.)</t>
  </si>
  <si>
    <t>Proyección mensual USD — Ppto Consolidado</t>
  </si>
  <si>
    <t>4. DATOS INTNL — Tabla soporte facturación internacional</t>
  </si>
  <si>
    <t>Fecha inicio facturación</t>
  </si>
  <si>
    <t>MRR mensual (USD)</t>
  </si>
  <si>
    <t>One-off implementación/interoperabilidad (USD)</t>
  </si>
  <si>
    <t>Gastos de ventas</t>
  </si>
  <si>
    <t>DSO</t>
  </si>
  <si>
    <t>FCF Burn</t>
  </si>
  <si>
    <t>Pre-WC Burn</t>
  </si>
  <si>
    <t>Lectura</t>
  </si>
  <si>
    <t>COP MM / mes</t>
  </si>
  <si>
    <t>Ppto USD MM</t>
  </si>
  <si>
    <t>Ejec. USD MM</t>
  </si>
  <si>
    <t>Gap USD MM</t>
  </si>
  <si>
    <t>Ppto COP MM</t>
  </si>
  <si>
    <t>Ejec. COP MM</t>
  </si>
  <si>
    <t>Gap COP MM</t>
  </si>
  <si>
    <t>USD k</t>
  </si>
  <si>
    <t>Este mes explica el burn del periodo.</t>
  </si>
  <si>
    <t>FCF positivo; solo se ve presión en la vista pre-WC.</t>
  </si>
  <si>
    <t>Cumplimiento %</t>
  </si>
  <si>
    <t>Estado</t>
  </si>
  <si>
    <t>COCO TECNOLOGÍAS — P&amp;L × 3 Escenarios 2026</t>
  </si>
  <si>
    <t>Inflación</t>
  </si>
  <si>
    <t>Tasa de Cambio</t>
  </si>
  <si>
    <t>P&amp;L 2026 — Monthly (Level 4) — Phase 1: Revenue lines (COP &amp; USD)</t>
  </si>
  <si>
    <t>PUC</t>
  </si>
  <si>
    <t>Account</t>
  </si>
  <si>
    <t>Currency</t>
  </si>
  <si>
    <t>4170</t>
  </si>
  <si>
    <t>Otras actividades de servicios comunitarios, sociales y personales</t>
  </si>
  <si>
    <t>Ponderador Mensual</t>
  </si>
  <si>
    <t>Cifra 2025</t>
  </si>
  <si>
    <t>Cifra 2026</t>
  </si>
  <si>
    <t>Moneda COP</t>
  </si>
  <si>
    <t>Mano de Obra Directa</t>
  </si>
  <si>
    <t>Operacionales de Desarrollo</t>
  </si>
  <si>
    <t>Operacionales de Administración</t>
  </si>
  <si>
    <t>Gastos de Personal</t>
  </si>
  <si>
    <t>Otros Gastos de Administración Operacionales</t>
  </si>
  <si>
    <t>Operacionales de Ventas</t>
  </si>
  <si>
    <t xml:space="preserve">Honorarios </t>
  </si>
  <si>
    <t>Otros Gastos de Ventas Operacionales</t>
  </si>
  <si>
    <t>Utilidad Operacional</t>
  </si>
  <si>
    <t>Objetivo de Ingresos</t>
  </si>
  <si>
    <t>Moneda USD</t>
  </si>
  <si>
    <t>Ingresos operacionales (Total)</t>
  </si>
  <si>
    <t>Utilidad Operacional / EBITDA</t>
  </si>
  <si>
    <t>Margen Ebitda</t>
  </si>
  <si>
    <t>Utilidad Antes de Impuestos / EBT</t>
  </si>
  <si>
    <t>SUPUESTOS DE ESCENARIOS</t>
  </si>
  <si>
    <t>Base (USD)</t>
  </si>
  <si>
    <t>Optimista (USD)</t>
  </si>
  <si>
    <t>Pesimista (USD)</t>
  </si>
  <si>
    <t>RIESGOS CLAVE</t>
  </si>
  <si>
    <t>1. TRM fija en $4,000 — sin cobertura cambiaria</t>
  </si>
  <si>
    <t>2. Costos presupuestados 100% fijos (inflación 5.1%)</t>
  </si>
  <si>
    <t>3. New Biz Gob/Enterprise ($1M) sin pipeline detallado</t>
  </si>
  <si>
    <t>4. No hay inversión incremental para soportar crecimiento 2.5x</t>
  </si>
  <si>
    <t>5. Churn asumido bajo (0.5%/mes) — sensible a calidad de servicio</t>
  </si>
  <si>
    <t>6. Estacionalidad basada en 2025 — puede variar</t>
  </si>
  <si>
    <t>Nota: Los % de variación (en azul) son editables. Los costos varían proporcionalmente al ingreso en cada escenario.</t>
  </si>
  <si>
    <t>DATA BRIDGE — Referencias locales (PYG &amp; SalesPlan)</t>
  </si>
  <si>
    <t>New Biz Gob/Enterprise</t>
  </si>
  <si>
    <t>Ingresos Base (Total)</t>
  </si>
  <si>
    <t>Ing. no Operacionales</t>
  </si>
  <si>
    <t>Gasto no Operacionales</t>
  </si>
  <si>
    <t>Impuestos Base</t>
  </si>
  <si>
    <t>COP May</t>
  </si>
  <si>
    <t>ACTIVO</t>
  </si>
  <si>
    <t>ACTIVOS CORRIENTES</t>
  </si>
  <si>
    <t>ACTIVOS NO CORRIENTES</t>
  </si>
  <si>
    <t>PASIVO</t>
  </si>
  <si>
    <t>PASIVO CORRIENTE</t>
  </si>
  <si>
    <t xml:space="preserve">   Proveedores</t>
  </si>
  <si>
    <t xml:space="preserve">   Cuentas por pagar a terceros</t>
  </si>
  <si>
    <t>PASIVO NO CORRIENTE</t>
  </si>
  <si>
    <t>Total pasivo no corriente</t>
  </si>
  <si>
    <t>Ene-Abr</t>
  </si>
  <si>
    <t>Mayo</t>
  </si>
  <si>
    <t>Acum Jun PDF</t>
  </si>
  <si>
    <t>COP Jun</t>
  </si>
  <si>
    <t>Ene-May</t>
  </si>
  <si>
    <t>Junio</t>
  </si>
  <si>
    <t>Acumulado Ene-Jun. FCF neto total incluye junio.</t>
  </si>
  <si>
    <t>Promedio 3M (Abr-Jun) usado para runway.</t>
  </si>
  <si>
    <t>(−) Aumento de Clientes (CxC)</t>
  </si>
  <si>
    <t>(−) Aumento otros deudores/anticipos</t>
  </si>
  <si>
    <t>(−) Pago a proveedores</t>
  </si>
  <si>
    <t>(+/−) Δ Impuestos por pagar</t>
  </si>
  <si>
    <t>(−) Pago obligaciones laborales</t>
  </si>
  <si>
    <t>(+) Venta de inversiones (fiducia)</t>
  </si>
  <si>
    <t>Liquidación para cubrir caja</t>
  </si>
  <si>
    <t>(−) CapEx (Δ PPE neto)</t>
  </si>
  <si>
    <t>(−) Pago tarjetas / oblig. financieras</t>
  </si>
  <si>
    <t>(+/−) Movimiento neto con socios</t>
  </si>
  <si>
    <t>Sensibilidad: caja según días de cobro (DSO clientes)</t>
  </si>
  <si>
    <t>CxC clientes actual</t>
  </si>
  <si>
    <t>DSO actual clientes (días)</t>
  </si>
  <si>
    <t>Caja actual</t>
  </si>
  <si>
    <t>DSO objetivo</t>
  </si>
  <si>
    <t>CxC clientes</t>
  </si>
  <si>
    <t>Caja liberada</t>
  </si>
  <si>
    <t>Caja resultante</t>
  </si>
  <si>
    <t>vs mínimo</t>
  </si>
  <si>
    <t>Palanca adicional: recuperación de otros deudores</t>
  </si>
  <si>
    <t>Otros deudores actual</t>
  </si>
  <si>
    <t>% recuperado</t>
  </si>
  <si>
    <t>fila fuente en Revenue →</t>
  </si>
  <si>
    <t>Moneda EEFF</t>
  </si>
  <si>
    <t>← conmuta moneda e idioma del bloque EEFF (filas 281-301)</t>
  </si>
  <si>
    <t>Enero concentra el mayor FCF burn del periodo.</t>
  </si>
  <si>
    <t>Diferencia (chequeo; tolerancia COP 5)</t>
  </si>
  <si>
    <t>Caja EE.UU.</t>
  </si>
  <si>
    <t>Explicación / lectura para accionistas</t>
  </si>
  <si>
    <t>Caja Colombia</t>
  </si>
  <si>
    <t>Caja EE.UU. convertida</t>
  </si>
  <si>
    <t>Equivalente en pesos de la caja mantenida en Estados Unidos.</t>
  </si>
  <si>
    <t>Escenario conservador, afectado por el consumo extraordinariamente alto registrado en enero.</t>
  </si>
  <si>
    <t>Mensaje clave</t>
  </si>
  <si>
    <t>Saldo de caja mantenido en Estados Unidos.</t>
  </si>
  <si>
    <t>TRM aplicada</t>
  </si>
  <si>
    <t>COP / USD</t>
  </si>
  <si>
    <t>Tasa utilizada para convertir la caja de Estados Unidos a pesos colombianos.</t>
  </si>
  <si>
    <t>Ingresos presupuesto</t>
  </si>
  <si>
    <t>Flujo neto de caja</t>
  </si>
  <si>
    <t>Caja total proyectada</t>
  </si>
  <si>
    <t>Estado / explicación</t>
  </si>
  <si>
    <t>Presupuesto anual de ingresos</t>
  </si>
  <si>
    <t>USD MM</t>
  </si>
  <si>
    <t>Presupuesto total de ingresos 2026 incluido en el Modelo Base.</t>
  </si>
  <si>
    <t>Ingresos pendientes del segundo semestre incluidos en la proyección.</t>
  </si>
  <si>
    <t>Runway hasta primer déficit</t>
  </si>
  <si>
    <t>Necesidad máxima temporal de liquidez</t>
  </si>
  <si>
    <t>Déficit máximo proyectado antes de la recuperación de caja desde septiembre.</t>
  </si>
  <si>
    <t>Caja total proyectada cierre diciembre</t>
  </si>
  <si>
    <t>Caja consolidada al cierre del año, antes de considerar financiamiento adicional o restricciones para transferir fondos de EE.UU.</t>
  </si>
  <si>
    <t>Conclusión proyectada</t>
  </si>
  <si>
    <t>DASHBOARD FINANCIERO 2026</t>
  </si>
  <si>
    <t>Caja Final</t>
  </si>
  <si>
    <t>Caja Mínima</t>
  </si>
  <si>
    <t>DPO</t>
  </si>
  <si>
    <t>CCC</t>
  </si>
  <si>
    <t>Deuda Financiera</t>
  </si>
  <si>
    <t>CxP Coco Delaware</t>
  </si>
  <si>
    <t>Deuda Total</t>
  </si>
  <si>
    <t>Cuentas por Cobrar</t>
  </si>
  <si>
    <t>Cuentas por Pagar</t>
  </si>
  <si>
    <t>Impuestos por Pagar</t>
  </si>
  <si>
    <t>Cambio Neto de Caja</t>
  </si>
  <si>
    <t>Ciclo de Conversión</t>
  </si>
  <si>
    <t>RESULTADOS Y RENTABILIDAD</t>
  </si>
  <si>
    <t>CAJA, ESCENARIOS Y EFICIENCIA</t>
  </si>
  <si>
    <t>DEUDA Y CAPITAL DE TRABAJO</t>
  </si>
  <si>
    <t>Intereses Totales</t>
  </si>
  <si>
    <t>INGRESOS 2026 (COP MM)</t>
  </si>
  <si>
    <t>EBITDA 2026 (COP MM)</t>
  </si>
  <si>
    <t>MARGEN EBITDA (%)</t>
  </si>
  <si>
    <t>UTILIDAD NETA (COP MM)</t>
  </si>
  <si>
    <t>CAJA FINAL DIC (COP MM)</t>
  </si>
  <si>
    <t>DÉFICIT MÁXIMO (COP MM)</t>
  </si>
  <si>
    <t>COSTOS, LIQUIDEZ Y APALANCAMIENTO</t>
  </si>
  <si>
    <t>Métrica / Unidad</t>
  </si>
  <si>
    <t>Margen Bruto (%)</t>
  </si>
  <si>
    <t>Costo de Ventas (COP MM)</t>
  </si>
  <si>
    <t>Opex Total (COP MM)</t>
  </si>
  <si>
    <t>Déficit vs Caja Mínima (COP MM)</t>
  </si>
  <si>
    <t>Activos Corrientes Op. (COP MM)</t>
  </si>
  <si>
    <t>Pasivos Corrientes Op. (COP MM)</t>
  </si>
  <si>
    <t>Deuda / EBITDA Anual (x)</t>
  </si>
  <si>
    <t>ABRIL</t>
  </si>
  <si>
    <t>Estado de Resultados Consolidado por Subsidiaria</t>
  </si>
  <si>
    <t>USA</t>
  </si>
  <si>
    <t>PERU</t>
  </si>
  <si>
    <t>COSTA RICA</t>
  </si>
  <si>
    <t>COLOMBIA</t>
  </si>
  <si>
    <t>CONSOLIDADO</t>
  </si>
  <si>
    <t>USD/PEN</t>
  </si>
  <si>
    <t>USD/USD</t>
  </si>
  <si>
    <t>TOTAL USD</t>
  </si>
  <si>
    <t xml:space="preserve">  </t>
  </si>
  <si>
    <t>Ingresos Ordinarios</t>
  </si>
  <si>
    <t>Otros Ingresos</t>
  </si>
  <si>
    <t>Costo del servicio</t>
  </si>
  <si>
    <t>Administracion</t>
  </si>
  <si>
    <t>Ventas</t>
  </si>
  <si>
    <t>Operacion</t>
  </si>
  <si>
    <t>Gastos financieros</t>
  </si>
  <si>
    <t>Utilidad</t>
  </si>
  <si>
    <t>PROINNOVATE — Perú</t>
  </si>
  <si>
    <t>PROINNOVATE</t>
  </si>
  <si>
    <t>Ingresos / desembolsos</t>
  </si>
  <si>
    <t>Gastos asociados</t>
  </si>
  <si>
    <t>Resultado neto</t>
  </si>
  <si>
    <t>CFO Colombia</t>
  </si>
  <si>
    <t>CapEx Colombia</t>
  </si>
  <si>
    <t>Flujo caja internacional</t>
  </si>
  <si>
    <t>FCF / Flujo caja consolidado</t>
  </si>
  <si>
    <t>Cambio neto caja consolidado</t>
  </si>
  <si>
    <t>Consumo neto de caja Colombia del mes</t>
  </si>
  <si>
    <t>Flujo de caja internacional — Jun-26 (excluye Colombia)</t>
  </si>
  <si>
    <t>País</t>
  </si>
  <si>
    <t>Flujo neto USD</t>
  </si>
  <si>
    <t>Flujo neto COP MM</t>
  </si>
  <si>
    <t>Perú</t>
  </si>
  <si>
    <t>Costa Rica</t>
  </si>
  <si>
    <t>Total internacional</t>
  </si>
  <si>
    <t>TRM junio</t>
  </si>
  <si>
    <t>Fuente / criterio</t>
  </si>
  <si>
    <t>Ingresos USD</t>
  </si>
  <si>
    <t>Egresos USD</t>
  </si>
  <si>
    <t>Transacciones bancarias de junio tomadas únicamente de las filas 1–16; USA, Perú y Costa Rica. Se excluyen Colombia y todas las filas desde la 17.</t>
  </si>
  <si>
    <t>Jun: Colombia más flujo bancario de USA, Perú y Costa Rica calculado solo con filas 1–16 del consolidado.</t>
  </si>
  <si>
    <t>Fuente / alcance</t>
  </si>
  <si>
    <t>Colombia: estados financieros firmados. Internacional: Consolidado USD filas 1–16, únicamente USA, Perú y Costa Rica; Colombia excluida.</t>
  </si>
  <si>
    <t>ANÁLISIS CONSOLIDADO — INGRESOS, MÁRGENES, FCF BURN Y RUNWAY</t>
  </si>
  <si>
    <t>RESUMEN EJECUTIVO CONSOLIDADO — CAJA, BURN Y RUNWAY</t>
  </si>
  <si>
    <t>Caja total consolidada</t>
  </si>
  <si>
    <t>Diferencia consumo neto vs FCF burn</t>
  </si>
  <si>
    <t>La diferencia corresponde a movimientos de caja por fuera del FCF, principalmente inversión, obligaciones financieras, socios u otros movimientos no operativos.</t>
  </si>
  <si>
    <t>Explicación / criterio</t>
  </si>
  <si>
    <t>Ingresos acumulados año</t>
  </si>
  <si>
    <t>Ingresos acumulados presupuesto</t>
  </si>
  <si>
    <t>Abr: flujo histórico Colombia más caja internacional real disponible.</t>
  </si>
  <si>
    <t>May: flujo histórico Colombia más caja internacional real disponible.</t>
  </si>
  <si>
    <t>Quema neta acumulada año — Colombia</t>
  </si>
  <si>
    <t>Quema neta acumulada año — otros países</t>
  </si>
  <si>
    <t>Acumulado 2026 con información disponible de abril-junio para USA, Perú y Costa Rica. Fórmula: MAX(0, −SUMA de los flujos netos bancarios mensuales). Cada flujo mensual corresponde a cobros menos pagos, convertido a COP con la TRM del mes; excluye Colombia.</t>
  </si>
  <si>
    <t>Quema neta acumulada año — consolidada</t>
  </si>
  <si>
    <t>Cumplimeinto Acumulado Presupuesto</t>
  </si>
  <si>
    <t>Flujo neto abril — otros países</t>
  </si>
  <si>
    <t>XLOOKUP busca la fila Utilidad y suma USA, Perú y Costa Rica de abril.</t>
  </si>
  <si>
    <t>Flujo neto mayo — otros países</t>
  </si>
  <si>
    <t>XLOOKUP busca la fila Utilidad y suma USA, Perú y Costa Rica de mayo.</t>
  </si>
  <si>
    <t>Flujo neto junio — otros países</t>
  </si>
  <si>
    <t>XLOOKUP busca la fila Utilidad y suma USA, Perú y Costa Rica de junio.</t>
  </si>
  <si>
    <t>Servicio de software</t>
  </si>
  <si>
    <t>Devoluciones</t>
  </si>
  <si>
    <t>Gastos de administración</t>
  </si>
  <si>
    <t>Gastos operacionales / proyectos</t>
  </si>
  <si>
    <t>Resultado de la operación</t>
  </si>
  <si>
    <t>P&amp;G CONSOLIDADO — ACUMULADO A JUNIO 2026 (USD)</t>
  </si>
  <si>
    <t>Período: 1 de enero al 30 de junio de 2026 | Sin balance general</t>
  </si>
  <si>
    <t>Tasa promedio junio 2026 (moneda local por USD)</t>
  </si>
  <si>
    <t>PEN/USD</t>
  </si>
  <si>
    <t>Perú (USD)</t>
  </si>
  <si>
    <t>Costa Rica (USD)</t>
  </si>
  <si>
    <t>Colombia (USD)</t>
  </si>
  <si>
    <t>Consolidado (USD)</t>
  </si>
  <si>
    <t>Servicios de software / ingresos brutos</t>
  </si>
  <si>
    <t>Gastos de operación / proyectos</t>
  </si>
  <si>
    <t>Ajuste de redondeo del estado fuente</t>
  </si>
  <si>
    <t>Resultado antes de impuestos</t>
  </si>
  <si>
    <t>Impuesto de renta</t>
  </si>
  <si>
    <t>UTILIDAD / (PÉRDIDA) NETA</t>
  </si>
  <si>
    <t>Estados Unidos (USD)</t>
  </si>
  <si>
    <t>DETALLE GASTOS ESTADOS UNIDOS — ACUMULADO A JUNIO 2026</t>
  </si>
  <si>
    <t>Grupo consolidado</t>
  </si>
  <si>
    <t>Tratamiento</t>
  </si>
  <si>
    <t>Nómina, impuestos, seguros, telecom, software, oficina y servicios profesionales</t>
  </si>
  <si>
    <t>Marketing, eventos, comidas, viajes, comisiones y representación</t>
  </si>
  <si>
    <t>Vitally y Georgia Tech Online</t>
  </si>
  <si>
    <t>Comisión por transferencia internacional</t>
  </si>
  <si>
    <t>TOTAL GASTOS USA</t>
  </si>
  <si>
    <t>NOTAS Y CRITERIOS DEL P&amp;G CONSOLIDADO</t>
  </si>
  <si>
    <t>1. Período</t>
  </si>
  <si>
    <t>Cifras acumuladas del 1 de enero al 30 de junio de 2026.</t>
  </si>
  <si>
    <t>2. Tasas de conversión</t>
  </si>
  <si>
    <t>Estados Unidos y Costa Rica: 1.0000 USD/USD; Perú: 3.4050 PEN/USD; Colombia: 3,505.2683 COP/USD.</t>
  </si>
  <si>
    <t>3. Estados Unidos</t>
  </si>
  <si>
    <t>Clasificación gerencial en base caja. Administración incluye nómina, impuestos, seguros, telecomunicaciones, software, equipos/oficina y servicios profesionales.</t>
  </si>
  <si>
    <t>4. Gastos de ventas USA</t>
  </si>
  <si>
    <t>Incluye marketing, eventos, comidas de negocio, viajes, comisiones, regalos a clientes y representación.</t>
  </si>
  <si>
    <t>5. Operación / proyectos USA</t>
  </si>
  <si>
    <t>Incluye Vitally por USD 7,500 y Georgia Tech Online por USD 4,000.</t>
  </si>
  <si>
    <t>6. Exclusiones USA</t>
  </si>
  <si>
    <t>Se excluyen transferencias a Perú y Costa Rica, pagos de Mercury Credit, depósitos reembolsables, transacciones fallidas, cashbacks e ingresos de Stripe.</t>
  </si>
  <si>
    <t>7. Perú</t>
  </si>
  <si>
    <t>La cuenta 5110 se clasificó como administración; cuentas 5210, 5235, 5255 y 5295 como operación/proyectos; cuenta 5305 como gasto financiero.</t>
  </si>
  <si>
    <t>8. Costa Rica</t>
  </si>
  <si>
    <t>La cuenta 51 se clasificó como administración y la cuenta 53 como gasto financiero. No se reportaron ingresos operacionales ni costo del servicio.</t>
  </si>
  <si>
    <t>9. Colombia</t>
  </si>
  <si>
    <t>Se utilizó el Estado de Resultados acumulado a junio. Se mantuvo un ajuste de redondeo de COP 1 para conciliar la utilidad reportada.</t>
  </si>
  <si>
    <t>10. Revisión pendiente</t>
  </si>
  <si>
    <t>Validar antes del cierre definitivo la capitalización de equipos, el tratamiento del pago IRS y la naturaleza contable de Georgia Tech.</t>
  </si>
  <si>
    <t>Período: 1 de enero al 30 de junio de 2026 |</t>
  </si>
  <si>
    <t>Aumento</t>
  </si>
  <si>
    <t>Disminución</t>
  </si>
  <si>
    <t>Operación / proyectos</t>
  </si>
  <si>
    <t>Otros ingresos</t>
  </si>
  <si>
    <t>PUENTE A UTILIDAD NETA — ACUMULADO A JUNIO 2026</t>
  </si>
  <si>
    <t>P&amp;G consolidado | USD | Cifras aproximadas en miles</t>
  </si>
  <si>
    <t>$709K</t>
  </si>
  <si>
    <t>UTILIDAD
BRUTA</t>
  </si>
  <si>
    <t>($251K)</t>
  </si>
  <si>
    <t>GASTOS
ADMIN.</t>
  </si>
  <si>
    <t>($265K)</t>
  </si>
  <si>
    <t>GASTOS
VENTAS</t>
  </si>
  <si>
    <t>($192K)</t>
  </si>
  <si>
    <t>OPERACIÓN /
PROYECTOS</t>
  </si>
  <si>
    <t>+$3K</t>
  </si>
  <si>
    <t>OTROS
INGRESOS</t>
  </si>
  <si>
    <t>($10K)</t>
  </si>
  <si>
    <t>GASTOS
FINANCIEROS</t>
  </si>
  <si>
    <t>($7K)</t>
  </si>
  <si>
    <t>UTILIDAD
NETA</t>
  </si>
  <si>
    <t>■ Positivo</t>
  </si>
  <si>
    <t>■ Gastos / disminuciones</t>
  </si>
  <si>
    <t>■ Otros ingresos</t>
  </si>
  <si>
    <t>Fuente: P&amp;G consolidado a junio 2026</t>
  </si>
  <si>
    <t>Gastos administración</t>
  </si>
  <si>
    <t>Movimiento (USD miles)</t>
  </si>
  <si>
    <t>PRESUPUESTO COMBINADO 2026 — INGRESOS</t>
  </si>
  <si>
    <t>Enero–abril: presupuesto original de USD 4.56MM | Mayo–diciembre: presupuesto revisado de USD 4.07MM</t>
  </si>
  <si>
    <t>TRM presupuesto original</t>
  </si>
  <si>
    <t>TRM presupuesto revisado</t>
  </si>
  <si>
    <t>Versión aplicada</t>
  </si>
  <si>
    <t>Original 4.5M</t>
  </si>
  <si>
    <t>Revisado 4.0M</t>
  </si>
  <si>
    <t>Combinado</t>
  </si>
  <si>
    <t>TRM COP/USD</t>
  </si>
  <si>
    <t>Presupuesto combinado</t>
  </si>
  <si>
    <t>COMPARATIVO DE VERSIONES</t>
  </si>
  <si>
    <t>Presupuesto original enero</t>
  </si>
  <si>
    <t>Presupuesto revisado mayo</t>
  </si>
  <si>
    <t>Diferencia combinado vs original</t>
  </si>
  <si>
    <t>Ingresos reales</t>
  </si>
  <si>
    <t>Variación real vs combinado</t>
  </si>
  <si>
    <t>Cumplimiento real / combinado</t>
  </si>
  <si>
    <t>Serie</t>
  </si>
  <si>
    <t>Presupuesto Ingresos Colombia</t>
  </si>
  <si>
    <t>CONSUMO DE CAJA DISPONIBLE — REAL 2026</t>
  </si>
  <si>
    <t>Saldo disponible (COP MM)</t>
  </si>
  <si>
    <t>Consumo / (reposición) (COP MM)</t>
  </si>
  <si>
    <t>Positivo = consumo de caja | Negativo = reposición / generación de caja</t>
  </si>
  <si>
    <t>Consumo / (reposición)</t>
  </si>
  <si>
    <t>Banco</t>
  </si>
  <si>
    <t>Inicial</t>
  </si>
  <si>
    <t>Final</t>
  </si>
  <si>
    <t>Bofa</t>
  </si>
  <si>
    <t>Mercury</t>
  </si>
  <si>
    <t xml:space="preserve">Fiducia </t>
  </si>
  <si>
    <t xml:space="preserve">Colombia </t>
  </si>
  <si>
    <t>CAMBIOS EN EL DISPONIBLE</t>
  </si>
  <si>
    <t>= Flujo operativo neto</t>
  </si>
  <si>
    <t>COP Jul</t>
  </si>
  <si>
    <t>Acum Jul PDF</t>
  </si>
  <si>
    <t>Var $ (Jun→Jul)</t>
  </si>
  <si>
    <t>ESTADOS FINANCIEROS — ENERO A JULIO 2026</t>
  </si>
  <si>
    <t>Fuente: balance de comprobación / saldos finales compartidos en chat; Jun-26: Estados Financieros Junio 2026 (PDF); Jul-26: EF Julio COCO 2026 (PDF)</t>
  </si>
  <si>
    <t>BALANCE GENERAL — ENERO A JULIO 2026</t>
  </si>
  <si>
    <t>P&amp;G EJECUTIVO — ENERO A JULIO 2026</t>
  </si>
  <si>
    <t>CONTROL DE ACUMULADOS A JULIO 2026</t>
  </si>
  <si>
    <t>Suma Ene-Jul / saldo Jul</t>
  </si>
  <si>
    <t>Valor PDF Jul-26</t>
  </si>
  <si>
    <t>Total activo a julio</t>
  </si>
  <si>
    <t>Total pasivo + patrimonio a julio</t>
  </si>
  <si>
    <t>Jul: solo Colombia (estados financieros julio); flujo internacional de julio pendiente — Consolidado llega a junio.</t>
  </si>
  <si>
    <t>YTD Ene-Jul</t>
  </si>
  <si>
    <t>Promedio 3M May-Jul</t>
  </si>
  <si>
    <t>Puente de caja Jun → Jul 2026 (COP MM)</t>
  </si>
  <si>
    <t>Caja inicial (jun-26)</t>
  </si>
  <si>
    <t>(+) Utilidad neta de julio</t>
  </si>
  <si>
    <t>Recuperación de cartera: cobros superaron la facturación a crédito</t>
  </si>
  <si>
    <t>Aumento de provisiones/obligaciones laborales (fuente de caja)</t>
  </si>
  <si>
    <t>= Caja final (jul-26) calculada</t>
  </si>
  <si>
    <t>Caja final (jul-26) reportada</t>
  </si>
  <si>
    <t>Julio fue rentable</t>
  </si>
  <si>
    <t>CxC clientes = ingreso mensual × DSO/30. Parte del cierre real de julio. Cifras COP MM.</t>
  </si>
  <si>
    <t>Ingreso mensual (jul)</t>
  </si>
  <si>
    <t>Otros deudores/anticipos/terceros al cierre jul. Incluye inversiones de terceros y anticipo de impuestos. COP MM.</t>
  </si>
  <si>
    <t>Total Ene-Jul</t>
  </si>
  <si>
    <t>Cifras consolidadas a julio de 2026. La caja de Colombia proviene de los estados financieros de julio; el burn internacional (USA, Perú y Costa Rica) está actualizado a junio por falta de información bancaria de julio, por lo que el burn consolidado de julio refleja solo Colombia.</t>
  </si>
  <si>
    <t>Consumo neto caja consolidado julio</t>
  </si>
  <si>
    <t>FCF burn consolidado julio</t>
  </si>
  <si>
    <t>Runway consolidado al burn de julio</t>
  </si>
  <si>
    <t>Runway promedio May-Jul</t>
  </si>
  <si>
    <t>Runway promedio Ene-Jul</t>
  </si>
  <si>
    <t>Saldo de efectivo y equivalentes reportado en el balance de julio.</t>
  </si>
  <si>
    <t>Mide la disminución real total de la caja durante julio. En julio la caja aumentó, por lo que el consumo neto es cero. Incluye operación, capital de trabajo, CapEx y otros movimientos de inversión o financiación.</t>
  </si>
  <si>
    <t>Mide el consumo generado por el flujo operativo más CapEx. En julio el FCF fue positivo, por lo que no hubo burn. Excluye otros movimientos de inversión y financiación.</t>
  </si>
  <si>
    <t>No aplica: en julio no hubo quema de caja, de modo que el runway al ritmo del mes es indefinido.</t>
  </si>
  <si>
    <t>Escenario reciente: promedio de burn de mayo a julio; julio no aportó quema y mejora el promedio trimestral.</t>
  </si>
  <si>
    <t>Ingresos presupuesto vs ejecutado (USD MM y COP MM) — Ene a Jul 2026</t>
  </si>
  <si>
    <t>RUNWAY PROYECTADO AGO–DIC 2026 — PRESUPUESTO MODELO BASE</t>
  </si>
  <si>
    <t>Ingresos presupuestados Ago–Dic</t>
  </si>
  <si>
    <t>Meses que cubre la caja consolidada de julio antes del primer déficit proyectado, si los flujos del presupuesto ocurren exactamente como están modelados.</t>
  </si>
  <si>
    <t>INDICADORES ACUMULADOS CONSOLIDADOS — ENE-JUL 2026 (Colombia real a julio; internacional hasta junio)</t>
  </si>
  <si>
    <t>Ingresos reales consolidados: Colombia enero-julio (estados financieros) más USA, Perú y Costa Rica disponibles para abril-junio; sin doble contar Colombia.</t>
  </si>
  <si>
    <t>Presupuesto acumulado consolidado: enero-abril utiliza el presupuesto original anual de USD 4,555,726; mayo-julio utiliza el nuevo presupuesto consolidado anual de USD 4,067,468 (~USD 4.0MM).</t>
  </si>
  <si>
    <t>Acumulado enero-julio 2026. Fórmula: MAX(0, Caja inicial al 31-dic-2025 − Caja final al 31-jul-2026). Equivale a sumar todas las variaciones mensuales de la caja histórica de Colombia. No utiliza CapEx estimado.</t>
  </si>
  <si>
    <t>Acumulado 2026: quema neta histórica de Colombia a julio más quema neta de USA, Perú y Costa Rica disponible de abril-junio (julio internacional aún sin información bancaria).</t>
  </si>
  <si>
    <t>Nota: cifras reales disponibles a julio de 2026; total corresponde al acumulado ene-jul.</t>
  </si>
  <si>
    <t>REAL VS PRESUPUESTO COMBINADO — ENE-JUL 2026</t>
  </si>
  <si>
    <t>YTD (Ene-Jul)</t>
  </si>
  <si>
    <t>COCO Tecnologías — Informe de Resultados Ene-Jul 2026</t>
  </si>
  <si>
    <t>1. RESUMEN EJECUTIVO — Acumulado Ene-Jul 2026 (USD)</t>
  </si>
  <si>
    <t>Ppto Ene-Jul</t>
  </si>
  <si>
    <t>Ene-Jun</t>
  </si>
  <si>
    <t>COCO Tecnologías — Informe de Resultados Ene-Jul 2026 (COP)</t>
  </si>
  <si>
    <t>1. RESUMEN EJECUTIVO — Acumulado Ene-Jul 2026 (COP)</t>
  </si>
  <si>
    <t>FCF BURN Y CAMBIO DE CAJA MENSUAL — ENE-JUL 2026 (COP MM)</t>
  </si>
  <si>
    <t>El análisis usa la caja total consolidada y el FCF burn consolidado. Colombia proviene de los estados financieros (reales hasta julio); el flujo internacional (USA, Perú y Costa Rica) está incorporado hasta junio, excluyendo Colombia del Consolidado USD para evitar doble conteo. Julio aún no incluye flujo internacional.</t>
  </si>
  <si>
    <t>YTD real Ene-Jul</t>
  </si>
  <si>
    <t>2. CUMPLIMIENTO ACUMULADO vs PRESUPUESTO ORIGINAL ENERO (USD)</t>
  </si>
  <si>
    <t>3. P&amp;L MENSUAL 2026 — REAL ENE-JUL + PROYECCIÓN AGO-DIC (USD)</t>
  </si>
  <si>
    <t>4. PRESUPUESTO NUEVO DE INGRESOS — Consolidado rubro por rubro en USD</t>
  </si>
  <si>
    <t>5. PRESUPUESTO ORIGINAL ENERO 2026 — P&amp;L Completo en USD (referencia)</t>
  </si>
  <si>
    <t>2. CUMPLIMIENTO ACUMULADO vs PRESUPUESTO ORIGINAL ENERO (COP)</t>
  </si>
  <si>
    <t>3. P&amp;L MENSUAL 2026 — REAL ENE-JUL + PROYECCIÓN AGO-DIC (COP)</t>
  </si>
  <si>
    <t>4. PRESUPUESTO NUEVO DE INGRESOS — Consolidado rubro por rubro en COP</t>
  </si>
  <si>
    <t>Modelo Base | COP millones | Reales Ene-Jul 2026 (EF julio) · proyección Ago-Dic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</si>
</sst>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3" formatCode="_-* #,##0.00_-;\-* #,##0.00_-;_-* &quot;-&quot;??_-;_-@_-"/>
    <numFmt numFmtId="165" formatCode="#,##0;[Red]\(#,##0\)"/>
    <numFmt numFmtId="166" formatCode="0.0%"/>
    <numFmt numFmtId="167" formatCode="0.0000"/>
    <numFmt numFmtId="168" formatCode="0.00\x"/>
    <numFmt numFmtId="169" formatCode="\$#,##0"/>
    <numFmt numFmtId="170" formatCode="\$#,##0.00"/>
    <numFmt numFmtId="171" formatCode="0.0"/>
    <numFmt numFmtId="173" formatCode="0.0%;\(0.0%\);\-"/>
    <numFmt numFmtId="174" formatCode="_(* #,##0.00_);_(* \(#,##0.00\);_(* \-??_);_(@_)"/>
    <numFmt numFmtId="175" formatCode="#,##0;[Red]\(#,##0\);\-"/>
    <numFmt numFmtId="176" formatCode="_(#,##0_);\(#,##0\);_(&quot;–&quot;_);_(@_)"/>
    <numFmt numFmtId="177" formatCode="#,##0,,_);\(#,##0,,\);_(&quot;–&quot;_);_(@_)"/>
    <numFmt numFmtId="178" formatCode="0.0%;\(0.0%\);_(&quot;–&quot;_)"/>
    <numFmt numFmtId="183" formatCode="_(* #,##0_);_(* \(#,##0\);_(* \-??_);_(@_)"/>
    <numFmt numFmtId="185" formatCode="&quot;$&quot;#,##0;\(&quot;$&quot;#,##0\);\-"/>
    <numFmt numFmtId="186" formatCode="yyyy\-mm\-dd"/>
    <numFmt numFmtId="187" formatCode="#,##0.0;[Red]\(#,##0.0\);\-"/>
    <numFmt numFmtId="188" formatCode="0.0%;[Red]\(0.0%\);\-"/>
    <numFmt numFmtId="190" formatCode="#,##0;\(#,##0\);\-"/>
    <numFmt numFmtId="191" formatCode="#,##0,,_);[Green]\(#,##0,,\);_(&quot;–&quot;_);_(@_)"/>
    <numFmt numFmtId="192" formatCode="#,##0,,_);[Red]\(#,##0,,\);_(&quot;–&quot;_);_(@_)"/>
    <numFmt numFmtId="193" formatCode="0.0&quot; d&quot;"/>
    <numFmt numFmtId="194" formatCode="#,##0.0;\(#,##0.0\);\-"/>
    <numFmt numFmtId="195" formatCode="#,##0.000;[Red]\(#,##0.000\);\-"/>
    <numFmt numFmtId="196" formatCode="_-* #,##0_-;\-* #,##0_-;_-* &quot;-&quot;??_-;_-@_-"/>
    <numFmt numFmtId="197" formatCode="&quot;$&quot;#,##0;\(&quot;$&quot;#,##0\);&quot;-&quot;"/>
    <numFmt numFmtId="198" formatCode="&quot;$&quot;#,##0;[Red]\(&quot;$&quot;#,##0\);\-"/>
    <numFmt numFmtId="200" formatCode="#,##0\ &quot;d&quot;"/>
    <numFmt numFmtId="201" formatCode="#,##0.0\ &quot;d&quot;"/>
    <numFmt numFmtId="203" formatCode="#,##0.0000"/>
    <numFmt numFmtId="204" formatCode="#,##0.00;[Red]\(#,##0.00\);\-"/>
    <numFmt numFmtId="205" formatCode="&quot;$&quot;#,##0.00;[Red]\(&quot;$&quot;#,##0.00\);\-"/>
    <numFmt numFmtId="206" formatCode="0;[Red]\(0\);\-"/>
    <numFmt numFmtId="208" formatCode="0.00%;\(0.00%\);&quot;–&quot;"/>
    <numFmt numFmtId="209" formatCode="d\-mmm"/>
    <numFmt numFmtId="210" formatCode="0.0%;\(0.0%\);&quot;–&quot;"/>
    <numFmt numFmtId="211" formatCode="#,##0.00;\(#,##0.00\);&quot;–&quot;"/>
    <numFmt numFmtId="212" formatCode="#,##0.0;\(#,##0.0\);&quot;–&quot;"/>
    <numFmt numFmtId="213" formatCode="#,##0;\(#,##0\);&quot;–&quot;"/>
    <numFmt numFmtId="214" formatCode="_(* #,##0.00_);_(* \(#,##0.00\);_(* &quot;-&quot;??_);_(@_)"/>
    <numFmt numFmtId="215" formatCode="&quot;$&quot;#,##0;\(&quot;$&quot;#,##0\);&quot;–&quot;"/>
    <numFmt numFmtId="216" formatCode="#,##0.0000;\(#,##0.0000\);&quot;–&quot;"/>
    <numFmt numFmtId="217" formatCode="&quot;$&quot;#,##0.00;\(&quot;$&quot;#,##0.00\);&quot;–&quot;"/>
    <numFmt numFmtId="218" formatCode="#,##0.000000;\(#,##0.000000\);&quot;–&quot;"/>
  </numFmts>
  <fonts count="9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Bookman"/>
    </font>
    <font>
      <sz val="10"/>
      <name val="Bookman"/>
      <family val="1"/>
    </font>
    <font>
      <sz val="11"/>
      <color rgb="FF000000"/>
      <name val="Calibri"/>
      <family val="2"/>
      <charset val="1"/>
    </font>
    <font>
      <sz val="10"/>
      <color theme="1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rlito"/>
    </font>
    <font>
      <u/>
      <sz val="11"/>
      <color theme="1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rgb="FF40404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  <charset val="1"/>
    </font>
    <font>
      <sz val="10"/>
      <color rgb="FFF5F8FA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Aptos Narrow"/>
    </font>
    <font>
      <b/>
      <sz val="10"/>
      <color rgb="FFFFFFFF"/>
      <name val="Aptos Narrow"/>
    </font>
    <font>
      <sz val="10"/>
      <color theme="1"/>
      <name val="Aptos Narrow"/>
    </font>
    <font>
      <b/>
      <sz val="10"/>
      <color theme="1"/>
      <name val="Aptos Narrow"/>
    </font>
    <font>
      <b/>
      <sz val="10"/>
      <color rgb="FF008000"/>
      <name val="Aptos Narrow"/>
    </font>
    <font>
      <i/>
      <sz val="10"/>
      <color theme="1"/>
      <name val="Aptos Narrow"/>
    </font>
    <font>
      <sz val="10"/>
      <color rgb="FF008000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b/>
      <sz val="10"/>
      <color rgb="FFC00000"/>
      <name val="Aptos Narrow"/>
    </font>
    <font>
      <sz val="10"/>
      <color rgb="FFFFFFFF"/>
      <name val="Aptos Narrow"/>
    </font>
    <font>
      <sz val="10"/>
      <color rgb="FF0000FF"/>
      <name val="Aptos Narrow"/>
    </font>
    <font>
      <sz val="10"/>
      <color rgb="FF666666"/>
      <name val="Aptos Narrow"/>
    </font>
    <font>
      <b/>
      <sz val="10"/>
      <color rgb="FF333333"/>
      <name val="Aptos Narrow"/>
    </font>
    <font>
      <sz val="10"/>
      <color rgb="FF003366"/>
      <name val="Aptos Narrow"/>
    </font>
    <font>
      <i/>
      <sz val="10"/>
      <color rgb="FF404040"/>
      <name val="Aptos Narrow"/>
    </font>
    <font>
      <i/>
      <sz val="10"/>
      <color rgb="FF808080"/>
      <name val="Aptos Narrow"/>
    </font>
    <font>
      <sz val="10"/>
      <color rgb="FF808080"/>
      <name val="Aptos Narrow"/>
    </font>
    <font>
      <b/>
      <sz val="13"/>
      <color rgb="FFFFFFFF"/>
      <name val="Aptos Narrow"/>
    </font>
    <font>
      <sz val="10"/>
      <color rgb="FF006100"/>
      <name val="Aptos Narrow"/>
    </font>
    <font>
      <sz val="10"/>
      <color rgb="FF0070C0"/>
      <name val="Aptos Narrow"/>
    </font>
    <font>
      <b/>
      <sz val="10"/>
      <color rgb="FF0070C0"/>
      <name val="Aptos Narrow"/>
    </font>
    <font>
      <i/>
      <sz val="10"/>
      <color rgb="FF0070C0"/>
      <name val="Aptos Narrow"/>
    </font>
    <font>
      <i/>
      <sz val="10"/>
      <color rgb="FF0000FF"/>
      <name val="Aptos Narrow"/>
    </font>
    <font>
      <i/>
      <sz val="9"/>
      <color rgb="FF595959"/>
      <name val="Aptos Narrow"/>
    </font>
    <font>
      <b/>
      <sz val="10"/>
      <color rgb="FF0000FF"/>
      <name val="Aptos Narrow"/>
    </font>
    <font>
      <b/>
      <sz val="10"/>
      <name val="Aptos Narrow"/>
    </font>
    <font>
      <i/>
      <sz val="10"/>
      <color rgb="FF595959"/>
      <name val="Aptos Narrow"/>
    </font>
    <font>
      <b/>
      <sz val="10"/>
      <color rgb="FF1B2A4A"/>
      <name val="Aptos Narrow"/>
    </font>
    <font>
      <sz val="10"/>
      <color rgb="FF374151"/>
      <name val="Aptos Narrow"/>
    </font>
    <font>
      <sz val="10"/>
      <color rgb="FFDC2626"/>
      <name val="Aptos Narrow"/>
    </font>
    <font>
      <b/>
      <sz val="10"/>
      <color rgb="FF374151"/>
      <name val="Aptos Narrow"/>
    </font>
    <font>
      <b/>
      <sz val="10"/>
      <color rgb="FFDC2626"/>
      <name val="Aptos Narrow"/>
    </font>
    <font>
      <b/>
      <sz val="10"/>
      <color rgb="FF4472C4"/>
      <name val="Aptos Narrow"/>
    </font>
    <font>
      <i/>
      <sz val="10"/>
      <color rgb="FF7F7F7F"/>
      <name val="Aptos Narrow"/>
    </font>
    <font>
      <sz val="10"/>
      <color theme="0"/>
      <name val="Aptos Narrow"/>
    </font>
    <font>
      <i/>
      <sz val="10"/>
      <color rgb="FF444444"/>
      <name val="Aptos Narrow"/>
    </font>
    <font>
      <b/>
      <i/>
      <sz val="10"/>
      <color rgb="FF444444"/>
      <name val="Aptos Narrow"/>
    </font>
    <font>
      <i/>
      <sz val="10"/>
      <color rgb="FF008000"/>
      <name val="Aptos Narrow"/>
    </font>
    <font>
      <b/>
      <i/>
      <sz val="10"/>
      <color rgb="FF008000"/>
      <name val="Aptos Narrow"/>
    </font>
    <font>
      <i/>
      <sz val="10"/>
      <color rgb="FF000000"/>
      <name val="Aptos Narrow"/>
    </font>
    <font>
      <b/>
      <i/>
      <sz val="10"/>
      <color rgb="FF000000"/>
      <name val="Aptos Narrow"/>
    </font>
    <font>
      <u/>
      <sz val="10"/>
      <color rgb="FF0563C1"/>
      <name val="Aptos Narrow"/>
    </font>
    <font>
      <b/>
      <sz val="10"/>
      <color rgb="FF222222"/>
      <name val="Aptos Narrow"/>
    </font>
    <font>
      <sz val="10"/>
      <color rgb="FF222222"/>
      <name val="Aptos Narrow"/>
    </font>
    <font>
      <b/>
      <i/>
      <sz val="10"/>
      <color rgb="FF0000FF"/>
      <name val="Aptos Narrow"/>
    </font>
    <font>
      <b/>
      <i/>
      <sz val="9"/>
      <color rgb="FF595959"/>
      <name val="Aptos Narrow"/>
    </font>
    <font>
      <b/>
      <sz val="10"/>
      <color rgb="FF1F4E79"/>
      <name val="Aptos Narrow"/>
    </font>
    <font>
      <i/>
      <sz val="10"/>
      <color rgb="FFFFFFFF"/>
      <name val="Aptos Narrow"/>
    </font>
    <font>
      <b/>
      <i/>
      <sz val="10"/>
      <color theme="1"/>
      <name val="Aptos Narrow"/>
    </font>
    <font>
      <i/>
      <sz val="10"/>
      <color theme="0"/>
      <name val="Aptos Narrow"/>
    </font>
    <font>
      <sz val="10"/>
      <color rgb="FFA6A6A6"/>
      <name val="Aptos Narrow"/>
    </font>
    <font>
      <b/>
      <sz val="10"/>
      <color rgb="FF1F1F1F"/>
      <name val="Aptos Narrow"/>
    </font>
    <font>
      <b/>
      <sz val="10"/>
      <color rgb="FFF5F8FA"/>
      <name val="Aptos Narrow"/>
    </font>
    <font>
      <b/>
      <sz val="10"/>
      <color rgb="FF49D6E9"/>
      <name val="Aptos Narrow"/>
    </font>
    <font>
      <sz val="10"/>
      <color rgb="FFF5F8FA"/>
      <name val="Aptos Narrow"/>
    </font>
    <font>
      <b/>
      <sz val="10"/>
      <color rgb="FF4BD16F"/>
      <name val="Aptos Narrow"/>
    </font>
    <font>
      <b/>
      <sz val="10"/>
      <color rgb="FFFF6B6B"/>
      <name val="Aptos Narrow"/>
    </font>
    <font>
      <sz val="10"/>
      <color rgb="FFB8C7D1"/>
      <name val="Aptos Narrow"/>
    </font>
    <font>
      <i/>
      <sz val="10"/>
      <color rgb="FF5B6573"/>
      <name val="Aptos Narrow"/>
    </font>
    <font>
      <b/>
      <sz val="10"/>
      <color rgb="FF44546A"/>
      <name val="Aptos Narrow"/>
    </font>
    <font>
      <b/>
      <sz val="10"/>
      <color rgb="FF7F6000"/>
      <name val="Aptos Narrow"/>
    </font>
    <font>
      <sz val="10"/>
      <color rgb="FF002060"/>
      <name val="Aptos Narrow"/>
    </font>
    <font>
      <b/>
      <sz val="10"/>
      <color rgb="FF666666"/>
      <name val="Aptos Narrow"/>
    </font>
    <font>
      <b/>
      <i/>
      <sz val="10"/>
      <color rgb="FFFFFFFF"/>
      <name val="Aptos Narrow"/>
    </font>
    <font>
      <b/>
      <sz val="10"/>
      <color rgb="FF1F3864"/>
      <name val="Aptos Narrow"/>
    </font>
  </fonts>
  <fills count="53">
    <fill>
      <patternFill patternType="none"/>
    </fill>
    <fill>
      <patternFill patternType="gray125"/>
    </fill>
    <fill>
      <patternFill patternType="solid">
        <fgColor rgb="FF002060"/>
        <bgColor rgb="FF003366"/>
      </patternFill>
    </fill>
    <fill>
      <patternFill patternType="solid">
        <fgColor rgb="FF1F4E78"/>
        <bgColor rgb="FF1F4E79"/>
      </patternFill>
    </fill>
    <fill>
      <patternFill patternType="solid">
        <fgColor rgb="FFD6DCE4"/>
        <bgColor rgb="FFD9D9D9"/>
      </patternFill>
    </fill>
    <fill>
      <patternFill patternType="solid">
        <fgColor rgb="FFD9EAF7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CF1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1AF1A"/>
        <bgColor indexed="64"/>
      </patternFill>
    </fill>
    <fill>
      <patternFill patternType="solid">
        <fgColor rgb="FF222B4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42433"/>
        <bgColor indexed="64"/>
      </patternFill>
    </fill>
    <fill>
      <patternFill patternType="solid">
        <fgColor rgb="FF1C3447"/>
        <bgColor indexed="64"/>
      </patternFill>
    </fill>
    <fill>
      <patternFill patternType="solid">
        <fgColor rgb="FF4BD16F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9D6E9"/>
        <bgColor indexed="64"/>
      </patternFill>
    </fill>
    <fill>
      <patternFill patternType="solid">
        <fgColor rgb="FF0F243E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AF3E6"/>
        <bgColor indexed="64"/>
      </patternFill>
    </fill>
    <fill>
      <patternFill patternType="solid">
        <fgColor rgb="FFFFF6E0"/>
        <bgColor indexed="64"/>
      </patternFill>
    </fill>
    <fill>
      <patternFill patternType="solid">
        <fgColor rgb="FFD9E2F3"/>
        <bgColor indexed="64"/>
      </patternFill>
    </fill>
  </fills>
  <borders count="130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206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2060"/>
      </bottom>
      <diagonal/>
    </border>
    <border>
      <left style="thin">
        <color rgb="FFBFBFBF"/>
      </left>
      <right style="thin">
        <color rgb="FFBFBFBF"/>
      </right>
      <top style="thin">
        <color rgb="FF002060"/>
      </top>
      <bottom style="double">
        <color rgb="FF002060"/>
      </bottom>
      <diagonal/>
    </border>
    <border>
      <left/>
      <right/>
      <top style="thin">
        <color rgb="FF002060"/>
      </top>
      <bottom style="double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1B2A4A"/>
      </bottom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/>
      <top style="thin">
        <color rgb="FF1B2A4A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1B2A4A"/>
      </bottom>
      <diagonal/>
    </border>
    <border>
      <left/>
      <right/>
      <top style="thin">
        <color rgb="FFD1D5DB"/>
      </top>
      <bottom style="thin">
        <color rgb="FFC0C0C0"/>
      </bottom>
      <diagonal/>
    </border>
    <border>
      <left/>
      <right/>
      <top style="thin">
        <color rgb="FFD1D5DB"/>
      </top>
      <bottom style="thin">
        <color rgb="FF1B2A4A"/>
      </bottom>
      <diagonal/>
    </border>
    <border>
      <left style="thin">
        <color rgb="FFE5E7EB"/>
      </left>
      <right/>
      <top style="thin">
        <color rgb="FF1B2A4A"/>
      </top>
      <bottom/>
      <diagonal/>
    </border>
    <border>
      <left style="thin">
        <color rgb="FFE5E7EB"/>
      </left>
      <right/>
      <top style="thin">
        <color rgb="FF1B2A4A"/>
      </top>
      <bottom style="thin">
        <color rgb="FFC0C0C0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/>
      <top/>
      <bottom style="thin">
        <color rgb="FFC0C0C0"/>
      </bottom>
      <diagonal/>
    </border>
    <border>
      <left style="thin">
        <color rgb="FFE5E7EB"/>
      </left>
      <right/>
      <top style="thin">
        <color rgb="FF1B2A4A"/>
      </top>
      <bottom style="thin">
        <color rgb="FF1B2A4A"/>
      </bottom>
      <diagonal/>
    </border>
    <border>
      <left style="thin">
        <color rgb="FFE5E7EB"/>
      </left>
      <right/>
      <top style="thin">
        <color rgb="FFC0C0C0"/>
      </top>
      <bottom style="thin">
        <color rgb="FFC0C0C0"/>
      </bottom>
      <diagonal/>
    </border>
    <border>
      <left style="thin">
        <color rgb="FFE5E7EB"/>
      </left>
      <right/>
      <top style="thin">
        <color rgb="FFD1D5DB"/>
      </top>
      <bottom style="thin">
        <color rgb="FFC0C0C0"/>
      </bottom>
      <diagonal/>
    </border>
    <border>
      <left style="thin">
        <color rgb="FFE5E7EB"/>
      </left>
      <right/>
      <top style="thin">
        <color rgb="FFC0C0C0"/>
      </top>
      <bottom style="thin">
        <color rgb="FF1B2A4A"/>
      </bottom>
      <diagonal/>
    </border>
    <border>
      <left style="thin">
        <color rgb="FFE5E7EB"/>
      </left>
      <right/>
      <top style="thin">
        <color rgb="FFD1D5DB"/>
      </top>
      <bottom style="thin">
        <color rgb="FF1B2A4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5E7EB"/>
      </left>
      <right/>
      <top style="thin">
        <color rgb="FFC0C0C0"/>
      </top>
      <bottom/>
      <diagonal/>
    </border>
    <border>
      <left style="thin">
        <color rgb="FFE5E7EB"/>
      </left>
      <right/>
      <top style="thin">
        <color rgb="FFD1D5DB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E5E7EB"/>
      </left>
      <right style="thin">
        <color rgb="FFE5E7EB"/>
      </right>
      <top style="thin">
        <color rgb="FFC0C0C0"/>
      </top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C0C0C0"/>
      </bottom>
      <diagonal/>
    </border>
    <border>
      <left/>
      <right/>
      <top style="thin">
        <color rgb="FFD1D5D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C0C0C0"/>
      </bottom>
      <diagonal/>
    </border>
    <border>
      <left style="thin">
        <color rgb="FFE5E7EB"/>
      </left>
      <right/>
      <top style="thin">
        <color rgb="FF1B2A4A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1B2A4A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1B2A4A"/>
      </top>
      <bottom style="thin">
        <color rgb="FF1B2A4A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/>
      <diagonal/>
    </border>
    <border>
      <left style="thin">
        <color rgb="FFE5E7EB"/>
      </left>
      <right style="thin">
        <color rgb="FFE5E7EB"/>
      </right>
      <top style="thin">
        <color rgb="FF1B2A4A"/>
      </top>
      <bottom/>
      <diagonal/>
    </border>
    <border>
      <left/>
      <right/>
      <top style="medium">
        <color rgb="FF1B2A4A"/>
      </top>
      <bottom style="thin">
        <color rgb="FF1B2A4A"/>
      </bottom>
      <diagonal/>
    </border>
    <border>
      <left/>
      <right/>
      <top/>
      <bottom style="dotted">
        <color rgb="FFBCC4D1"/>
      </bottom>
      <diagonal/>
    </border>
    <border>
      <left/>
      <right/>
      <top style="thin">
        <color rgb="FF000000"/>
      </top>
      <bottom style="dotted">
        <color rgb="FFBCC4D1"/>
      </bottom>
      <diagonal/>
    </border>
    <border>
      <left/>
      <right/>
      <top style="dotted">
        <color rgb="FFBCC4D1"/>
      </top>
      <bottom style="dotted">
        <color rgb="FFBCC4D1"/>
      </bottom>
      <diagonal/>
    </border>
    <border>
      <left/>
      <right/>
      <top style="dotted">
        <color rgb="FFBCC4D1"/>
      </top>
      <bottom style="thin">
        <color rgb="FFBCC4D1"/>
      </bottom>
      <diagonal/>
    </border>
    <border>
      <left/>
      <right/>
      <top style="dotted">
        <color rgb="FFBCC4D1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9D9D9"/>
      </left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333333"/>
      </top>
      <bottom style="medium">
        <color rgb="FF333333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rgb="FFC0C0C0"/>
      </top>
      <bottom style="double">
        <color auto="1"/>
      </bottom>
      <diagonal/>
    </border>
    <border>
      <left style="thin">
        <color rgb="FFE5E7EB"/>
      </left>
      <right/>
      <top style="thin">
        <color rgb="FFC0C0C0"/>
      </top>
      <bottom style="double">
        <color auto="1"/>
      </bottom>
      <diagonal/>
    </border>
    <border>
      <left/>
      <right/>
      <top style="thin">
        <color rgb="FF1B2A4A"/>
      </top>
      <bottom style="double">
        <color auto="1"/>
      </bottom>
      <diagonal/>
    </border>
    <border>
      <left style="thin">
        <color rgb="FFE5E7EB"/>
      </left>
      <right/>
      <top style="thin">
        <color rgb="FF1B2A4A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1D2330"/>
      </bottom>
      <diagonal/>
    </border>
    <border>
      <left/>
      <right/>
      <top/>
      <bottom style="thin">
        <color rgb="FF808080"/>
      </bottom>
      <diagonal/>
    </border>
    <border>
      <left/>
      <right/>
      <top style="medium">
        <color rgb="FF70AD47"/>
      </top>
      <bottom/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F6000"/>
      </top>
      <bottom style="medium">
        <color rgb="FF7F6000"/>
      </bottom>
      <diagonal/>
    </border>
    <border>
      <left/>
      <right/>
      <top style="medium">
        <color rgb="FFC00000"/>
      </top>
      <bottom/>
      <diagonal/>
    </border>
    <border>
      <left/>
      <right/>
      <top style="medium">
        <color rgb="FFC00000"/>
      </top>
      <bottom style="medium">
        <color rgb="FF70AD47"/>
      </bottom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rgb="FFC00000"/>
      </bottom>
      <diagonal/>
    </border>
    <border>
      <left/>
      <right/>
      <top style="thick">
        <color rgb="FF1D233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6A6A6"/>
      </left>
      <right/>
      <top style="thin">
        <color auto="1"/>
      </top>
      <bottom/>
      <diagonal/>
    </border>
    <border>
      <left/>
      <right/>
      <top style="thin">
        <color rgb="FF7F8C8D"/>
      </top>
      <bottom style="thin">
        <color rgb="FFAAB7B8"/>
      </bottom>
      <diagonal/>
    </border>
    <border>
      <left style="thin">
        <color rgb="FFA6A6A6"/>
      </left>
      <right/>
      <top style="thin">
        <color rgb="FF7F8C8D"/>
      </top>
      <bottom style="thin">
        <color rgb="FFAAB7B8"/>
      </bottom>
      <diagonal/>
    </border>
    <border>
      <left/>
      <right/>
      <top style="thin">
        <color rgb="FF7F8C8D"/>
      </top>
      <bottom/>
      <diagonal/>
    </border>
    <border>
      <left style="thin">
        <color rgb="FFA6A6A6"/>
      </left>
      <right/>
      <top/>
      <bottom/>
      <diagonal/>
    </border>
    <border>
      <left/>
      <right/>
      <top style="thin">
        <color rgb="FFAAB7B8"/>
      </top>
      <bottom/>
      <diagonal/>
    </border>
    <border>
      <left/>
      <right/>
      <top/>
      <bottom style="thin">
        <color rgb="FFB7C9D6"/>
      </bottom>
      <diagonal/>
    </border>
    <border>
      <left style="thin">
        <color rgb="FFA6A6A6"/>
      </left>
      <right/>
      <top/>
      <bottom style="thin">
        <color rgb="FFB7C9D6"/>
      </bottom>
      <diagonal/>
    </border>
    <border>
      <left style="thin">
        <color rgb="FFA6A6A6"/>
      </left>
      <right/>
      <top/>
      <bottom style="thin">
        <color rgb="FFBFBFBF"/>
      </bottom>
      <diagonal/>
    </border>
    <border>
      <left/>
      <right/>
      <top style="thin">
        <color rgb="FF7F8C8D"/>
      </top>
      <bottom style="medium">
        <color rgb="FF1F1F1F"/>
      </bottom>
      <diagonal/>
    </border>
    <border>
      <left style="thin">
        <color rgb="FFA6A6A6"/>
      </left>
      <right/>
      <top style="thin">
        <color rgb="FF7F8C8D"/>
      </top>
      <bottom style="medium">
        <color rgb="FF1F1F1F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/>
      <bottom style="medium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ck">
        <color rgb="FF49D6E9"/>
      </bottom>
      <diagonal/>
    </border>
    <border>
      <left/>
      <right/>
      <top style="medium">
        <color rgb="FF49D6E9"/>
      </top>
      <bottom/>
      <diagonal/>
    </border>
    <border>
      <left/>
      <right/>
      <top style="thin">
        <color rgb="FF547086"/>
      </top>
      <bottom/>
      <diagonal/>
    </border>
    <border>
      <left/>
      <right/>
      <top style="medium">
        <color rgb="FF547086"/>
      </top>
      <bottom style="thin">
        <color rgb="FF547086"/>
      </bottom>
      <diagonal/>
    </border>
    <border>
      <left/>
      <right/>
      <top style="thick">
        <color rgb="FF55D98B"/>
      </top>
      <bottom style="double">
        <color rgb="FF55D98B"/>
      </bottom>
      <diagonal/>
    </border>
    <border>
      <left/>
      <right/>
      <top style="thin">
        <color rgb="FFF5F8FA"/>
      </top>
      <bottom/>
      <diagonal/>
    </border>
    <border>
      <left/>
      <right/>
      <top style="medium">
        <color rgb="FFF5F8FA"/>
      </top>
      <bottom/>
      <diagonal/>
    </border>
    <border>
      <left style="thick">
        <color rgb="FFC9A227"/>
      </left>
      <right/>
      <top/>
      <bottom/>
      <diagonal/>
    </border>
    <border>
      <left style="thick">
        <color rgb="FFC9A227"/>
      </left>
      <right/>
      <top/>
      <bottom style="medium">
        <color indexed="64"/>
      </bottom>
      <diagonal/>
    </border>
    <border>
      <left style="thick">
        <color rgb="FFC9A227"/>
      </left>
      <right/>
      <top style="thin">
        <color indexed="64"/>
      </top>
      <bottom/>
      <diagonal/>
    </border>
    <border>
      <left style="thick">
        <color rgb="FFC9A227"/>
      </left>
      <right/>
      <top/>
      <bottom style="double">
        <color auto="1"/>
      </bottom>
      <diagonal/>
    </border>
    <border>
      <left style="thick">
        <color rgb="FFC9A227"/>
      </left>
      <right/>
      <top/>
      <bottom style="thick">
        <color rgb="FF1D2330"/>
      </bottom>
      <diagonal/>
    </border>
    <border>
      <left/>
      <right/>
      <top/>
      <bottom style="medium">
        <color rgb="FF222222"/>
      </bottom>
      <diagonal/>
    </border>
    <border>
      <left style="thick">
        <color rgb="FFC9A227"/>
      </left>
      <right/>
      <top/>
      <bottom style="medium">
        <color rgb="FF222222"/>
      </bottom>
      <diagonal/>
    </border>
    <border>
      <left style="thin">
        <color rgb="FFE5E7EB"/>
      </left>
      <right/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 style="double">
        <color rgb="FFC0C0C0"/>
      </bottom>
      <diagonal/>
    </border>
    <border>
      <left style="thin">
        <color rgb="FFE5E7EB"/>
      </left>
      <right/>
      <top style="thick">
        <color auto="1"/>
      </top>
      <bottom style="double">
        <color rgb="FFC0C0C0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n">
        <color rgb="FFE5E7EB"/>
      </left>
      <right/>
      <top style="thick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12">
    <xf numFmtId="0" fontId="0" fillId="0" borderId="0"/>
    <xf numFmtId="174" fontId="3" fillId="0" borderId="0"/>
    <xf numFmtId="9" fontId="3" fillId="0" borderId="0"/>
    <xf numFmtId="0" fontId="5" fillId="0" borderId="0"/>
    <xf numFmtId="9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</cellStyleXfs>
  <cellXfs count="1042">
    <xf numFmtId="0" fontId="0" fillId="0" borderId="0" xfId="0"/>
    <xf numFmtId="0" fontId="9" fillId="0" borderId="0" xfId="0" applyFont="1"/>
    <xf numFmtId="0" fontId="8" fillId="0" borderId="0" xfId="0" applyFont="1"/>
    <xf numFmtId="0" fontId="0" fillId="28" borderId="0" xfId="0" applyFill="1"/>
    <xf numFmtId="0" fontId="8" fillId="9" borderId="0" xfId="0" applyFont="1" applyFill="1"/>
    <xf numFmtId="0" fontId="15" fillId="36" borderId="0" xfId="8" applyFont="1" applyFill="1"/>
    <xf numFmtId="0" fontId="1" fillId="0" borderId="0" xfId="8"/>
    <xf numFmtId="0" fontId="16" fillId="9" borderId="0" xfId="8" applyFont="1" applyFill="1" applyAlignment="1">
      <alignment horizontal="left"/>
    </xf>
    <xf numFmtId="0" fontId="16" fillId="9" borderId="0" xfId="8" applyFont="1" applyFill="1"/>
    <xf numFmtId="196" fontId="16" fillId="9" borderId="0" xfId="9" applyNumberFormat="1" applyFont="1" applyFill="1"/>
    <xf numFmtId="0" fontId="17" fillId="36" borderId="1" xfId="8" applyFont="1" applyFill="1" applyBorder="1"/>
    <xf numFmtId="196" fontId="18" fillId="9" borderId="12" xfId="9" applyNumberFormat="1" applyFont="1" applyFill="1" applyBorder="1"/>
    <xf numFmtId="196" fontId="19" fillId="9" borderId="0" xfId="9" applyNumberFormat="1" applyFont="1" applyFill="1"/>
    <xf numFmtId="0" fontId="18" fillId="9" borderId="12" xfId="8" applyFont="1" applyFill="1" applyBorder="1"/>
    <xf numFmtId="0" fontId="19" fillId="9" borderId="0" xfId="8" applyFont="1" applyFill="1"/>
    <xf numFmtId="0" fontId="16" fillId="0" borderId="0" xfId="8" applyFont="1"/>
    <xf numFmtId="0" fontId="16" fillId="9" borderId="0" xfId="8" applyFont="1" applyFill="1" applyAlignment="1">
      <alignment horizontal="right"/>
    </xf>
    <xf numFmtId="0" fontId="1" fillId="0" borderId="0" xfId="8" applyAlignment="1">
      <alignment horizontal="left"/>
    </xf>
    <xf numFmtId="196" fontId="0" fillId="0" borderId="0" xfId="9" applyNumberFormat="1" applyFont="1"/>
    <xf numFmtId="0" fontId="20" fillId="0" borderId="0" xfId="11"/>
    <xf numFmtId="187" fontId="33" fillId="9" borderId="0" xfId="0" applyNumberFormat="1" applyFont="1" applyFill="1" applyAlignment="1">
      <alignment horizontal="right" vertical="center"/>
    </xf>
    <xf numFmtId="187" fontId="33" fillId="9" borderId="85" xfId="0" applyNumberFormat="1" applyFont="1" applyFill="1" applyBorder="1" applyAlignment="1">
      <alignment horizontal="right" vertical="center"/>
    </xf>
    <xf numFmtId="187" fontId="33" fillId="9" borderId="86" xfId="0" applyNumberFormat="1" applyFont="1" applyFill="1" applyBorder="1" applyAlignment="1">
      <alignment horizontal="right" vertical="center"/>
    </xf>
    <xf numFmtId="171" fontId="32" fillId="9" borderId="0" xfId="0" applyNumberFormat="1" applyFont="1" applyFill="1" applyAlignment="1">
      <alignment horizontal="right" vertical="center"/>
    </xf>
    <xf numFmtId="187" fontId="32" fillId="9" borderId="88" xfId="0" applyNumberFormat="1" applyFont="1" applyFill="1" applyBorder="1" applyAlignment="1">
      <alignment horizontal="right" vertical="center"/>
    </xf>
    <xf numFmtId="187" fontId="32" fillId="9" borderId="89" xfId="0" applyNumberFormat="1" applyFont="1" applyFill="1" applyBorder="1" applyAlignment="1">
      <alignment horizontal="right" vertical="center"/>
    </xf>
    <xf numFmtId="196" fontId="35" fillId="9" borderId="0" xfId="9" applyNumberFormat="1" applyFont="1" applyFill="1" applyBorder="1" applyAlignment="1">
      <alignment horizontal="center" vertical="center"/>
    </xf>
    <xf numFmtId="196" fontId="27" fillId="9" borderId="0" xfId="9" applyNumberFormat="1" applyFont="1" applyFill="1" applyBorder="1" applyAlignment="1">
      <alignment horizontal="right" vertical="center"/>
    </xf>
    <xf numFmtId="196" fontId="27" fillId="9" borderId="0" xfId="9" applyNumberFormat="1" applyFont="1" applyFill="1" applyBorder="1" applyAlignment="1">
      <alignment horizontal="center" vertical="center"/>
    </xf>
    <xf numFmtId="196" fontId="27" fillId="9" borderId="0" xfId="9" applyNumberFormat="1" applyFont="1" applyFill="1" applyBorder="1" applyAlignment="1">
      <alignment horizontal="left" vertical="center"/>
    </xf>
    <xf numFmtId="196" fontId="27" fillId="9" borderId="0" xfId="9" applyNumberFormat="1" applyFont="1" applyFill="1" applyAlignment="1">
      <alignment vertical="center"/>
    </xf>
    <xf numFmtId="10" fontId="27" fillId="9" borderId="0" xfId="10" applyNumberFormat="1" applyFont="1" applyFill="1" applyAlignment="1">
      <alignment vertical="center"/>
    </xf>
    <xf numFmtId="196" fontId="26" fillId="36" borderId="1" xfId="9" applyNumberFormat="1" applyFont="1" applyFill="1" applyBorder="1" applyAlignment="1">
      <alignment vertical="center"/>
    </xf>
    <xf numFmtId="196" fontId="27" fillId="9" borderId="0" xfId="9" applyNumberFormat="1" applyFont="1" applyFill="1" applyBorder="1" applyAlignment="1">
      <alignment vertical="center"/>
    </xf>
    <xf numFmtId="196" fontId="27" fillId="9" borderId="64" xfId="9" applyNumberFormat="1" applyFont="1" applyFill="1" applyBorder="1" applyAlignment="1">
      <alignment vertical="center"/>
    </xf>
    <xf numFmtId="196" fontId="28" fillId="9" borderId="12" xfId="9" applyNumberFormat="1" applyFont="1" applyFill="1" applyBorder="1" applyAlignment="1">
      <alignment vertical="center"/>
    </xf>
    <xf numFmtId="10" fontId="28" fillId="9" borderId="12" xfId="10" applyNumberFormat="1" applyFont="1" applyFill="1" applyBorder="1" applyAlignment="1">
      <alignment vertical="center"/>
    </xf>
    <xf numFmtId="196" fontId="40" fillId="9" borderId="0" xfId="9" applyNumberFormat="1" applyFont="1" applyFill="1" applyAlignment="1">
      <alignment vertical="center"/>
    </xf>
    <xf numFmtId="10" fontId="40" fillId="9" borderId="0" xfId="10" applyNumberFormat="1" applyFont="1" applyFill="1" applyAlignment="1">
      <alignment vertical="center"/>
    </xf>
    <xf numFmtId="196" fontId="27" fillId="9" borderId="72" xfId="9" applyNumberFormat="1" applyFont="1" applyFill="1" applyBorder="1" applyAlignment="1">
      <alignment vertical="center"/>
    </xf>
    <xf numFmtId="196" fontId="40" fillId="9" borderId="64" xfId="9" applyNumberFormat="1" applyFont="1" applyFill="1" applyBorder="1" applyAlignment="1">
      <alignment vertical="center"/>
    </xf>
    <xf numFmtId="196" fontId="27" fillId="9" borderId="73" xfId="9" applyNumberFormat="1" applyFont="1" applyFill="1" applyBorder="1" applyAlignment="1">
      <alignment vertical="center"/>
    </xf>
    <xf numFmtId="10" fontId="27" fillId="9" borderId="73" xfId="10" applyNumberFormat="1" applyFont="1" applyFill="1" applyBorder="1" applyAlignment="1">
      <alignment vertical="center"/>
    </xf>
    <xf numFmtId="196" fontId="27" fillId="9" borderId="74" xfId="9" applyNumberFormat="1" applyFont="1" applyFill="1" applyBorder="1" applyAlignment="1">
      <alignment vertical="center"/>
    </xf>
    <xf numFmtId="197" fontId="39" fillId="9" borderId="0" xfId="8" applyNumberFormat="1" applyFont="1" applyFill="1" applyAlignment="1">
      <alignment horizontal="right" vertical="center"/>
    </xf>
    <xf numFmtId="1" fontId="26" fillId="2" borderId="2" xfId="0" applyNumberFormat="1" applyFont="1" applyFill="1" applyBorder="1" applyAlignment="1">
      <alignment horizontal="right" vertical="center"/>
    </xf>
    <xf numFmtId="175" fontId="55" fillId="11" borderId="26" xfId="0" applyNumberFormat="1" applyFont="1" applyFill="1" applyBorder="1" applyAlignment="1">
      <alignment horizontal="right" vertical="center"/>
    </xf>
    <xf numFmtId="175" fontId="31" fillId="11" borderId="26" xfId="0" applyNumberFormat="1" applyFont="1" applyFill="1" applyBorder="1" applyAlignment="1">
      <alignment horizontal="right" vertical="center"/>
    </xf>
    <xf numFmtId="175" fontId="36" fillId="11" borderId="26" xfId="0" applyNumberFormat="1" applyFont="1" applyFill="1" applyBorder="1" applyAlignment="1">
      <alignment horizontal="right" vertical="center"/>
    </xf>
    <xf numFmtId="188" fontId="31" fillId="11" borderId="26" xfId="0" applyNumberFormat="1" applyFont="1" applyFill="1" applyBorder="1" applyAlignment="1">
      <alignment vertical="center"/>
    </xf>
    <xf numFmtId="175" fontId="31" fillId="11" borderId="26" xfId="0" applyNumberFormat="1" applyFont="1" applyFill="1" applyBorder="1" applyAlignment="1">
      <alignment vertical="center"/>
    </xf>
    <xf numFmtId="175" fontId="33" fillId="9" borderId="26" xfId="0" applyNumberFormat="1" applyFont="1" applyFill="1" applyBorder="1" applyAlignment="1">
      <alignment horizontal="right" vertical="center"/>
    </xf>
    <xf numFmtId="175" fontId="31" fillId="9" borderId="26" xfId="0" applyNumberFormat="1" applyFont="1" applyFill="1" applyBorder="1" applyAlignment="1">
      <alignment horizontal="right" vertical="center"/>
    </xf>
    <xf numFmtId="175" fontId="36" fillId="9" borderId="26" xfId="0" applyNumberFormat="1" applyFont="1" applyFill="1" applyBorder="1" applyAlignment="1">
      <alignment horizontal="right" vertical="center"/>
    </xf>
    <xf numFmtId="175" fontId="31" fillId="9" borderId="26" xfId="0" applyNumberFormat="1" applyFont="1" applyFill="1" applyBorder="1" applyAlignment="1">
      <alignment vertical="center"/>
    </xf>
    <xf numFmtId="175" fontId="53" fillId="9" borderId="27" xfId="0" applyNumberFormat="1" applyFont="1" applyFill="1" applyBorder="1" applyAlignment="1">
      <alignment horizontal="right" vertical="center"/>
    </xf>
    <xf numFmtId="175" fontId="50" fillId="9" borderId="27" xfId="0" applyNumberFormat="1" applyFont="1" applyFill="1" applyBorder="1" applyAlignment="1">
      <alignment horizontal="right" vertical="center"/>
    </xf>
    <xf numFmtId="175" fontId="29" fillId="9" borderId="27" xfId="0" applyNumberFormat="1" applyFont="1" applyFill="1" applyBorder="1" applyAlignment="1">
      <alignment vertical="center"/>
    </xf>
    <xf numFmtId="175" fontId="32" fillId="9" borderId="78" xfId="0" applyNumberFormat="1" applyFont="1" applyFill="1" applyBorder="1" applyAlignment="1">
      <alignment horizontal="right" vertical="center"/>
    </xf>
    <xf numFmtId="175" fontId="29" fillId="9" borderId="78" xfId="0" applyNumberFormat="1" applyFont="1" applyFill="1" applyBorder="1" applyAlignment="1">
      <alignment vertical="center"/>
    </xf>
    <xf numFmtId="175" fontId="33" fillId="11" borderId="26" xfId="0" applyNumberFormat="1" applyFont="1" applyFill="1" applyBorder="1" applyAlignment="1">
      <alignment horizontal="right" vertical="center"/>
    </xf>
    <xf numFmtId="175" fontId="53" fillId="10" borderId="28" xfId="0" applyNumberFormat="1" applyFont="1" applyFill="1" applyBorder="1" applyAlignment="1">
      <alignment horizontal="right" vertical="center"/>
    </xf>
    <xf numFmtId="175" fontId="50" fillId="10" borderId="28" xfId="0" applyNumberFormat="1" applyFont="1" applyFill="1" applyBorder="1" applyAlignment="1">
      <alignment horizontal="right" vertical="center"/>
    </xf>
    <xf numFmtId="175" fontId="29" fillId="10" borderId="28" xfId="0" applyNumberFormat="1" applyFont="1" applyFill="1" applyBorder="1" applyAlignment="1">
      <alignment vertical="center"/>
    </xf>
    <xf numFmtId="175" fontId="32" fillId="9" borderId="80" xfId="0" applyNumberFormat="1" applyFont="1" applyFill="1" applyBorder="1" applyAlignment="1">
      <alignment horizontal="right" vertical="center"/>
    </xf>
    <xf numFmtId="175" fontId="29" fillId="9" borderId="80" xfId="0" applyNumberFormat="1" applyFont="1" applyFill="1" applyBorder="1" applyAlignment="1">
      <alignment vertical="center"/>
    </xf>
    <xf numFmtId="175" fontId="36" fillId="9" borderId="0" xfId="0" applyNumberFormat="1" applyFont="1" applyFill="1" applyAlignment="1">
      <alignment horizontal="right" vertical="center"/>
    </xf>
    <xf numFmtId="175" fontId="33" fillId="9" borderId="0" xfId="0" applyNumberFormat="1" applyFont="1" applyFill="1" applyAlignment="1">
      <alignment horizontal="left" vertical="center"/>
    </xf>
    <xf numFmtId="188" fontId="33" fillId="9" borderId="0" xfId="0" applyNumberFormat="1" applyFont="1" applyFill="1" applyAlignment="1">
      <alignment vertical="center"/>
    </xf>
    <xf numFmtId="175" fontId="32" fillId="9" borderId="81" xfId="0" applyNumberFormat="1" applyFont="1" applyFill="1" applyBorder="1" applyAlignment="1">
      <alignment horizontal="left" vertical="center"/>
    </xf>
    <xf numFmtId="188" fontId="32" fillId="9" borderId="81" xfId="0" applyNumberFormat="1" applyFont="1" applyFill="1" applyBorder="1" applyAlignment="1">
      <alignment vertical="center"/>
    </xf>
    <xf numFmtId="175" fontId="31" fillId="11" borderId="0" xfId="0" applyNumberFormat="1" applyFont="1" applyFill="1" applyAlignment="1">
      <alignment horizontal="right" vertical="center"/>
    </xf>
    <xf numFmtId="188" fontId="31" fillId="11" borderId="0" xfId="0" applyNumberFormat="1" applyFont="1" applyFill="1" applyAlignment="1">
      <alignment horizontal="right" vertical="center"/>
    </xf>
    <xf numFmtId="175" fontId="31" fillId="9" borderId="0" xfId="0" applyNumberFormat="1" applyFont="1" applyFill="1" applyAlignment="1">
      <alignment horizontal="right" vertical="center"/>
    </xf>
    <xf numFmtId="188" fontId="31" fillId="9" borderId="0" xfId="0" applyNumberFormat="1" applyFont="1" applyFill="1" applyAlignment="1">
      <alignment horizontal="right" vertical="center"/>
    </xf>
    <xf numFmtId="188" fontId="31" fillId="11" borderId="16" xfId="0" applyNumberFormat="1" applyFont="1" applyFill="1" applyBorder="1" applyAlignment="1">
      <alignment horizontal="right" vertical="center"/>
    </xf>
    <xf numFmtId="166" fontId="33" fillId="9" borderId="0" xfId="0" applyNumberFormat="1" applyFont="1" applyFill="1" applyAlignment="1">
      <alignment horizontal="right" vertical="center"/>
    </xf>
    <xf numFmtId="3" fontId="50" fillId="4" borderId="9" xfId="0" applyNumberFormat="1" applyFont="1" applyFill="1" applyBorder="1" applyAlignment="1">
      <alignment horizontal="right" vertical="center"/>
    </xf>
    <xf numFmtId="3" fontId="32" fillId="4" borderId="0" xfId="0" applyNumberFormat="1" applyFont="1" applyFill="1" applyAlignment="1">
      <alignment horizontal="center" vertical="center"/>
    </xf>
    <xf numFmtId="175" fontId="33" fillId="9" borderId="0" xfId="0" applyNumberFormat="1" applyFont="1" applyFill="1" applyAlignment="1">
      <alignment horizontal="right" vertical="center"/>
    </xf>
    <xf numFmtId="191" fontId="63" fillId="27" borderId="0" xfId="0" applyNumberFormat="1" applyFont="1" applyFill="1" applyAlignment="1">
      <alignment horizontal="right" vertical="center"/>
    </xf>
    <xf numFmtId="177" fontId="33" fillId="9" borderId="0" xfId="0" applyNumberFormat="1" applyFont="1" applyFill="1" applyAlignment="1">
      <alignment horizontal="right" vertical="center"/>
    </xf>
    <xf numFmtId="49" fontId="33" fillId="9" borderId="0" xfId="0" applyNumberFormat="1" applyFont="1" applyFill="1" applyAlignment="1">
      <alignment vertical="center"/>
    </xf>
    <xf numFmtId="177" fontId="32" fillId="9" borderId="14" xfId="0" applyNumberFormat="1" applyFont="1" applyFill="1" applyBorder="1" applyAlignment="1">
      <alignment horizontal="right" vertical="center"/>
    </xf>
    <xf numFmtId="178" fontId="61" fillId="9" borderId="48" xfId="0" applyNumberFormat="1" applyFont="1" applyFill="1" applyBorder="1" applyAlignment="1">
      <alignment horizontal="right" vertical="center"/>
    </xf>
    <xf numFmtId="177" fontId="32" fillId="9" borderId="0" xfId="0" applyNumberFormat="1" applyFont="1" applyFill="1" applyAlignment="1">
      <alignment horizontal="right" vertical="center"/>
    </xf>
    <xf numFmtId="175" fontId="63" fillId="27" borderId="0" xfId="0" applyNumberFormat="1" applyFont="1" applyFill="1" applyAlignment="1">
      <alignment horizontal="right" vertical="center"/>
    </xf>
    <xf numFmtId="175" fontId="31" fillId="26" borderId="0" xfId="0" applyNumberFormat="1" applyFont="1" applyFill="1" applyAlignment="1">
      <alignment horizontal="right" vertical="center"/>
    </xf>
    <xf numFmtId="191" fontId="51" fillId="26" borderId="0" xfId="0" applyNumberFormat="1" applyFont="1" applyFill="1" applyAlignment="1">
      <alignment horizontal="right" vertical="center"/>
    </xf>
    <xf numFmtId="175" fontId="51" fillId="26" borderId="0" xfId="0" applyNumberFormat="1" applyFont="1" applyFill="1" applyAlignment="1">
      <alignment horizontal="right" vertical="center"/>
    </xf>
    <xf numFmtId="177" fontId="61" fillId="9" borderId="50" xfId="0" applyNumberFormat="1" applyFont="1" applyFill="1" applyBorder="1" applyAlignment="1">
      <alignment horizontal="right" vertical="center"/>
    </xf>
    <xf numFmtId="176" fontId="33" fillId="9" borderId="0" xfId="0" applyNumberFormat="1" applyFont="1" applyFill="1" applyAlignment="1">
      <alignment horizontal="right" vertical="center"/>
    </xf>
    <xf numFmtId="176" fontId="32" fillId="9" borderId="14" xfId="0" applyNumberFormat="1" applyFont="1" applyFill="1" applyBorder="1" applyAlignment="1">
      <alignment horizontal="right" vertical="center"/>
    </xf>
    <xf numFmtId="176" fontId="32" fillId="9" borderId="33" xfId="0" applyNumberFormat="1" applyFont="1" applyFill="1" applyBorder="1" applyAlignment="1">
      <alignment horizontal="right" vertical="center"/>
    </xf>
    <xf numFmtId="176" fontId="32" fillId="9" borderId="0" xfId="0" applyNumberFormat="1" applyFont="1" applyFill="1" applyAlignment="1">
      <alignment horizontal="right" vertical="center"/>
    </xf>
    <xf numFmtId="176" fontId="53" fillId="9" borderId="47" xfId="0" applyNumberFormat="1" applyFont="1" applyFill="1" applyBorder="1" applyAlignment="1">
      <alignment horizontal="right" vertical="center"/>
    </xf>
    <xf numFmtId="176" fontId="61" fillId="9" borderId="48" xfId="0" applyNumberFormat="1" applyFont="1" applyFill="1" applyBorder="1" applyAlignment="1">
      <alignment horizontal="right" vertical="center"/>
    </xf>
    <xf numFmtId="176" fontId="61" fillId="9" borderId="50" xfId="0" applyNumberFormat="1" applyFont="1" applyFill="1" applyBorder="1" applyAlignment="1">
      <alignment horizontal="right" vertical="center"/>
    </xf>
    <xf numFmtId="49" fontId="32" fillId="9" borderId="0" xfId="0" applyNumberFormat="1" applyFont="1" applyFill="1" applyAlignment="1">
      <alignment horizontal="center" vertical="center"/>
    </xf>
    <xf numFmtId="17" fontId="28" fillId="13" borderId="0" xfId="0" applyNumberFormat="1" applyFont="1" applyFill="1" applyAlignment="1">
      <alignment horizontal="center" vertical="center"/>
    </xf>
    <xf numFmtId="17" fontId="68" fillId="18" borderId="0" xfId="0" applyNumberFormat="1" applyFont="1" applyFill="1" applyAlignment="1">
      <alignment horizontal="center" vertical="center"/>
    </xf>
    <xf numFmtId="187" fontId="68" fillId="8" borderId="0" xfId="0" applyNumberFormat="1" applyFont="1" applyFill="1" applyAlignment="1">
      <alignment vertical="center"/>
    </xf>
    <xf numFmtId="187" fontId="68" fillId="20" borderId="0" xfId="0" applyNumberFormat="1" applyFont="1" applyFill="1" applyAlignment="1">
      <alignment vertical="center"/>
    </xf>
    <xf numFmtId="187" fontId="68" fillId="21" borderId="0" xfId="0" applyNumberFormat="1" applyFont="1" applyFill="1" applyAlignment="1">
      <alignment horizontal="center" vertical="center"/>
    </xf>
    <xf numFmtId="175" fontId="28" fillId="19" borderId="0" xfId="0" applyNumberFormat="1" applyFont="1" applyFill="1" applyAlignment="1">
      <alignment vertical="center"/>
    </xf>
    <xf numFmtId="185" fontId="28" fillId="25" borderId="0" xfId="0" applyNumberFormat="1" applyFont="1" applyFill="1" applyAlignment="1">
      <alignment vertical="center"/>
    </xf>
    <xf numFmtId="173" fontId="73" fillId="23" borderId="0" xfId="0" applyNumberFormat="1" applyFont="1" applyFill="1" applyAlignment="1">
      <alignment horizontal="right" vertical="center"/>
    </xf>
    <xf numFmtId="204" fontId="32" fillId="13" borderId="100" xfId="11" applyNumberFormat="1" applyFont="1" applyFill="1" applyBorder="1" applyAlignment="1">
      <alignment horizontal="right" vertical="center"/>
    </xf>
    <xf numFmtId="204" fontId="32" fillId="13" borderId="0" xfId="11" applyNumberFormat="1" applyFont="1" applyFill="1" applyAlignment="1">
      <alignment horizontal="right" vertical="center"/>
    </xf>
    <xf numFmtId="204" fontId="32" fillId="41" borderId="98" xfId="11" applyNumberFormat="1" applyFont="1" applyFill="1" applyBorder="1" applyAlignment="1">
      <alignment horizontal="right" vertical="center"/>
    </xf>
    <xf numFmtId="204" fontId="32" fillId="41" borderId="0" xfId="11" applyNumberFormat="1" applyFont="1" applyFill="1" applyAlignment="1">
      <alignment horizontal="right" vertical="center"/>
    </xf>
    <xf numFmtId="204" fontId="32" fillId="13" borderId="103" xfId="11" applyNumberFormat="1" applyFont="1" applyFill="1" applyBorder="1" applyAlignment="1">
      <alignment horizontal="right" vertical="center"/>
    </xf>
    <xf numFmtId="198" fontId="33" fillId="9" borderId="0" xfId="11" applyNumberFormat="1" applyFont="1" applyFill="1" applyAlignment="1">
      <alignment horizontal="right" vertical="center"/>
    </xf>
    <xf numFmtId="205" fontId="32" fillId="9" borderId="109" xfId="11" applyNumberFormat="1" applyFont="1" applyFill="1" applyBorder="1" applyAlignment="1">
      <alignment horizontal="left" vertical="center"/>
    </xf>
    <xf numFmtId="198" fontId="32" fillId="9" borderId="109" xfId="11" applyNumberFormat="1" applyFont="1" applyFill="1" applyBorder="1" applyAlignment="1">
      <alignment horizontal="right" vertical="center"/>
    </xf>
    <xf numFmtId="205" fontId="32" fillId="9" borderId="106" xfId="11" applyNumberFormat="1" applyFont="1" applyFill="1" applyBorder="1" applyAlignment="1">
      <alignment horizontal="left" vertical="center"/>
    </xf>
    <xf numFmtId="198" fontId="32" fillId="9" borderId="106" xfId="11" applyNumberFormat="1" applyFont="1" applyFill="1" applyBorder="1" applyAlignment="1">
      <alignment horizontal="right" vertical="center"/>
    </xf>
    <xf numFmtId="205" fontId="33" fillId="9" borderId="0" xfId="11" applyNumberFormat="1" applyFont="1" applyFill="1" applyAlignment="1">
      <alignment horizontal="right" vertical="center"/>
    </xf>
    <xf numFmtId="187" fontId="85" fillId="16" borderId="0" xfId="0" applyNumberFormat="1" applyFont="1" applyFill="1" applyAlignment="1">
      <alignment horizontal="center" vertical="center"/>
    </xf>
    <xf numFmtId="187" fontId="85" fillId="19" borderId="0" xfId="0" applyNumberFormat="1" applyFont="1" applyFill="1" applyAlignment="1">
      <alignment horizontal="center" vertical="center"/>
    </xf>
    <xf numFmtId="188" fontId="85" fillId="41" borderId="0" xfId="0" applyNumberFormat="1" applyFont="1" applyFill="1" applyAlignment="1">
      <alignment horizontal="center" vertical="center"/>
    </xf>
    <xf numFmtId="187" fontId="85" fillId="41" borderId="0" xfId="0" applyNumberFormat="1" applyFont="1" applyFill="1" applyAlignment="1">
      <alignment horizontal="center" vertical="center"/>
    </xf>
    <xf numFmtId="187" fontId="86" fillId="17" borderId="0" xfId="0" applyNumberFormat="1" applyFont="1" applyFill="1" applyAlignment="1">
      <alignment horizontal="center" vertical="center"/>
    </xf>
    <xf numFmtId="187" fontId="34" fillId="42" borderId="0" xfId="0" applyNumberFormat="1" applyFont="1" applyFill="1" applyAlignment="1">
      <alignment horizontal="center" vertical="center"/>
    </xf>
    <xf numFmtId="187" fontId="85" fillId="16" borderId="90" xfId="0" applyNumberFormat="1" applyFont="1" applyFill="1" applyBorder="1" applyAlignment="1">
      <alignment horizontal="center" vertical="center"/>
    </xf>
    <xf numFmtId="187" fontId="85" fillId="19" borderId="90" xfId="0" applyNumberFormat="1" applyFont="1" applyFill="1" applyBorder="1" applyAlignment="1">
      <alignment horizontal="center" vertical="center"/>
    </xf>
    <xf numFmtId="188" fontId="85" fillId="41" borderId="90" xfId="0" applyNumberFormat="1" applyFont="1" applyFill="1" applyBorder="1" applyAlignment="1">
      <alignment horizontal="center" vertical="center"/>
    </xf>
    <xf numFmtId="187" fontId="85" fillId="41" borderId="90" xfId="0" applyNumberFormat="1" applyFont="1" applyFill="1" applyBorder="1" applyAlignment="1">
      <alignment horizontal="center" vertical="center"/>
    </xf>
    <xf numFmtId="187" fontId="86" fillId="17" borderId="90" xfId="0" applyNumberFormat="1" applyFont="1" applyFill="1" applyBorder="1" applyAlignment="1">
      <alignment horizontal="center" vertical="center"/>
    </xf>
    <xf numFmtId="187" fontId="34" fillId="42" borderId="91" xfId="0" applyNumberFormat="1" applyFont="1" applyFill="1" applyBorder="1" applyAlignment="1">
      <alignment horizontal="center" vertical="center"/>
    </xf>
    <xf numFmtId="198" fontId="29" fillId="9" borderId="0" xfId="0" applyNumberFormat="1" applyFont="1" applyFill="1" applyAlignment="1">
      <alignment horizontal="right" vertical="center"/>
    </xf>
    <xf numFmtId="198" fontId="29" fillId="9" borderId="117" xfId="0" applyNumberFormat="1" applyFont="1" applyFill="1" applyBorder="1" applyAlignment="1">
      <alignment horizontal="right" vertical="center"/>
    </xf>
    <xf numFmtId="198" fontId="34" fillId="17" borderId="0" xfId="0" applyNumberFormat="1" applyFont="1" applyFill="1" applyAlignment="1">
      <alignment horizontal="right" vertical="center"/>
    </xf>
    <xf numFmtId="166" fontId="68" fillId="17" borderId="122" xfId="0" applyNumberFormat="1" applyFont="1" applyFill="1" applyBorder="1" applyAlignment="1">
      <alignment horizontal="right" vertical="center"/>
    </xf>
    <xf numFmtId="0" fontId="26" fillId="12" borderId="0" xfId="0" applyNumberFormat="1" applyFont="1" applyFill="1" applyAlignment="1">
      <alignment vertical="center"/>
    </xf>
    <xf numFmtId="0" fontId="27" fillId="12" borderId="0" xfId="0" applyNumberFormat="1" applyFont="1" applyFill="1" applyAlignment="1">
      <alignment vertical="center"/>
    </xf>
    <xf numFmtId="0" fontId="28" fillId="13" borderId="0" xfId="0" applyNumberFormat="1" applyFont="1" applyFill="1" applyAlignment="1">
      <alignment vertical="center"/>
    </xf>
    <xf numFmtId="0" fontId="28" fillId="13" borderId="0" xfId="0" applyNumberFormat="1" applyFont="1" applyFill="1" applyAlignment="1">
      <alignment horizontal="right" vertical="center"/>
    </xf>
    <xf numFmtId="0" fontId="28" fillId="17" borderId="0" xfId="0" applyNumberFormat="1" applyFont="1" applyFill="1" applyAlignment="1">
      <alignment vertical="center"/>
    </xf>
    <xf numFmtId="0" fontId="32" fillId="13" borderId="84" xfId="0" applyNumberFormat="1" applyFont="1" applyFill="1" applyBorder="1" applyAlignment="1">
      <alignment horizontal="center" vertical="center"/>
    </xf>
    <xf numFmtId="211" fontId="33" fillId="9" borderId="0" xfId="0" applyNumberFormat="1" applyFont="1" applyFill="1" applyAlignment="1">
      <alignment horizontal="right" vertical="center"/>
    </xf>
    <xf numFmtId="0" fontId="33" fillId="9" borderId="85" xfId="0" applyNumberFormat="1" applyFont="1" applyFill="1" applyBorder="1" applyAlignment="1">
      <alignment horizontal="left" vertical="center"/>
    </xf>
    <xf numFmtId="0" fontId="32" fillId="39" borderId="86" xfId="0" applyNumberFormat="1" applyFont="1" applyFill="1" applyBorder="1" applyAlignment="1">
      <alignment horizontal="left" vertical="center"/>
    </xf>
    <xf numFmtId="212" fontId="32" fillId="9" borderId="0" xfId="0" applyNumberFormat="1" applyFont="1" applyFill="1" applyAlignment="1">
      <alignment horizontal="right" vertical="center"/>
    </xf>
    <xf numFmtId="0" fontId="32" fillId="17" borderId="87" xfId="0" applyNumberFormat="1" applyFont="1" applyFill="1" applyBorder="1" applyAlignment="1">
      <alignment horizontal="left" vertical="center"/>
    </xf>
    <xf numFmtId="0" fontId="34" fillId="40" borderId="88" xfId="0" applyNumberFormat="1" applyFont="1" applyFill="1" applyBorder="1" applyAlignment="1">
      <alignment horizontal="left" vertical="center"/>
    </xf>
    <xf numFmtId="0" fontId="32" fillId="39" borderId="89" xfId="0" applyNumberFormat="1" applyFont="1" applyFill="1" applyBorder="1" applyAlignment="1">
      <alignment horizontal="left" vertical="center"/>
    </xf>
    <xf numFmtId="0" fontId="27" fillId="9" borderId="0" xfId="8" applyNumberFormat="1" applyFont="1" applyFill="1" applyAlignment="1">
      <alignment horizontal="left" vertical="center"/>
    </xf>
    <xf numFmtId="0" fontId="27" fillId="9" borderId="0" xfId="8" applyNumberFormat="1" applyFont="1" applyFill="1" applyAlignment="1">
      <alignment vertical="center"/>
    </xf>
    <xf numFmtId="214" fontId="27" fillId="9" borderId="0" xfId="9" applyNumberFormat="1" applyFont="1" applyFill="1" applyAlignment="1">
      <alignment vertical="center"/>
    </xf>
    <xf numFmtId="9" fontId="40" fillId="9" borderId="0" xfId="10" applyNumberFormat="1" applyFont="1" applyFill="1" applyAlignment="1">
      <alignment vertical="center"/>
    </xf>
    <xf numFmtId="9" fontId="28" fillId="9" borderId="12" xfId="10" applyNumberFormat="1" applyFont="1" applyFill="1" applyBorder="1" applyAlignment="1">
      <alignment vertical="center"/>
    </xf>
    <xf numFmtId="0" fontId="40" fillId="9" borderId="0" xfId="8" applyNumberFormat="1" applyFont="1" applyFill="1" applyAlignment="1">
      <alignment vertical="center"/>
    </xf>
    <xf numFmtId="210" fontId="36" fillId="9" borderId="0" xfId="8" applyNumberFormat="1" applyFont="1" applyFill="1" applyAlignment="1">
      <alignment horizontal="right" vertical="center"/>
    </xf>
    <xf numFmtId="0" fontId="27" fillId="9" borderId="0" xfId="8" applyNumberFormat="1" applyFont="1" applyFill="1" applyAlignment="1">
      <alignment horizontal="right" vertical="center"/>
    </xf>
    <xf numFmtId="0" fontId="28" fillId="9" borderId="12" xfId="8" applyNumberFormat="1" applyFont="1" applyFill="1" applyBorder="1" applyAlignment="1">
      <alignment horizontal="left" vertical="center"/>
    </xf>
    <xf numFmtId="0" fontId="37" fillId="9" borderId="0" xfId="8" applyNumberFormat="1" applyFont="1" applyFill="1" applyAlignment="1">
      <alignment horizontal="left" vertical="center"/>
    </xf>
    <xf numFmtId="0" fontId="38" fillId="9" borderId="12" xfId="8" applyNumberFormat="1" applyFont="1" applyFill="1" applyBorder="1" applyAlignment="1">
      <alignment horizontal="left" vertical="center"/>
    </xf>
    <xf numFmtId="0" fontId="39" fillId="9" borderId="0" xfId="8" applyNumberFormat="1" applyFont="1" applyFill="1" applyAlignment="1">
      <alignment horizontal="left" vertical="center"/>
    </xf>
    <xf numFmtId="0" fontId="26" fillId="2" borderId="1" xfId="0" applyNumberFormat="1" applyFont="1" applyFill="1" applyBorder="1" applyAlignment="1">
      <alignment vertical="center"/>
    </xf>
    <xf numFmtId="0" fontId="33" fillId="7" borderId="7" xfId="0" applyNumberFormat="1" applyFont="1" applyFill="1" applyBorder="1" applyAlignment="1">
      <alignment horizontal="left" vertical="center"/>
    </xf>
    <xf numFmtId="213" fontId="33" fillId="7" borderId="7" xfId="1" applyNumberFormat="1" applyFont="1" applyFill="1" applyBorder="1" applyAlignment="1">
      <alignment horizontal="right" vertical="center"/>
    </xf>
    <xf numFmtId="0" fontId="33" fillId="7" borderId="2" xfId="0" applyNumberFormat="1" applyFont="1" applyFill="1" applyBorder="1" applyAlignment="1">
      <alignment horizontal="left" vertical="center"/>
    </xf>
    <xf numFmtId="213" fontId="33" fillId="7" borderId="2" xfId="1" applyNumberFormat="1" applyFont="1" applyFill="1" applyBorder="1" applyAlignment="1">
      <alignment horizontal="right" vertical="center"/>
    </xf>
    <xf numFmtId="0" fontId="26" fillId="2" borderId="1" xfId="0" applyNumberFormat="1" applyFont="1" applyFill="1" applyBorder="1" applyAlignment="1">
      <alignment vertical="center"/>
    </xf>
    <xf numFmtId="0" fontId="26" fillId="2" borderId="0" xfId="0" applyNumberFormat="1" applyFont="1" applyFill="1" applyAlignment="1">
      <alignment vertical="center"/>
    </xf>
    <xf numFmtId="0" fontId="26" fillId="2" borderId="0" xfId="0" applyNumberFormat="1" applyFont="1" applyFill="1" applyAlignment="1">
      <alignment horizontal="center" vertical="center"/>
    </xf>
    <xf numFmtId="0" fontId="33" fillId="7" borderId="0" xfId="0" applyNumberFormat="1" applyFont="1" applyFill="1" applyAlignment="1">
      <alignment vertical="center"/>
    </xf>
    <xf numFmtId="213" fontId="33" fillId="7" borderId="0" xfId="0" applyNumberFormat="1" applyFont="1" applyFill="1" applyAlignment="1">
      <alignment horizontal="right" vertical="center"/>
    </xf>
    <xf numFmtId="0" fontId="26" fillId="18" borderId="0" xfId="0" applyNumberFormat="1" applyFont="1" applyFill="1" applyAlignment="1">
      <alignment vertical="center"/>
    </xf>
    <xf numFmtId="0" fontId="26" fillId="18" borderId="0" xfId="0" applyNumberFormat="1" applyFont="1" applyFill="1" applyAlignment="1">
      <alignment horizontal="center" vertical="center"/>
    </xf>
    <xf numFmtId="0" fontId="26" fillId="15" borderId="0" xfId="0" applyNumberFormat="1" applyFont="1" applyFill="1" applyAlignment="1">
      <alignment horizontal="center" vertical="center"/>
    </xf>
    <xf numFmtId="0" fontId="26" fillId="2" borderId="2" xfId="0" applyNumberFormat="1" applyFont="1" applyFill="1" applyBorder="1" applyAlignment="1">
      <alignment horizontal="left" vertical="center"/>
    </xf>
    <xf numFmtId="0" fontId="46" fillId="2" borderId="0" xfId="0" applyNumberFormat="1" applyFont="1" applyFill="1" applyAlignment="1">
      <alignment vertical="center"/>
    </xf>
    <xf numFmtId="0" fontId="26" fillId="3" borderId="3" xfId="0" applyNumberFormat="1" applyFont="1" applyFill="1" applyBorder="1" applyAlignment="1">
      <alignment horizontal="center" vertical="center"/>
    </xf>
    <xf numFmtId="0" fontId="26" fillId="2" borderId="3" xfId="0" applyNumberFormat="1" applyFont="1" applyFill="1" applyBorder="1" applyAlignment="1">
      <alignment horizontal="center" vertical="center"/>
    </xf>
    <xf numFmtId="0" fontId="32" fillId="4" borderId="4" xfId="0" applyNumberFormat="1" applyFont="1" applyFill="1" applyBorder="1" applyAlignment="1">
      <alignment horizontal="left" vertical="center"/>
    </xf>
    <xf numFmtId="0" fontId="32" fillId="4" borderId="4" xfId="0" applyNumberFormat="1" applyFont="1" applyFill="1" applyBorder="1" applyAlignment="1">
      <alignment horizontal="right" vertical="center"/>
    </xf>
    <xf numFmtId="0" fontId="51" fillId="6" borderId="3" xfId="0" applyNumberFormat="1" applyFont="1" applyFill="1" applyBorder="1" applyAlignment="1">
      <alignment horizontal="center" vertical="center"/>
    </xf>
    <xf numFmtId="0" fontId="33" fillId="6" borderId="3" xfId="0" applyNumberFormat="1" applyFont="1" applyFill="1" applyBorder="1" applyAlignment="1">
      <alignment horizontal="center" vertical="center"/>
    </xf>
    <xf numFmtId="0" fontId="48" fillId="17" borderId="58" xfId="0" applyNumberFormat="1" applyFont="1" applyFill="1" applyBorder="1" applyAlignment="1">
      <alignment horizontal="center" vertical="center"/>
    </xf>
    <xf numFmtId="0" fontId="48" fillId="17" borderId="54" xfId="0" applyNumberFormat="1" applyFont="1" applyFill="1" applyBorder="1" applyAlignment="1">
      <alignment horizontal="center" vertical="center"/>
    </xf>
    <xf numFmtId="213" fontId="33" fillId="17" borderId="54" xfId="0" applyNumberFormat="1" applyFont="1" applyFill="1" applyBorder="1" applyAlignment="1">
      <alignment horizontal="center" vertical="center"/>
    </xf>
    <xf numFmtId="213" fontId="33" fillId="17" borderId="61" xfId="0" applyNumberFormat="1" applyFont="1" applyFill="1" applyBorder="1" applyAlignment="1">
      <alignment horizontal="center" vertical="center"/>
    </xf>
    <xf numFmtId="0" fontId="33" fillId="9" borderId="0" xfId="0" applyNumberFormat="1" applyFont="1" applyFill="1" applyAlignment="1">
      <alignment horizontal="left" vertical="center"/>
    </xf>
    <xf numFmtId="213" fontId="36" fillId="9" borderId="0" xfId="0" applyNumberFormat="1" applyFont="1" applyFill="1" applyAlignment="1">
      <alignment horizontal="right" vertical="center"/>
    </xf>
    <xf numFmtId="210" fontId="36" fillId="9" borderId="0" xfId="0" applyNumberFormat="1" applyFont="1" applyFill="1" applyAlignment="1">
      <alignment horizontal="right" vertical="center"/>
    </xf>
    <xf numFmtId="0" fontId="32" fillId="4" borderId="9" xfId="0" applyNumberFormat="1" applyFont="1" applyFill="1" applyBorder="1" applyAlignment="1">
      <alignment vertical="center"/>
    </xf>
    <xf numFmtId="0" fontId="32" fillId="4" borderId="9" xfId="0" applyNumberFormat="1" applyFont="1" applyFill="1" applyBorder="1" applyAlignment="1">
      <alignment horizontal="center" vertical="center"/>
    </xf>
    <xf numFmtId="213" fontId="50" fillId="4" borderId="9" xfId="0" applyNumberFormat="1" applyFont="1" applyFill="1" applyBorder="1" applyAlignment="1">
      <alignment horizontal="right" vertical="center"/>
    </xf>
    <xf numFmtId="0" fontId="32" fillId="4" borderId="0" xfId="0" applyNumberFormat="1" applyFont="1" applyFill="1" applyAlignment="1">
      <alignment vertical="center"/>
    </xf>
    <xf numFmtId="0" fontId="32" fillId="4" borderId="0" xfId="0" applyNumberFormat="1" applyFont="1" applyFill="1" applyAlignment="1">
      <alignment horizontal="center" vertical="center"/>
    </xf>
    <xf numFmtId="0" fontId="46" fillId="4" borderId="9" xfId="0" applyNumberFormat="1" applyFont="1" applyFill="1" applyBorder="1" applyAlignment="1">
      <alignment horizontal="center" vertical="center"/>
    </xf>
    <xf numFmtId="0" fontId="53" fillId="9" borderId="0" xfId="0" applyNumberFormat="1" applyFont="1" applyFill="1" applyAlignment="1">
      <alignment horizontal="left" vertical="center"/>
    </xf>
    <xf numFmtId="0" fontId="33" fillId="9" borderId="15" xfId="0" applyNumberFormat="1" applyFont="1" applyFill="1" applyBorder="1" applyAlignment="1">
      <alignment horizontal="left" vertical="center"/>
    </xf>
    <xf numFmtId="0" fontId="32" fillId="9" borderId="0" xfId="0" applyNumberFormat="1" applyFont="1" applyFill="1" applyAlignment="1">
      <alignment horizontal="left" vertical="center"/>
    </xf>
    <xf numFmtId="0" fontId="54" fillId="11" borderId="0" xfId="0" applyNumberFormat="1" applyFont="1" applyFill="1" applyAlignment="1">
      <alignment horizontal="left" vertical="center"/>
    </xf>
    <xf numFmtId="0" fontId="54" fillId="9" borderId="0" xfId="0" applyNumberFormat="1" applyFont="1" applyFill="1" applyAlignment="1">
      <alignment horizontal="left" vertical="center"/>
    </xf>
    <xf numFmtId="0" fontId="53" fillId="9" borderId="19" xfId="0" applyNumberFormat="1" applyFont="1" applyFill="1" applyBorder="1" applyAlignment="1">
      <alignment horizontal="left" vertical="center"/>
    </xf>
    <xf numFmtId="0" fontId="56" fillId="9" borderId="77" xfId="0" applyNumberFormat="1" applyFont="1" applyFill="1" applyBorder="1" applyAlignment="1">
      <alignment horizontal="left" vertical="center"/>
    </xf>
    <xf numFmtId="0" fontId="53" fillId="10" borderId="17" xfId="0" applyNumberFormat="1" applyFont="1" applyFill="1" applyBorder="1" applyAlignment="1">
      <alignment horizontal="left" vertical="center"/>
    </xf>
    <xf numFmtId="0" fontId="56" fillId="9" borderId="79" xfId="0" applyNumberFormat="1" applyFont="1" applyFill="1" applyBorder="1" applyAlignment="1">
      <alignment horizontal="left" vertical="center"/>
    </xf>
    <xf numFmtId="0" fontId="32" fillId="9" borderId="81" xfId="0" applyNumberFormat="1" applyFont="1" applyFill="1" applyBorder="1" applyAlignment="1">
      <alignment horizontal="left" vertical="center"/>
    </xf>
    <xf numFmtId="0" fontId="53" fillId="10" borderId="20" xfId="0" applyNumberFormat="1" applyFont="1" applyFill="1" applyBorder="1" applyAlignment="1">
      <alignment horizontal="left" vertical="center"/>
    </xf>
    <xf numFmtId="0" fontId="53" fillId="9" borderId="22" xfId="0" applyNumberFormat="1" applyFont="1" applyFill="1" applyBorder="1" applyAlignment="1">
      <alignment horizontal="left" vertical="center"/>
    </xf>
    <xf numFmtId="0" fontId="53" fillId="10" borderId="21" xfId="0" applyNumberFormat="1" applyFont="1" applyFill="1" applyBorder="1" applyAlignment="1">
      <alignment horizontal="left" vertical="center"/>
    </xf>
    <xf numFmtId="0" fontId="53" fillId="10" borderId="23" xfId="0" applyNumberFormat="1" applyFont="1" applyFill="1" applyBorder="1" applyAlignment="1">
      <alignment horizontal="left" vertical="center"/>
    </xf>
    <xf numFmtId="0" fontId="26" fillId="12" borderId="0" xfId="0" applyNumberFormat="1" applyFont="1" applyFill="1" applyAlignment="1">
      <alignment horizontal="left" vertical="center"/>
    </xf>
    <xf numFmtId="0" fontId="29" fillId="9" borderId="0" xfId="0" applyNumberFormat="1" applyFont="1" applyFill="1" applyAlignment="1">
      <alignment horizontal="center" vertical="center"/>
    </xf>
    <xf numFmtId="0" fontId="34" fillId="9" borderId="0" xfId="0" applyNumberFormat="1" applyFont="1" applyFill="1" applyAlignment="1">
      <alignment horizontal="center" vertical="center"/>
    </xf>
    <xf numFmtId="0" fontId="26" fillId="12" borderId="0" xfId="0" applyNumberFormat="1" applyFont="1" applyFill="1" applyAlignment="1">
      <alignment horizontal="right" vertical="center"/>
    </xf>
    <xf numFmtId="213" fontId="29" fillId="22" borderId="0" xfId="0" applyNumberFormat="1" applyFont="1" applyFill="1" applyAlignment="1">
      <alignment horizontal="right" vertical="center"/>
    </xf>
    <xf numFmtId="213" fontId="33" fillId="9" borderId="0" xfId="0" applyNumberFormat="1" applyFont="1" applyFill="1" applyAlignment="1">
      <alignment horizontal="right" vertical="center"/>
    </xf>
    <xf numFmtId="216" fontId="33" fillId="9" borderId="0" xfId="0" applyNumberFormat="1" applyFont="1" applyFill="1" applyAlignment="1">
      <alignment horizontal="right" vertical="center"/>
    </xf>
    <xf numFmtId="0" fontId="50" fillId="38" borderId="0" xfId="0" applyNumberFormat="1" applyFont="1" applyFill="1" applyAlignment="1">
      <alignment horizontal="center" vertical="center"/>
    </xf>
    <xf numFmtId="0" fontId="33" fillId="9" borderId="0" xfId="0" applyNumberFormat="1" applyFont="1" applyFill="1" applyAlignment="1">
      <alignment horizontal="right" vertical="center"/>
    </xf>
    <xf numFmtId="0" fontId="33" fillId="9" borderId="0" xfId="0" applyNumberFormat="1" applyFont="1" applyFill="1" applyAlignment="1">
      <alignment vertical="center"/>
    </xf>
    <xf numFmtId="0" fontId="32" fillId="9" borderId="14" xfId="0" applyNumberFormat="1" applyFont="1" applyFill="1" applyBorder="1" applyAlignment="1">
      <alignment horizontal="left" vertical="center"/>
    </xf>
    <xf numFmtId="0" fontId="32" fillId="9" borderId="14" xfId="0" applyNumberFormat="1" applyFont="1" applyFill="1" applyBorder="1" applyAlignment="1">
      <alignment horizontal="right" vertical="center"/>
    </xf>
    <xf numFmtId="213" fontId="32" fillId="9" borderId="14" xfId="0" applyNumberFormat="1" applyFont="1" applyFill="1" applyBorder="1" applyAlignment="1">
      <alignment horizontal="right" vertical="center"/>
    </xf>
    <xf numFmtId="0" fontId="61" fillId="9" borderId="48" xfId="0" applyNumberFormat="1" applyFont="1" applyFill="1" applyBorder="1" applyAlignment="1">
      <alignment horizontal="left" vertical="center"/>
    </xf>
    <xf numFmtId="0" fontId="61" fillId="9" borderId="48" xfId="0" applyNumberFormat="1" applyFont="1" applyFill="1" applyBorder="1" applyAlignment="1">
      <alignment horizontal="right" vertical="center"/>
    </xf>
    <xf numFmtId="213" fontId="31" fillId="9" borderId="0" xfId="0" applyNumberFormat="1" applyFont="1" applyFill="1" applyAlignment="1">
      <alignment horizontal="right" vertical="center"/>
    </xf>
    <xf numFmtId="213" fontId="29" fillId="9" borderId="14" xfId="0" applyNumberFormat="1" applyFont="1" applyFill="1" applyBorder="1" applyAlignment="1">
      <alignment horizontal="right" vertical="center"/>
    </xf>
    <xf numFmtId="0" fontId="32" fillId="9" borderId="0" xfId="0" applyNumberFormat="1" applyFont="1" applyFill="1" applyAlignment="1">
      <alignment horizontal="right" vertical="center"/>
    </xf>
    <xf numFmtId="213" fontId="29" fillId="9" borderId="0" xfId="0" applyNumberFormat="1" applyFont="1" applyFill="1" applyAlignment="1">
      <alignment horizontal="right" vertical="center"/>
    </xf>
    <xf numFmtId="213" fontId="32" fillId="9" borderId="0" xfId="0" applyNumberFormat="1" applyFont="1" applyFill="1" applyAlignment="1">
      <alignment horizontal="right" vertical="center"/>
    </xf>
    <xf numFmtId="213" fontId="33" fillId="26" borderId="0" xfId="0" applyNumberFormat="1" applyFont="1" applyFill="1" applyAlignment="1">
      <alignment horizontal="right" vertical="center"/>
    </xf>
    <xf numFmtId="213" fontId="32" fillId="26" borderId="0" xfId="0" applyNumberFormat="1" applyFont="1" applyFill="1" applyAlignment="1">
      <alignment horizontal="right" vertical="center"/>
    </xf>
    <xf numFmtId="0" fontId="32" fillId="9" borderId="33" xfId="0" applyNumberFormat="1" applyFont="1" applyFill="1" applyBorder="1" applyAlignment="1">
      <alignment horizontal="left" vertical="center"/>
    </xf>
    <xf numFmtId="0" fontId="32" fillId="9" borderId="33" xfId="0" applyNumberFormat="1" applyFont="1" applyFill="1" applyBorder="1" applyAlignment="1">
      <alignment horizontal="right" vertical="center"/>
    </xf>
    <xf numFmtId="213" fontId="32" fillId="9" borderId="33" xfId="0" applyNumberFormat="1" applyFont="1" applyFill="1" applyBorder="1" applyAlignment="1">
      <alignment horizontal="right" vertical="center"/>
    </xf>
    <xf numFmtId="0" fontId="29" fillId="14" borderId="0" xfId="0" applyNumberFormat="1" applyFont="1" applyFill="1" applyAlignment="1">
      <alignment horizontal="left" vertical="center"/>
    </xf>
    <xf numFmtId="0" fontId="29" fillId="14" borderId="0" xfId="0" applyNumberFormat="1" applyFont="1" applyFill="1" applyAlignment="1">
      <alignment horizontal="right" vertical="center"/>
    </xf>
    <xf numFmtId="0" fontId="53" fillId="9" borderId="47" xfId="0" applyNumberFormat="1" applyFont="1" applyFill="1" applyBorder="1" applyAlignment="1">
      <alignment horizontal="left" vertical="center"/>
    </xf>
    <xf numFmtId="0" fontId="53" fillId="9" borderId="47" xfId="0" applyNumberFormat="1" applyFont="1" applyFill="1" applyBorder="1" applyAlignment="1">
      <alignment horizontal="right" vertical="center"/>
    </xf>
    <xf numFmtId="0" fontId="61" fillId="9" borderId="0" xfId="0" applyNumberFormat="1" applyFont="1" applyFill="1" applyAlignment="1">
      <alignment horizontal="left" vertical="center"/>
    </xf>
    <xf numFmtId="0" fontId="61" fillId="9" borderId="0" xfId="0" applyNumberFormat="1" applyFont="1" applyFill="1" applyAlignment="1">
      <alignment horizontal="right" vertical="center"/>
    </xf>
    <xf numFmtId="0" fontId="62" fillId="9" borderId="52" xfId="0" applyNumberFormat="1" applyFont="1" applyFill="1" applyBorder="1" applyAlignment="1">
      <alignment horizontal="left" vertical="center"/>
    </xf>
    <xf numFmtId="0" fontId="62" fillId="9" borderId="52" xfId="0" applyNumberFormat="1" applyFont="1" applyFill="1" applyBorder="1" applyAlignment="1">
      <alignment horizontal="right" vertical="center"/>
    </xf>
    <xf numFmtId="0" fontId="61" fillId="9" borderId="51" xfId="0" applyNumberFormat="1" applyFont="1" applyFill="1" applyBorder="1" applyAlignment="1">
      <alignment horizontal="left" vertical="center"/>
    </xf>
    <xf numFmtId="0" fontId="61" fillId="9" borderId="51" xfId="0" applyNumberFormat="1" applyFont="1" applyFill="1" applyBorder="1" applyAlignment="1">
      <alignment horizontal="right" vertical="center"/>
    </xf>
    <xf numFmtId="210" fontId="33" fillId="9" borderId="0" xfId="0" applyNumberFormat="1" applyFont="1" applyFill="1" applyAlignment="1">
      <alignment horizontal="right" vertical="center"/>
    </xf>
    <xf numFmtId="213" fontId="33" fillId="9" borderId="0" xfId="0" applyNumberFormat="1" applyFont="1" applyFill="1" applyAlignment="1">
      <alignment horizontal="left" vertical="center"/>
    </xf>
    <xf numFmtId="0" fontId="62" fillId="9" borderId="0" xfId="0" applyNumberFormat="1" applyFont="1" applyFill="1" applyAlignment="1">
      <alignment horizontal="left" vertical="center"/>
    </xf>
    <xf numFmtId="0" fontId="62" fillId="9" borderId="0" xfId="0" applyNumberFormat="1" applyFont="1" applyFill="1" applyAlignment="1">
      <alignment horizontal="right" vertical="center"/>
    </xf>
    <xf numFmtId="0" fontId="61" fillId="9" borderId="52" xfId="0" applyNumberFormat="1" applyFont="1" applyFill="1" applyBorder="1" applyAlignment="1">
      <alignment horizontal="left" vertical="center"/>
    </xf>
    <xf numFmtId="0" fontId="61" fillId="9" borderId="52" xfId="0" applyNumberFormat="1" applyFont="1" applyFill="1" applyBorder="1" applyAlignment="1">
      <alignment horizontal="right" vertical="center"/>
    </xf>
    <xf numFmtId="0" fontId="61" fillId="9" borderId="50" xfId="0" applyNumberFormat="1" applyFont="1" applyFill="1" applyBorder="1" applyAlignment="1">
      <alignment horizontal="left" vertical="center"/>
    </xf>
    <xf numFmtId="0" fontId="61" fillId="9" borderId="50" xfId="0" applyNumberFormat="1" applyFont="1" applyFill="1" applyBorder="1" applyAlignment="1">
      <alignment horizontal="right" vertical="center"/>
    </xf>
    <xf numFmtId="0" fontId="50" fillId="9" borderId="0" xfId="0" applyNumberFormat="1" applyFont="1" applyFill="1" applyAlignment="1">
      <alignment horizontal="left" vertical="center"/>
    </xf>
    <xf numFmtId="0" fontId="28" fillId="19" borderId="0" xfId="0" applyNumberFormat="1" applyFont="1" applyFill="1" applyAlignment="1">
      <alignment horizontal="left" vertical="center"/>
    </xf>
    <xf numFmtId="0" fontId="28" fillId="20" borderId="0" xfId="0" applyNumberFormat="1" applyFont="1" applyFill="1" applyAlignment="1">
      <alignment horizontal="left" vertical="center"/>
    </xf>
    <xf numFmtId="0" fontId="28" fillId="19" borderId="0" xfId="0" applyNumberFormat="1" applyFont="1" applyFill="1" applyAlignment="1">
      <alignment vertical="center"/>
    </xf>
    <xf numFmtId="0" fontId="28" fillId="20" borderId="0" xfId="0" applyNumberFormat="1" applyFont="1" applyFill="1" applyAlignment="1">
      <alignment vertical="center"/>
    </xf>
    <xf numFmtId="0" fontId="68" fillId="18" borderId="0" xfId="0" applyNumberFormat="1" applyFont="1" applyFill="1" applyAlignment="1">
      <alignment vertical="center"/>
    </xf>
    <xf numFmtId="0" fontId="68" fillId="18" borderId="0" xfId="0" applyNumberFormat="1" applyFont="1" applyFill="1" applyAlignment="1">
      <alignment horizontal="center" vertical="center"/>
    </xf>
    <xf numFmtId="0" fontId="68" fillId="8" borderId="0" xfId="0" applyNumberFormat="1" applyFont="1" applyFill="1" applyAlignment="1">
      <alignment vertical="center"/>
    </xf>
    <xf numFmtId="0" fontId="68" fillId="20" borderId="0" xfId="0" applyNumberFormat="1" applyFont="1" applyFill="1" applyAlignment="1">
      <alignment vertical="center"/>
    </xf>
    <xf numFmtId="0" fontId="68" fillId="21" borderId="0" xfId="0" applyNumberFormat="1" applyFont="1" applyFill="1" applyAlignment="1">
      <alignment vertical="center"/>
    </xf>
    <xf numFmtId="0" fontId="26" fillId="23" borderId="64" xfId="0" applyNumberFormat="1" applyFont="1" applyFill="1" applyBorder="1" applyAlignment="1">
      <alignment horizontal="left" vertical="center"/>
    </xf>
    <xf numFmtId="0" fontId="73" fillId="23" borderId="64" xfId="0" applyNumberFormat="1" applyFont="1" applyFill="1" applyBorder="1" applyAlignment="1">
      <alignment horizontal="right" vertical="center"/>
    </xf>
    <xf numFmtId="0" fontId="28" fillId="24" borderId="0" xfId="0" applyNumberFormat="1" applyFont="1" applyFill="1" applyAlignment="1">
      <alignment vertical="center"/>
    </xf>
    <xf numFmtId="0" fontId="28" fillId="25" borderId="0" xfId="0" applyNumberFormat="1" applyFont="1" applyFill="1" applyAlignment="1">
      <alignment vertical="center"/>
    </xf>
    <xf numFmtId="0" fontId="26" fillId="23" borderId="0" xfId="0" applyNumberFormat="1" applyFont="1" applyFill="1" applyAlignment="1">
      <alignment horizontal="center" vertical="center"/>
    </xf>
    <xf numFmtId="0" fontId="27" fillId="34" borderId="0" xfId="0" applyNumberFormat="1" applyFont="1" applyFill="1" applyAlignment="1">
      <alignment vertical="center"/>
    </xf>
    <xf numFmtId="0" fontId="30" fillId="30" borderId="0" xfId="0" applyNumberFormat="1" applyFont="1" applyFill="1" applyAlignment="1">
      <alignment vertical="center"/>
    </xf>
    <xf numFmtId="0" fontId="30" fillId="31" borderId="0" xfId="0" applyNumberFormat="1" applyFont="1" applyFill="1" applyAlignment="1">
      <alignment vertical="center"/>
    </xf>
    <xf numFmtId="0" fontId="30" fillId="32" borderId="0" xfId="0" applyNumberFormat="1" applyFont="1" applyFill="1" applyAlignment="1">
      <alignment vertical="center"/>
    </xf>
    <xf numFmtId="0" fontId="75" fillId="33" borderId="0" xfId="0" applyNumberFormat="1" applyFont="1" applyFill="1" applyAlignment="1">
      <alignment vertical="center"/>
    </xf>
    <xf numFmtId="0" fontId="27" fillId="28" borderId="0" xfId="0" applyNumberFormat="1" applyFont="1" applyFill="1" applyAlignment="1">
      <alignment vertical="center"/>
    </xf>
    <xf numFmtId="0" fontId="26" fillId="15" borderId="93" xfId="11" applyNumberFormat="1" applyFont="1" applyFill="1" applyBorder="1" applyAlignment="1">
      <alignment horizontal="center" vertical="center"/>
    </xf>
    <xf numFmtId="0" fontId="26" fillId="15" borderId="82" xfId="11" applyNumberFormat="1" applyFont="1" applyFill="1" applyBorder="1" applyAlignment="1">
      <alignment horizontal="center" vertical="center"/>
    </xf>
    <xf numFmtId="0" fontId="32" fillId="41" borderId="0" xfId="11" applyNumberFormat="1" applyFont="1" applyFill="1" applyAlignment="1">
      <alignment horizontal="left" vertical="center"/>
    </xf>
    <xf numFmtId="0" fontId="61" fillId="9" borderId="0" xfId="11" applyNumberFormat="1" applyFont="1" applyFill="1" applyAlignment="1">
      <alignment horizontal="left" vertical="center"/>
    </xf>
    <xf numFmtId="0" fontId="33" fillId="9" borderId="0" xfId="11" applyNumberFormat="1" applyFont="1" applyFill="1" applyAlignment="1">
      <alignment horizontal="left" vertical="center"/>
    </xf>
    <xf numFmtId="0" fontId="32" fillId="9" borderId="0" xfId="11" applyNumberFormat="1" applyFont="1" applyFill="1" applyAlignment="1">
      <alignment horizontal="left" vertical="center"/>
    </xf>
    <xf numFmtId="0" fontId="32" fillId="9" borderId="107" xfId="11" applyNumberFormat="1" applyFont="1" applyFill="1" applyBorder="1" applyAlignment="1">
      <alignment horizontal="left" vertical="center"/>
    </xf>
    <xf numFmtId="0" fontId="61" fillId="9" borderId="107" xfId="11" applyNumberFormat="1" applyFont="1" applyFill="1" applyBorder="1" applyAlignment="1">
      <alignment horizontal="left" vertical="center"/>
    </xf>
    <xf numFmtId="0" fontId="32" fillId="9" borderId="106" xfId="11" applyNumberFormat="1" applyFont="1" applyFill="1" applyBorder="1" applyAlignment="1">
      <alignment horizontal="left" vertical="center"/>
    </xf>
    <xf numFmtId="0" fontId="61" fillId="9" borderId="106" xfId="11" applyNumberFormat="1" applyFont="1" applyFill="1" applyBorder="1" applyAlignment="1">
      <alignment horizontal="left" vertical="center"/>
    </xf>
    <xf numFmtId="0" fontId="32" fillId="13" borderId="107" xfId="11" applyNumberFormat="1" applyFont="1" applyFill="1" applyBorder="1" applyAlignment="1">
      <alignment horizontal="center" vertical="center"/>
    </xf>
    <xf numFmtId="0" fontId="83" fillId="43" borderId="0" xfId="0" applyNumberFormat="1" applyFont="1" applyFill="1" applyAlignment="1">
      <alignment horizontal="left" vertical="center"/>
    </xf>
    <xf numFmtId="0" fontId="80" fillId="43" borderId="0" xfId="0" applyNumberFormat="1" applyFont="1" applyFill="1" applyAlignment="1">
      <alignment horizontal="right" vertical="center"/>
    </xf>
    <xf numFmtId="0" fontId="80" fillId="43" borderId="111" xfId="0" applyNumberFormat="1" applyFont="1" applyFill="1" applyBorder="1" applyAlignment="1">
      <alignment horizontal="left" vertical="center"/>
    </xf>
    <xf numFmtId="0" fontId="80" fillId="43" borderId="112" xfId="0" applyNumberFormat="1" applyFont="1" applyFill="1" applyBorder="1" applyAlignment="1">
      <alignment horizontal="left" vertical="center"/>
    </xf>
    <xf numFmtId="0" fontId="78" fillId="44" borderId="113" xfId="0" applyNumberFormat="1" applyFont="1" applyFill="1" applyBorder="1" applyAlignment="1">
      <alignment horizontal="left" vertical="center"/>
    </xf>
    <xf numFmtId="0" fontId="80" fillId="43" borderId="0" xfId="0" applyNumberFormat="1" applyFont="1" applyFill="1" applyAlignment="1">
      <alignment horizontal="left" vertical="center"/>
    </xf>
    <xf numFmtId="0" fontId="78" fillId="43" borderId="112" xfId="0" applyNumberFormat="1" applyFont="1" applyFill="1" applyBorder="1" applyAlignment="1">
      <alignment horizontal="left" vertical="center"/>
    </xf>
    <xf numFmtId="0" fontId="78" fillId="43" borderId="0" xfId="0" applyNumberFormat="1" applyFont="1" applyFill="1" applyAlignment="1">
      <alignment horizontal="left" vertical="center"/>
    </xf>
    <xf numFmtId="0" fontId="78" fillId="44" borderId="114" xfId="11" applyNumberFormat="1" applyFont="1" applyFill="1" applyBorder="1" applyAlignment="1">
      <alignment vertical="center"/>
    </xf>
    <xf numFmtId="0" fontId="79" fillId="44" borderId="114" xfId="11" applyNumberFormat="1" applyFont="1" applyFill="1" applyBorder="1" applyAlignment="1">
      <alignment vertical="center"/>
    </xf>
    <xf numFmtId="0" fontId="80" fillId="43" borderId="0" xfId="0" applyNumberFormat="1" applyFont="1" applyFill="1" applyAlignment="1">
      <alignment vertical="center"/>
    </xf>
    <xf numFmtId="0" fontId="80" fillId="43" borderId="115" xfId="0" applyNumberFormat="1" applyFont="1" applyFill="1" applyBorder="1" applyAlignment="1">
      <alignment vertical="center"/>
    </xf>
    <xf numFmtId="0" fontId="80" fillId="43" borderId="0" xfId="0" applyNumberFormat="1" applyFont="1" applyFill="1" applyAlignment="1">
      <alignment horizontal="center" vertical="center"/>
    </xf>
    <xf numFmtId="0" fontId="78" fillId="43" borderId="0" xfId="0" applyNumberFormat="1" applyFont="1" applyFill="1" applyAlignment="1">
      <alignment horizontal="center" vertical="center"/>
    </xf>
    <xf numFmtId="0" fontId="80" fillId="43" borderId="0" xfId="0" applyNumberFormat="1" applyFont="1" applyFill="1" applyAlignment="1">
      <alignment horizontal="center" vertical="center"/>
    </xf>
    <xf numFmtId="0" fontId="81" fillId="45" borderId="0" xfId="0" applyNumberFormat="1" applyFont="1" applyFill="1" applyAlignment="1">
      <alignment horizontal="center" vertical="center"/>
    </xf>
    <xf numFmtId="0" fontId="82" fillId="46" borderId="0" xfId="0" applyNumberFormat="1" applyFont="1" applyFill="1" applyAlignment="1">
      <alignment horizontal="center" vertical="center"/>
    </xf>
    <xf numFmtId="0" fontId="79" fillId="47" borderId="0" xfId="0" applyNumberFormat="1" applyFont="1" applyFill="1" applyAlignment="1">
      <alignment horizontal="center" vertical="center"/>
    </xf>
    <xf numFmtId="0" fontId="80" fillId="43" borderId="116" xfId="0" applyNumberFormat="1" applyFont="1" applyFill="1" applyBorder="1" applyAlignment="1">
      <alignment horizontal="center" vertical="center"/>
    </xf>
    <xf numFmtId="0" fontId="82" fillId="46" borderId="116" xfId="0" applyNumberFormat="1" applyFont="1" applyFill="1" applyBorder="1" applyAlignment="1">
      <alignment horizontal="center" vertical="center"/>
    </xf>
    <xf numFmtId="0" fontId="26" fillId="12" borderId="83" xfId="0" applyNumberFormat="1" applyFont="1" applyFill="1" applyBorder="1" applyAlignment="1">
      <alignment horizontal="center" vertical="center"/>
    </xf>
    <xf numFmtId="0" fontId="84" fillId="9" borderId="92" xfId="0" applyNumberFormat="1" applyFont="1" applyFill="1" applyBorder="1" applyAlignment="1">
      <alignment horizontal="center" vertical="center"/>
    </xf>
    <xf numFmtId="0" fontId="69" fillId="9" borderId="0" xfId="0" applyNumberFormat="1" applyFont="1" applyFill="1" applyAlignment="1">
      <alignment horizontal="left" vertical="center"/>
    </xf>
    <xf numFmtId="0" fontId="68" fillId="9" borderId="0" xfId="0" applyNumberFormat="1" applyFont="1" applyFill="1" applyAlignment="1">
      <alignment horizontal="left" vertical="center"/>
    </xf>
    <xf numFmtId="0" fontId="26" fillId="12" borderId="83" xfId="0" applyNumberFormat="1" applyFont="1" applyFill="1" applyBorder="1" applyAlignment="1">
      <alignment vertical="center"/>
    </xf>
    <xf numFmtId="0" fontId="28" fillId="13" borderId="0" xfId="0" applyNumberFormat="1" applyFont="1" applyFill="1" applyAlignment="1">
      <alignment horizontal="left" vertical="center"/>
    </xf>
    <xf numFmtId="0" fontId="28" fillId="13" borderId="0" xfId="0" applyNumberFormat="1" applyFont="1" applyFill="1" applyAlignment="1">
      <alignment horizontal="center" vertical="center"/>
    </xf>
    <xf numFmtId="0" fontId="88" fillId="13" borderId="0" xfId="0" applyNumberFormat="1" applyFont="1" applyFill="1" applyAlignment="1">
      <alignment horizontal="center" vertical="center"/>
    </xf>
    <xf numFmtId="187" fontId="32" fillId="17" borderId="0" xfId="0" applyNumberFormat="1" applyFont="1" applyFill="1" applyAlignment="1">
      <alignment vertical="center"/>
    </xf>
    <xf numFmtId="201" fontId="32" fillId="17" borderId="0" xfId="0" applyNumberFormat="1" applyFont="1" applyFill="1" applyAlignment="1">
      <alignment vertical="center"/>
    </xf>
    <xf numFmtId="187" fontId="31" fillId="9" borderId="0" xfId="0" applyNumberFormat="1" applyFont="1" applyFill="1" applyAlignment="1">
      <alignment horizontal="right" vertical="center"/>
    </xf>
    <xf numFmtId="187" fontId="36" fillId="9" borderId="0" xfId="0" applyNumberFormat="1" applyFont="1" applyFill="1" applyAlignment="1">
      <alignment horizontal="right" vertical="center"/>
    </xf>
    <xf numFmtId="211" fontId="36" fillId="9" borderId="0" xfId="0" applyNumberFormat="1" applyFont="1" applyFill="1" applyAlignment="1">
      <alignment horizontal="right" vertical="center"/>
    </xf>
    <xf numFmtId="187" fontId="32" fillId="40" borderId="0" xfId="0" applyNumberFormat="1" applyFont="1" applyFill="1" applyAlignment="1">
      <alignment horizontal="right" vertical="center"/>
    </xf>
    <xf numFmtId="211" fontId="31" fillId="9" borderId="0" xfId="0" applyNumberFormat="1" applyFont="1" applyFill="1" applyAlignment="1">
      <alignment horizontal="right" vertical="center"/>
    </xf>
    <xf numFmtId="208" fontId="36" fillId="9" borderId="0" xfId="10" applyNumberFormat="1" applyFont="1" applyFill="1" applyAlignment="1">
      <alignment vertical="center"/>
    </xf>
    <xf numFmtId="213" fontId="36" fillId="9" borderId="0" xfId="9" applyNumberFormat="1" applyFont="1" applyFill="1" applyAlignment="1">
      <alignment vertical="center"/>
    </xf>
    <xf numFmtId="213" fontId="33" fillId="9" borderId="0" xfId="9" applyNumberFormat="1" applyFont="1" applyFill="1" applyBorder="1" applyAlignment="1">
      <alignment horizontal="right" vertical="center"/>
    </xf>
    <xf numFmtId="213" fontId="36" fillId="9" borderId="0" xfId="9" applyNumberFormat="1" applyFont="1" applyFill="1" applyBorder="1" applyAlignment="1">
      <alignment horizontal="right" vertical="center"/>
    </xf>
    <xf numFmtId="211" fontId="33" fillId="9" borderId="0" xfId="9" applyNumberFormat="1" applyFont="1" applyFill="1" applyAlignment="1">
      <alignment vertical="center"/>
    </xf>
    <xf numFmtId="213" fontId="33" fillId="9" borderId="64" xfId="9" applyNumberFormat="1" applyFont="1" applyFill="1" applyBorder="1" applyAlignment="1">
      <alignment vertical="center"/>
    </xf>
    <xf numFmtId="213" fontId="36" fillId="9" borderId="64" xfId="9" applyNumberFormat="1" applyFont="1" applyFill="1" applyBorder="1" applyAlignment="1">
      <alignment vertical="center"/>
    </xf>
    <xf numFmtId="213" fontId="33" fillId="9" borderId="0" xfId="9" applyNumberFormat="1" applyFont="1" applyFill="1" applyAlignment="1">
      <alignment vertical="center"/>
    </xf>
    <xf numFmtId="213" fontId="32" fillId="9" borderId="12" xfId="9" applyNumberFormat="1" applyFont="1" applyFill="1" applyBorder="1" applyAlignment="1">
      <alignment vertical="center"/>
    </xf>
    <xf numFmtId="213" fontId="65" fillId="9" borderId="0" xfId="9" applyNumberFormat="1" applyFont="1" applyFill="1" applyAlignment="1">
      <alignment vertical="center"/>
    </xf>
    <xf numFmtId="213" fontId="32" fillId="36" borderId="1" xfId="9" applyNumberFormat="1" applyFont="1" applyFill="1" applyBorder="1" applyAlignment="1">
      <alignment vertical="center"/>
    </xf>
    <xf numFmtId="210" fontId="33" fillId="9" borderId="0" xfId="10" applyNumberFormat="1" applyFont="1" applyFill="1" applyAlignment="1">
      <alignment vertical="center"/>
    </xf>
    <xf numFmtId="213" fontId="33" fillId="9" borderId="72" xfId="9" applyNumberFormat="1" applyFont="1" applyFill="1" applyBorder="1" applyAlignment="1">
      <alignment vertical="center"/>
    </xf>
    <xf numFmtId="210" fontId="32" fillId="9" borderId="12" xfId="10" applyNumberFormat="1" applyFont="1" applyFill="1" applyBorder="1" applyAlignment="1">
      <alignment vertical="center"/>
    </xf>
    <xf numFmtId="210" fontId="65" fillId="9" borderId="0" xfId="10" applyNumberFormat="1" applyFont="1" applyFill="1" applyAlignment="1">
      <alignment vertical="center"/>
    </xf>
    <xf numFmtId="213" fontId="65" fillId="9" borderId="64" xfId="9" applyNumberFormat="1" applyFont="1" applyFill="1" applyBorder="1" applyAlignment="1">
      <alignment vertical="center"/>
    </xf>
    <xf numFmtId="213" fontId="33" fillId="9" borderId="73" xfId="9" applyNumberFormat="1" applyFont="1" applyFill="1" applyBorder="1" applyAlignment="1">
      <alignment vertical="center"/>
    </xf>
    <xf numFmtId="213" fontId="33" fillId="9" borderId="74" xfId="9" applyNumberFormat="1" applyFont="1" applyFill="1" applyBorder="1" applyAlignment="1">
      <alignment vertical="center"/>
    </xf>
    <xf numFmtId="215" fontId="36" fillId="9" borderId="0" xfId="8" applyNumberFormat="1" applyFont="1" applyFill="1" applyAlignment="1">
      <alignment horizontal="right" vertical="center"/>
    </xf>
    <xf numFmtId="215" fontId="33" fillId="9" borderId="0" xfId="8" applyNumberFormat="1" applyFont="1" applyFill="1" applyAlignment="1">
      <alignment horizontal="right" vertical="center"/>
    </xf>
    <xf numFmtId="215" fontId="32" fillId="9" borderId="12" xfId="8" applyNumberFormat="1" applyFont="1" applyFill="1" applyBorder="1" applyAlignment="1">
      <alignment horizontal="right" vertical="center"/>
    </xf>
    <xf numFmtId="210" fontId="32" fillId="9" borderId="12" xfId="8" applyNumberFormat="1" applyFont="1" applyFill="1" applyBorder="1" applyAlignment="1">
      <alignment horizontal="right" vertical="center"/>
    </xf>
    <xf numFmtId="215" fontId="33" fillId="9" borderId="75" xfId="8" applyNumberFormat="1" applyFont="1" applyFill="1" applyBorder="1" applyAlignment="1">
      <alignment horizontal="right" vertical="center"/>
    </xf>
    <xf numFmtId="215" fontId="31" fillId="9" borderId="0" xfId="8" applyNumberFormat="1" applyFont="1" applyFill="1" applyAlignment="1">
      <alignment horizontal="right" vertical="center"/>
    </xf>
    <xf numFmtId="213" fontId="31" fillId="7" borderId="7" xfId="1" applyNumberFormat="1" applyFont="1" applyFill="1" applyBorder="1" applyAlignment="1">
      <alignment horizontal="right" vertical="center"/>
    </xf>
    <xf numFmtId="213" fontId="31" fillId="7" borderId="2" xfId="1" applyNumberFormat="1" applyFont="1" applyFill="1" applyBorder="1" applyAlignment="1">
      <alignment horizontal="right" vertical="center"/>
    </xf>
    <xf numFmtId="188" fontId="33" fillId="11" borderId="26" xfId="0" applyNumberFormat="1" applyFont="1" applyFill="1" applyBorder="1" applyAlignment="1">
      <alignment vertical="center"/>
    </xf>
    <xf numFmtId="188" fontId="33" fillId="9" borderId="26" xfId="0" applyNumberFormat="1" applyFont="1" applyFill="1" applyBorder="1" applyAlignment="1">
      <alignment vertical="center"/>
    </xf>
    <xf numFmtId="175" fontId="32" fillId="9" borderId="27" xfId="0" applyNumberFormat="1" applyFont="1" applyFill="1" applyBorder="1" applyAlignment="1">
      <alignment horizontal="right" vertical="center"/>
    </xf>
    <xf numFmtId="188" fontId="32" fillId="9" borderId="27" xfId="0" applyNumberFormat="1" applyFont="1" applyFill="1" applyBorder="1" applyAlignment="1">
      <alignment vertical="center"/>
    </xf>
    <xf numFmtId="188" fontId="32" fillId="9" borderId="78" xfId="0" applyNumberFormat="1" applyFont="1" applyFill="1" applyBorder="1" applyAlignment="1">
      <alignment vertical="center"/>
    </xf>
    <xf numFmtId="175" fontId="32" fillId="10" borderId="28" xfId="0" applyNumberFormat="1" applyFont="1" applyFill="1" applyBorder="1" applyAlignment="1">
      <alignment horizontal="right" vertical="center"/>
    </xf>
    <xf numFmtId="188" fontId="32" fillId="10" borderId="28" xfId="0" applyNumberFormat="1" applyFont="1" applyFill="1" applyBorder="1" applyAlignment="1">
      <alignment vertical="center"/>
    </xf>
    <xf numFmtId="188" fontId="32" fillId="9" borderId="80" xfId="0" applyNumberFormat="1" applyFont="1" applyFill="1" applyBorder="1" applyAlignment="1">
      <alignment vertical="center"/>
    </xf>
    <xf numFmtId="175" fontId="32" fillId="10" borderId="29" xfId="0" applyNumberFormat="1" applyFont="1" applyFill="1" applyBorder="1" applyAlignment="1">
      <alignment horizontal="right" vertical="center"/>
    </xf>
    <xf numFmtId="175" fontId="32" fillId="10" borderId="36" xfId="0" applyNumberFormat="1" applyFont="1" applyFill="1" applyBorder="1" applyAlignment="1">
      <alignment horizontal="right" vertical="center"/>
    </xf>
    <xf numFmtId="188" fontId="32" fillId="10" borderId="36" xfId="0" applyNumberFormat="1" applyFont="1" applyFill="1" applyBorder="1" applyAlignment="1">
      <alignment horizontal="right" vertical="center"/>
    </xf>
    <xf numFmtId="175" fontId="36" fillId="9" borderId="36" xfId="0" applyNumberFormat="1" applyFont="1" applyFill="1" applyBorder="1" applyAlignment="1">
      <alignment horizontal="right" vertical="center"/>
    </xf>
    <xf numFmtId="175" fontId="33" fillId="9" borderId="36" xfId="0" applyNumberFormat="1" applyFont="1" applyFill="1" applyBorder="1" applyAlignment="1">
      <alignment horizontal="right" vertical="center"/>
    </xf>
    <xf numFmtId="188" fontId="33" fillId="9" borderId="36" xfId="0" applyNumberFormat="1" applyFont="1" applyFill="1" applyBorder="1" applyAlignment="1">
      <alignment horizontal="right" vertical="center"/>
    </xf>
    <xf numFmtId="175" fontId="36" fillId="11" borderId="0" xfId="0" applyNumberFormat="1" applyFont="1" applyFill="1" applyAlignment="1">
      <alignment horizontal="right" vertical="center"/>
    </xf>
    <xf numFmtId="175" fontId="33" fillId="11" borderId="0" xfId="0" applyNumberFormat="1" applyFont="1" applyFill="1" applyAlignment="1">
      <alignment horizontal="right" vertical="center"/>
    </xf>
    <xf numFmtId="188" fontId="33" fillId="11" borderId="0" xfId="0" applyNumberFormat="1" applyFont="1" applyFill="1" applyAlignment="1">
      <alignment horizontal="right" vertical="center"/>
    </xf>
    <xf numFmtId="175" fontId="50" fillId="9" borderId="30" xfId="0" applyNumberFormat="1" applyFont="1" applyFill="1" applyBorder="1" applyAlignment="1">
      <alignment horizontal="right" vertical="center"/>
    </xf>
    <xf numFmtId="175" fontId="32" fillId="10" borderId="31" xfId="0" applyNumberFormat="1" applyFont="1" applyFill="1" applyBorder="1" applyAlignment="1">
      <alignment horizontal="right" vertical="center"/>
    </xf>
    <xf numFmtId="175" fontId="32" fillId="10" borderId="21" xfId="0" applyNumberFormat="1" applyFont="1" applyFill="1" applyBorder="1" applyAlignment="1">
      <alignment horizontal="right" vertical="center"/>
    </xf>
    <xf numFmtId="188" fontId="32" fillId="10" borderId="21" xfId="0" applyNumberFormat="1" applyFont="1" applyFill="1" applyBorder="1" applyAlignment="1">
      <alignment horizontal="right" vertical="center"/>
    </xf>
    <xf numFmtId="175" fontId="50" fillId="9" borderId="22" xfId="0" applyNumberFormat="1" applyFont="1" applyFill="1" applyBorder="1" applyAlignment="1">
      <alignment horizontal="right" vertical="center"/>
    </xf>
    <xf numFmtId="175" fontId="32" fillId="9" borderId="22" xfId="0" applyNumberFormat="1" applyFont="1" applyFill="1" applyBorder="1" applyAlignment="1">
      <alignment horizontal="right" vertical="center"/>
    </xf>
    <xf numFmtId="188" fontId="32" fillId="9" borderId="22" xfId="0" applyNumberFormat="1" applyFont="1" applyFill="1" applyBorder="1" applyAlignment="1">
      <alignment horizontal="right" vertical="center"/>
    </xf>
    <xf numFmtId="188" fontId="33" fillId="9" borderId="0" xfId="0" applyNumberFormat="1" applyFont="1" applyFill="1" applyAlignment="1">
      <alignment horizontal="right" vertical="center"/>
    </xf>
    <xf numFmtId="175" fontId="32" fillId="9" borderId="30" xfId="0" applyNumberFormat="1" applyFont="1" applyFill="1" applyBorder="1" applyAlignment="1">
      <alignment horizontal="right" vertical="center"/>
    </xf>
    <xf numFmtId="175" fontId="32" fillId="9" borderId="40" xfId="0" applyNumberFormat="1" applyFont="1" applyFill="1" applyBorder="1" applyAlignment="1">
      <alignment horizontal="right" vertical="center"/>
    </xf>
    <xf numFmtId="188" fontId="32" fillId="9" borderId="40" xfId="0" applyNumberFormat="1" applyFont="1" applyFill="1" applyBorder="1" applyAlignment="1">
      <alignment horizontal="right" vertical="center"/>
    </xf>
    <xf numFmtId="175" fontId="32" fillId="10" borderId="32" xfId="0" applyNumberFormat="1" applyFont="1" applyFill="1" applyBorder="1" applyAlignment="1">
      <alignment horizontal="right" vertical="center"/>
    </xf>
    <xf numFmtId="175" fontId="32" fillId="10" borderId="40" xfId="0" applyNumberFormat="1" applyFont="1" applyFill="1" applyBorder="1" applyAlignment="1">
      <alignment horizontal="right" vertical="center"/>
    </xf>
    <xf numFmtId="188" fontId="32" fillId="10" borderId="40" xfId="0" applyNumberFormat="1" applyFont="1" applyFill="1" applyBorder="1" applyAlignment="1">
      <alignment horizontal="right" vertical="center"/>
    </xf>
    <xf numFmtId="175" fontId="36" fillId="11" borderId="16" xfId="0" applyNumberFormat="1" applyFont="1" applyFill="1" applyBorder="1" applyAlignment="1">
      <alignment horizontal="right" vertical="center"/>
    </xf>
    <xf numFmtId="175" fontId="33" fillId="11" borderId="16" xfId="0" applyNumberFormat="1" applyFont="1" applyFill="1" applyBorder="1" applyAlignment="1">
      <alignment horizontal="right" vertical="center"/>
    </xf>
    <xf numFmtId="175" fontId="32" fillId="10" borderId="17" xfId="0" applyNumberFormat="1" applyFont="1" applyFill="1" applyBorder="1" applyAlignment="1">
      <alignment horizontal="right" vertical="center"/>
    </xf>
    <xf numFmtId="188" fontId="32" fillId="10" borderId="17" xfId="0" applyNumberFormat="1" applyFont="1" applyFill="1" applyBorder="1" applyAlignment="1">
      <alignment horizontal="right" vertical="center"/>
    </xf>
    <xf numFmtId="213" fontId="36" fillId="9" borderId="0" xfId="0" applyNumberFormat="1" applyFont="1" applyFill="1" applyAlignment="1">
      <alignment vertical="center"/>
    </xf>
    <xf numFmtId="210" fontId="36" fillId="9" borderId="0" xfId="0" applyNumberFormat="1" applyFont="1" applyFill="1" applyAlignment="1">
      <alignment vertical="center"/>
    </xf>
    <xf numFmtId="213" fontId="36" fillId="29" borderId="0" xfId="1" applyNumberFormat="1" applyFont="1" applyFill="1" applyAlignment="1">
      <alignment horizontal="right" vertical="center"/>
    </xf>
    <xf numFmtId="213" fontId="36" fillId="26" borderId="0" xfId="1" applyNumberFormat="1" applyFont="1" applyFill="1" applyAlignment="1">
      <alignment horizontal="right" vertical="center"/>
    </xf>
    <xf numFmtId="213" fontId="36" fillId="26" borderId="0" xfId="0" applyNumberFormat="1" applyFont="1" applyFill="1" applyAlignment="1">
      <alignment horizontal="right" vertical="center"/>
    </xf>
    <xf numFmtId="210" fontId="65" fillId="9" borderId="48" xfId="0" applyNumberFormat="1" applyFont="1" applyFill="1" applyBorder="1" applyAlignment="1">
      <alignment horizontal="right" vertical="center"/>
    </xf>
    <xf numFmtId="192" fontId="32" fillId="9" borderId="14" xfId="0" applyNumberFormat="1" applyFont="1" applyFill="1" applyBorder="1" applyAlignment="1">
      <alignment horizontal="right" vertical="center"/>
    </xf>
    <xf numFmtId="192" fontId="32" fillId="9" borderId="0" xfId="0" applyNumberFormat="1" applyFont="1" applyFill="1" applyAlignment="1">
      <alignment horizontal="right" vertical="center"/>
    </xf>
    <xf numFmtId="213" fontId="65" fillId="27" borderId="0" xfId="0" applyNumberFormat="1" applyFont="1" applyFill="1" applyAlignment="1">
      <alignment horizontal="right" vertical="center"/>
    </xf>
    <xf numFmtId="213" fontId="66" fillId="27" borderId="0" xfId="0" applyNumberFormat="1" applyFont="1" applyFill="1" applyAlignment="1">
      <alignment horizontal="right" vertical="center"/>
    </xf>
    <xf numFmtId="213" fontId="32" fillId="14" borderId="0" xfId="0" applyNumberFormat="1" applyFont="1" applyFill="1" applyAlignment="1">
      <alignment horizontal="right" vertical="center"/>
    </xf>
    <xf numFmtId="175" fontId="32" fillId="14" borderId="0" xfId="0" applyNumberFormat="1" applyFont="1" applyFill="1" applyAlignment="1">
      <alignment horizontal="right" vertical="center"/>
    </xf>
    <xf numFmtId="213" fontId="65" fillId="9" borderId="0" xfId="0" applyNumberFormat="1" applyFont="1" applyFill="1" applyAlignment="1">
      <alignment horizontal="right" vertical="center"/>
    </xf>
    <xf numFmtId="213" fontId="66" fillId="9" borderId="52" xfId="0" applyNumberFormat="1" applyFont="1" applyFill="1" applyBorder="1" applyAlignment="1">
      <alignment horizontal="right" vertical="center"/>
    </xf>
    <xf numFmtId="213" fontId="65" fillId="9" borderId="51" xfId="0" applyNumberFormat="1" applyFont="1" applyFill="1" applyBorder="1" applyAlignment="1">
      <alignment horizontal="right" vertical="center"/>
    </xf>
    <xf numFmtId="213" fontId="70" fillId="9" borderId="0" xfId="0" applyNumberFormat="1" applyFont="1" applyFill="1" applyAlignment="1">
      <alignment horizontal="right" vertical="center"/>
    </xf>
    <xf numFmtId="213" fontId="66" fillId="9" borderId="0" xfId="0" applyNumberFormat="1" applyFont="1" applyFill="1" applyAlignment="1">
      <alignment horizontal="right" vertical="center"/>
    </xf>
    <xf numFmtId="213" fontId="48" fillId="9" borderId="52" xfId="0" applyNumberFormat="1" applyFont="1" applyFill="1" applyBorder="1" applyAlignment="1">
      <alignment horizontal="right" vertical="center"/>
    </xf>
    <xf numFmtId="213" fontId="65" fillId="9" borderId="52" xfId="0" applyNumberFormat="1" applyFont="1" applyFill="1" applyBorder="1" applyAlignment="1">
      <alignment horizontal="right" vertical="center"/>
    </xf>
    <xf numFmtId="213" fontId="48" fillId="9" borderId="51" xfId="0" applyNumberFormat="1" applyFont="1" applyFill="1" applyBorder="1" applyAlignment="1">
      <alignment horizontal="right" vertical="center"/>
    </xf>
    <xf numFmtId="213" fontId="48" fillId="9" borderId="48" xfId="0" applyNumberFormat="1" applyFont="1" applyFill="1" applyBorder="1" applyAlignment="1">
      <alignment horizontal="right" vertical="center"/>
    </xf>
    <xf numFmtId="213" fontId="65" fillId="9" borderId="48" xfId="0" applyNumberFormat="1" applyFont="1" applyFill="1" applyBorder="1" applyAlignment="1">
      <alignment horizontal="right" vertical="center"/>
    </xf>
    <xf numFmtId="213" fontId="48" fillId="9" borderId="0" xfId="0" applyNumberFormat="1" applyFont="1" applyFill="1" applyAlignment="1">
      <alignment horizontal="right" vertical="center"/>
    </xf>
    <xf numFmtId="213" fontId="65" fillId="9" borderId="50" xfId="0" applyNumberFormat="1" applyFont="1" applyFill="1" applyBorder="1" applyAlignment="1">
      <alignment horizontal="right" vertical="center"/>
    </xf>
    <xf numFmtId="213" fontId="32" fillId="18" borderId="0" xfId="0" applyNumberFormat="1" applyFont="1" applyFill="1" applyAlignment="1">
      <alignment horizontal="center" vertical="center"/>
    </xf>
    <xf numFmtId="17" fontId="50" fillId="13" borderId="0" xfId="0" applyNumberFormat="1" applyFont="1" applyFill="1" applyAlignment="1">
      <alignment horizontal="center" vertical="center"/>
    </xf>
    <xf numFmtId="215" fontId="50" fillId="20" borderId="0" xfId="0" applyNumberFormat="1" applyFont="1" applyFill="1" applyAlignment="1">
      <alignment vertical="center"/>
    </xf>
    <xf numFmtId="175" fontId="32" fillId="20" borderId="0" xfId="0" applyNumberFormat="1" applyFont="1" applyFill="1" applyAlignment="1">
      <alignment vertical="center"/>
    </xf>
    <xf numFmtId="17" fontId="50" fillId="18" borderId="0" xfId="0" applyNumberFormat="1" applyFont="1" applyFill="1" applyAlignment="1">
      <alignment horizontal="center" vertical="center"/>
    </xf>
    <xf numFmtId="175" fontId="50" fillId="8" borderId="0" xfId="0" applyNumberFormat="1" applyFont="1" applyFill="1" applyAlignment="1">
      <alignment vertical="center"/>
    </xf>
    <xf numFmtId="175" fontId="32" fillId="8" borderId="0" xfId="0" applyNumberFormat="1" applyFont="1" applyFill="1" applyAlignment="1">
      <alignment vertical="center"/>
    </xf>
    <xf numFmtId="209" fontId="50" fillId="18" borderId="0" xfId="0" applyNumberFormat="1" applyFont="1" applyFill="1" applyAlignment="1">
      <alignment horizontal="center" vertical="center"/>
    </xf>
    <xf numFmtId="175" fontId="50" fillId="20" borderId="0" xfId="0" applyNumberFormat="1" applyFont="1" applyFill="1" applyAlignment="1">
      <alignment vertical="center"/>
    </xf>
    <xf numFmtId="187" fontId="32" fillId="8" borderId="0" xfId="0" applyNumberFormat="1" applyFont="1" applyFill="1" applyAlignment="1">
      <alignment vertical="center"/>
    </xf>
    <xf numFmtId="215" fontId="32" fillId="25" borderId="0" xfId="0" applyNumberFormat="1" applyFont="1" applyFill="1" applyAlignment="1">
      <alignment vertical="center"/>
    </xf>
    <xf numFmtId="215" fontId="29" fillId="25" borderId="0" xfId="0" applyNumberFormat="1" applyFont="1" applyFill="1" applyAlignment="1">
      <alignment vertical="center"/>
    </xf>
    <xf numFmtId="210" fontId="32" fillId="24" borderId="0" xfId="0" applyNumberFormat="1" applyFont="1" applyFill="1" applyAlignment="1">
      <alignment horizontal="center" vertical="center"/>
    </xf>
    <xf numFmtId="210" fontId="32" fillId="25" borderId="0" xfId="0" applyNumberFormat="1" applyFont="1" applyFill="1" applyAlignment="1">
      <alignment horizontal="center" vertical="center"/>
    </xf>
    <xf numFmtId="215" fontId="33" fillId="25" borderId="0" xfId="0" applyNumberFormat="1" applyFont="1" applyFill="1" applyAlignment="1">
      <alignment vertical="center"/>
    </xf>
    <xf numFmtId="210" fontId="65" fillId="25" borderId="0" xfId="0" applyNumberFormat="1" applyFont="1" applyFill="1" applyAlignment="1">
      <alignment vertical="center"/>
    </xf>
    <xf numFmtId="215" fontId="64" fillId="25" borderId="63" xfId="0" applyNumberFormat="1" applyFont="1" applyFill="1" applyBorder="1" applyAlignment="1">
      <alignment vertical="center"/>
    </xf>
    <xf numFmtId="215" fontId="64" fillId="25" borderId="67" xfId="0" applyNumberFormat="1" applyFont="1" applyFill="1" applyBorder="1" applyAlignment="1">
      <alignment vertical="center"/>
    </xf>
    <xf numFmtId="215" fontId="64" fillId="25" borderId="0" xfId="0" applyNumberFormat="1" applyFont="1" applyFill="1" applyAlignment="1">
      <alignment vertical="center"/>
    </xf>
    <xf numFmtId="215" fontId="63" fillId="30" borderId="0" xfId="0" applyNumberFormat="1" applyFont="1" applyFill="1" applyAlignment="1">
      <alignment vertical="center"/>
    </xf>
    <xf numFmtId="215" fontId="64" fillId="30" borderId="0" xfId="0" applyNumberFormat="1" applyFont="1" applyFill="1" applyAlignment="1">
      <alignment vertical="center"/>
    </xf>
    <xf numFmtId="215" fontId="63" fillId="31" borderId="0" xfId="0" applyNumberFormat="1" applyFont="1" applyFill="1" applyAlignment="1">
      <alignment vertical="center"/>
    </xf>
    <xf numFmtId="215" fontId="64" fillId="31" borderId="0" xfId="0" applyNumberFormat="1" applyFont="1" applyFill="1" applyAlignment="1">
      <alignment vertical="center"/>
    </xf>
    <xf numFmtId="215" fontId="63" fillId="32" borderId="0" xfId="0" applyNumberFormat="1" applyFont="1" applyFill="1" applyAlignment="1">
      <alignment vertical="center"/>
    </xf>
    <xf numFmtId="215" fontId="64" fillId="32" borderId="0" xfId="0" applyNumberFormat="1" applyFont="1" applyFill="1" applyAlignment="1">
      <alignment vertical="center"/>
    </xf>
    <xf numFmtId="215" fontId="63" fillId="33" borderId="0" xfId="0" applyNumberFormat="1" applyFont="1" applyFill="1" applyAlignment="1">
      <alignment vertical="center"/>
    </xf>
    <xf numFmtId="215" fontId="64" fillId="33" borderId="0" xfId="0" applyNumberFormat="1" applyFont="1" applyFill="1" applyAlignment="1">
      <alignment vertical="center"/>
    </xf>
    <xf numFmtId="210" fontId="32" fillId="25" borderId="0" xfId="0" applyNumberFormat="1" applyFont="1" applyFill="1" applyAlignment="1">
      <alignment vertical="center"/>
    </xf>
    <xf numFmtId="215" fontId="65" fillId="25" borderId="0" xfId="0" applyNumberFormat="1" applyFont="1" applyFill="1" applyAlignment="1">
      <alignment vertical="center"/>
    </xf>
    <xf numFmtId="218" fontId="36" fillId="17" borderId="99" xfId="11" applyNumberFormat="1" applyFont="1" applyFill="1" applyBorder="1" applyAlignment="1">
      <alignment horizontal="right" vertical="center"/>
    </xf>
    <xf numFmtId="216" fontId="36" fillId="17" borderId="99" xfId="11" applyNumberFormat="1" applyFont="1" applyFill="1" applyBorder="1" applyAlignment="1">
      <alignment horizontal="right" vertical="center"/>
    </xf>
    <xf numFmtId="211" fontId="36" fillId="17" borderId="99" xfId="11" applyNumberFormat="1" applyFont="1" applyFill="1" applyBorder="1" applyAlignment="1">
      <alignment horizontal="right" vertical="center"/>
    </xf>
    <xf numFmtId="213" fontId="50" fillId="41" borderId="0" xfId="11" applyNumberFormat="1" applyFont="1" applyFill="1" applyAlignment="1">
      <alignment horizontal="left" vertical="center"/>
    </xf>
    <xf numFmtId="216" fontId="50" fillId="9" borderId="0" xfId="11" applyNumberFormat="1" applyFont="1" applyFill="1" applyAlignment="1">
      <alignment horizontal="right" vertical="center"/>
    </xf>
    <xf numFmtId="216" fontId="32" fillId="9" borderId="0" xfId="11" applyNumberFormat="1" applyFont="1" applyFill="1" applyAlignment="1">
      <alignment horizontal="right" vertical="center"/>
    </xf>
    <xf numFmtId="198" fontId="36" fillId="9" borderId="0" xfId="11" applyNumberFormat="1" applyFont="1" applyFill="1" applyAlignment="1">
      <alignment horizontal="right" vertical="center"/>
    </xf>
    <xf numFmtId="212" fontId="50" fillId="43" borderId="0" xfId="0" applyNumberFormat="1" applyFont="1" applyFill="1" applyAlignment="1">
      <alignment horizontal="right" vertical="center"/>
    </xf>
    <xf numFmtId="198" fontId="36" fillId="43" borderId="111" xfId="0" applyNumberFormat="1" applyFont="1" applyFill="1" applyBorder="1" applyAlignment="1">
      <alignment horizontal="right" vertical="center"/>
    </xf>
    <xf numFmtId="198" fontId="50" fillId="43" borderId="111" xfId="0" applyNumberFormat="1" applyFont="1" applyFill="1" applyBorder="1" applyAlignment="1">
      <alignment horizontal="right" vertical="center"/>
    </xf>
    <xf numFmtId="198" fontId="36" fillId="43" borderId="112" xfId="0" applyNumberFormat="1" applyFont="1" applyFill="1" applyBorder="1" applyAlignment="1">
      <alignment horizontal="right" vertical="center"/>
    </xf>
    <xf numFmtId="198" fontId="50" fillId="43" borderId="112" xfId="0" applyNumberFormat="1" applyFont="1" applyFill="1" applyBorder="1" applyAlignment="1">
      <alignment horizontal="right" vertical="center"/>
    </xf>
    <xf numFmtId="198" fontId="50" fillId="44" borderId="113" xfId="0" applyNumberFormat="1" applyFont="1" applyFill="1" applyBorder="1" applyAlignment="1">
      <alignment horizontal="right" vertical="center"/>
    </xf>
    <xf numFmtId="198" fontId="36" fillId="43" borderId="0" xfId="0" applyNumberFormat="1" applyFont="1" applyFill="1" applyAlignment="1">
      <alignment horizontal="right" vertical="center"/>
    </xf>
    <xf numFmtId="198" fontId="50" fillId="43" borderId="0" xfId="0" applyNumberFormat="1" applyFont="1" applyFill="1" applyAlignment="1">
      <alignment horizontal="right" vertical="center"/>
    </xf>
    <xf numFmtId="187" fontId="29" fillId="16" borderId="0" xfId="0" applyNumberFormat="1" applyFont="1" applyFill="1" applyAlignment="1">
      <alignment horizontal="center" vertical="center"/>
    </xf>
    <xf numFmtId="187" fontId="29" fillId="19" borderId="0" xfId="0" applyNumberFormat="1" applyFont="1" applyFill="1" applyAlignment="1">
      <alignment horizontal="center" vertical="center"/>
    </xf>
    <xf numFmtId="188" fontId="29" fillId="41" borderId="0" xfId="0" applyNumberFormat="1" applyFont="1" applyFill="1" applyAlignment="1">
      <alignment horizontal="center" vertical="center"/>
    </xf>
    <xf numFmtId="187" fontId="29" fillId="41" borderId="0" xfId="0" applyNumberFormat="1" applyFont="1" applyFill="1" applyAlignment="1">
      <alignment horizontal="center" vertical="center"/>
    </xf>
    <xf numFmtId="187" fontId="29" fillId="17" borderId="0" xfId="0" applyNumberFormat="1" applyFont="1" applyFill="1" applyAlignment="1">
      <alignment horizontal="center" vertical="center"/>
    </xf>
    <xf numFmtId="187" fontId="29" fillId="42" borderId="0" xfId="0" applyNumberFormat="1" applyFont="1" applyFill="1" applyAlignment="1">
      <alignment horizontal="center" vertical="center"/>
    </xf>
    <xf numFmtId="198" fontId="32" fillId="9" borderId="0" xfId="0" applyNumberFormat="1" applyFont="1" applyFill="1" applyAlignment="1">
      <alignment horizontal="right" vertical="center"/>
    </xf>
    <xf numFmtId="198" fontId="32" fillId="17" borderId="0" xfId="0" applyNumberFormat="1" applyFont="1" applyFill="1" applyAlignment="1">
      <alignment horizontal="right" vertical="center"/>
    </xf>
    <xf numFmtId="198" fontId="32" fillId="17" borderId="117" xfId="0" applyNumberFormat="1" applyFont="1" applyFill="1" applyBorder="1" applyAlignment="1">
      <alignment horizontal="right" vertical="center"/>
    </xf>
    <xf numFmtId="210" fontId="32" fillId="17" borderId="122" xfId="0" applyNumberFormat="1" applyFont="1" applyFill="1" applyBorder="1" applyAlignment="1">
      <alignment horizontal="right" vertical="center"/>
    </xf>
    <xf numFmtId="210" fontId="32" fillId="17" borderId="123" xfId="0" applyNumberFormat="1" applyFont="1" applyFill="1" applyBorder="1" applyAlignment="1">
      <alignment horizontal="right" vertical="center"/>
    </xf>
    <xf numFmtId="0" fontId="43" fillId="48" borderId="68" xfId="0" applyNumberFormat="1" applyFont="1" applyFill="1" applyBorder="1" applyAlignment="1">
      <alignment horizontal="left" vertical="center"/>
    </xf>
    <xf numFmtId="0" fontId="43" fillId="48" borderId="0" xfId="0" applyNumberFormat="1" applyFont="1" applyFill="1" applyAlignment="1">
      <alignment vertical="center"/>
    </xf>
    <xf numFmtId="0" fontId="26" fillId="49" borderId="107" xfId="0" applyNumberFormat="1" applyFont="1" applyFill="1" applyBorder="1" applyAlignment="1">
      <alignment horizontal="center" vertical="center" wrapText="1"/>
    </xf>
    <xf numFmtId="0" fontId="26" fillId="49" borderId="84" xfId="0" applyNumberFormat="1" applyFont="1" applyFill="1" applyBorder="1" applyAlignment="1">
      <alignment horizontal="center" vertical="center" wrapText="1"/>
    </xf>
    <xf numFmtId="0" fontId="26" fillId="49" borderId="0" xfId="0" applyNumberFormat="1" applyFont="1" applyFill="1" applyAlignment="1">
      <alignment horizontal="center" vertical="center" wrapText="1"/>
    </xf>
    <xf numFmtId="0" fontId="26" fillId="49" borderId="107" xfId="0" applyNumberFormat="1" applyFont="1" applyFill="1" applyBorder="1" applyAlignment="1">
      <alignment horizontal="left" vertical="center" wrapText="1"/>
    </xf>
    <xf numFmtId="0" fontId="25" fillId="37" borderId="68" xfId="0" applyNumberFormat="1" applyFont="1" applyFill="1" applyBorder="1" applyAlignment="1">
      <alignment vertical="center"/>
    </xf>
    <xf numFmtId="0" fontId="25" fillId="37" borderId="0" xfId="0" applyNumberFormat="1" applyFont="1" applyFill="1" applyAlignment="1">
      <alignment vertical="center"/>
    </xf>
    <xf numFmtId="0" fontId="26" fillId="49" borderId="71" xfId="0" applyNumberFormat="1" applyFont="1" applyFill="1" applyBorder="1" applyAlignment="1">
      <alignment horizontal="center" vertical="center" wrapText="1"/>
    </xf>
    <xf numFmtId="0" fontId="26" fillId="49" borderId="71" xfId="0" applyNumberFormat="1" applyFont="1" applyFill="1" applyBorder="1" applyAlignment="1">
      <alignment horizontal="left" vertical="center" wrapText="1"/>
    </xf>
    <xf numFmtId="0" fontId="26" fillId="49" borderId="0" xfId="0" applyNumberFormat="1" applyFont="1" applyFill="1" applyAlignment="1">
      <alignment horizontal="left" vertical="center" wrapText="1"/>
    </xf>
    <xf numFmtId="0" fontId="25" fillId="37" borderId="83" xfId="0" applyNumberFormat="1" applyFont="1" applyFill="1" applyBorder="1" applyAlignment="1">
      <alignment horizontal="left" vertical="center"/>
    </xf>
    <xf numFmtId="0" fontId="26" fillId="49" borderId="84" xfId="0" applyNumberFormat="1" applyFont="1" applyFill="1" applyBorder="1" applyAlignment="1">
      <alignment horizontal="left" vertical="center" wrapText="1"/>
    </xf>
    <xf numFmtId="196" fontId="49" fillId="9" borderId="0" xfId="9" applyNumberFormat="1" applyFont="1" applyFill="1" applyAlignment="1">
      <alignment vertical="center"/>
    </xf>
    <xf numFmtId="0" fontId="49" fillId="9" borderId="0" xfId="8" applyNumberFormat="1" applyFont="1" applyFill="1" applyAlignment="1">
      <alignment vertical="center"/>
    </xf>
    <xf numFmtId="196" fontId="49" fillId="9" borderId="7" xfId="9" applyNumberFormat="1" applyFont="1" applyFill="1" applyBorder="1" applyAlignment="1">
      <alignment horizontal="center" vertical="center"/>
    </xf>
    <xf numFmtId="196" fontId="26" fillId="49" borderId="2" xfId="9" applyNumberFormat="1" applyFont="1" applyFill="1" applyBorder="1" applyAlignment="1">
      <alignment horizontal="center" vertical="center" wrapText="1"/>
    </xf>
    <xf numFmtId="0" fontId="26" fillId="49" borderId="0" xfId="8" applyNumberFormat="1" applyFont="1" applyFill="1" applyAlignment="1">
      <alignment horizontal="center" vertical="center" wrapText="1"/>
    </xf>
    <xf numFmtId="196" fontId="26" fillId="49" borderId="0" xfId="9" applyNumberFormat="1" applyFont="1" applyFill="1" applyBorder="1" applyAlignment="1">
      <alignment horizontal="center" vertical="center" wrapText="1"/>
    </xf>
    <xf numFmtId="196" fontId="26" fillId="49" borderId="0" xfId="9" applyNumberFormat="1" applyFont="1" applyFill="1" applyAlignment="1">
      <alignment horizontal="center" vertical="center" wrapText="1"/>
    </xf>
    <xf numFmtId="196" fontId="26" fillId="49" borderId="2" xfId="9" applyNumberFormat="1" applyFont="1" applyFill="1" applyBorder="1" applyAlignment="1">
      <alignment horizontal="left" vertical="center" wrapText="1"/>
    </xf>
    <xf numFmtId="0" fontId="49" fillId="9" borderId="0" xfId="8" applyNumberFormat="1" applyFont="1" applyFill="1" applyAlignment="1">
      <alignment horizontal="left" vertical="center"/>
    </xf>
    <xf numFmtId="196" fontId="49" fillId="9" borderId="0" xfId="9" applyNumberFormat="1" applyFont="1" applyFill="1" applyBorder="1" applyAlignment="1">
      <alignment horizontal="center" vertical="center"/>
    </xf>
    <xf numFmtId="196" fontId="49" fillId="9" borderId="0" xfId="9" applyNumberFormat="1" applyFont="1" applyFill="1" applyBorder="1" applyAlignment="1">
      <alignment horizontal="right" vertical="center"/>
    </xf>
    <xf numFmtId="214" fontId="26" fillId="49" borderId="0" xfId="9" applyNumberFormat="1" applyFont="1" applyFill="1" applyAlignment="1">
      <alignment horizontal="center" vertical="center" wrapText="1"/>
    </xf>
    <xf numFmtId="196" fontId="26" fillId="49" borderId="7" xfId="9" applyNumberFormat="1" applyFont="1" applyFill="1" applyBorder="1" applyAlignment="1">
      <alignment horizontal="center" vertical="center" wrapText="1"/>
    </xf>
    <xf numFmtId="196" fontId="26" fillId="49" borderId="0" xfId="9" applyNumberFormat="1" applyFont="1" applyFill="1" applyAlignment="1">
      <alignment horizontal="left" vertical="center" wrapText="1"/>
    </xf>
    <xf numFmtId="0" fontId="43" fillId="48" borderId="0" xfId="8" applyNumberFormat="1" applyFont="1" applyFill="1" applyAlignment="1">
      <alignment vertical="center"/>
    </xf>
    <xf numFmtId="0" fontId="26" fillId="49" borderId="9" xfId="8" applyNumberFormat="1" applyFont="1" applyFill="1" applyBorder="1" applyAlignment="1">
      <alignment horizontal="center" vertical="center" wrapText="1"/>
    </xf>
    <xf numFmtId="0" fontId="26" fillId="49" borderId="9" xfId="8" applyNumberFormat="1" applyFont="1" applyFill="1" applyBorder="1" applyAlignment="1">
      <alignment horizontal="left" vertical="center" wrapText="1"/>
    </xf>
    <xf numFmtId="210" fontId="32" fillId="9" borderId="13" xfId="8" applyNumberFormat="1" applyFont="1" applyFill="1" applyBorder="1" applyAlignment="1">
      <alignment horizontal="right" vertical="center"/>
    </xf>
    <xf numFmtId="215" fontId="32" fillId="9" borderId="13" xfId="8" applyNumberFormat="1" applyFont="1" applyFill="1" applyBorder="1" applyAlignment="1">
      <alignment horizontal="right" vertical="center"/>
    </xf>
    <xf numFmtId="0" fontId="28" fillId="9" borderId="13" xfId="8" applyNumberFormat="1" applyFont="1" applyFill="1" applyBorder="1" applyAlignment="1">
      <alignment horizontal="right" vertical="center"/>
    </xf>
    <xf numFmtId="0" fontId="28" fillId="9" borderId="13" xfId="8" applyNumberFormat="1" applyFont="1" applyFill="1" applyBorder="1" applyAlignment="1">
      <alignment vertical="center"/>
    </xf>
    <xf numFmtId="0" fontId="49" fillId="9" borderId="0" xfId="8" applyNumberFormat="1" applyFont="1" applyFill="1" applyAlignment="1">
      <alignment horizontal="right" vertical="center"/>
    </xf>
    <xf numFmtId="0" fontId="26" fillId="49" borderId="10" xfId="0" applyNumberFormat="1" applyFont="1" applyFill="1" applyBorder="1" applyAlignment="1">
      <alignment horizontal="center" vertical="center" wrapText="1"/>
    </xf>
    <xf numFmtId="0" fontId="26" fillId="49" borderId="10" xfId="0" applyNumberFormat="1" applyFont="1" applyFill="1" applyBorder="1" applyAlignment="1">
      <alignment horizontal="left" vertical="center" wrapText="1"/>
    </xf>
    <xf numFmtId="0" fontId="25" fillId="37" borderId="0" xfId="0" applyNumberFormat="1" applyFont="1" applyFill="1" applyAlignment="1">
      <alignment horizontal="center" vertical="center"/>
    </xf>
    <xf numFmtId="0" fontId="26" fillId="49" borderId="9" xfId="0" applyNumberFormat="1" applyFont="1" applyFill="1" applyBorder="1" applyAlignment="1">
      <alignment horizontal="center" vertical="center" wrapText="1"/>
    </xf>
    <xf numFmtId="0" fontId="26" fillId="49" borderId="9" xfId="0" applyNumberFormat="1" applyFont="1" applyFill="1" applyBorder="1" applyAlignment="1">
      <alignment horizontal="left" vertical="center" wrapText="1"/>
    </xf>
    <xf numFmtId="0" fontId="49" fillId="9" borderId="0" xfId="0" applyNumberFormat="1" applyFont="1" applyFill="1" applyAlignment="1">
      <alignment horizontal="left" vertical="center"/>
    </xf>
    <xf numFmtId="0" fontId="25" fillId="37" borderId="0" xfId="0" applyNumberFormat="1" applyFont="1" applyFill="1" applyAlignment="1">
      <alignment horizontal="left" vertical="center"/>
    </xf>
    <xf numFmtId="0" fontId="26" fillId="49" borderId="16" xfId="0" applyNumberFormat="1" applyFont="1" applyFill="1" applyBorder="1" applyAlignment="1">
      <alignment horizontal="center" vertical="center" wrapText="1"/>
    </xf>
    <xf numFmtId="0" fontId="26" fillId="49" borderId="16" xfId="0" applyNumberFormat="1" applyFont="1" applyFill="1" applyBorder="1" applyAlignment="1">
      <alignment horizontal="left" vertical="center" wrapText="1"/>
    </xf>
    <xf numFmtId="0" fontId="56" fillId="11" borderId="74" xfId="0" applyNumberFormat="1" applyFont="1" applyFill="1" applyBorder="1" applyAlignment="1">
      <alignment horizontal="left" vertical="center"/>
    </xf>
    <xf numFmtId="175" fontId="57" fillId="11" borderId="124" xfId="0" applyNumberFormat="1" applyFont="1" applyFill="1" applyBorder="1" applyAlignment="1">
      <alignment horizontal="right" vertical="center"/>
    </xf>
    <xf numFmtId="175" fontId="32" fillId="11" borderId="124" xfId="0" applyNumberFormat="1" applyFont="1" applyFill="1" applyBorder="1" applyAlignment="1">
      <alignment horizontal="right" vertical="center"/>
    </xf>
    <xf numFmtId="188" fontId="32" fillId="11" borderId="124" xfId="0" applyNumberFormat="1" applyFont="1" applyFill="1" applyBorder="1" applyAlignment="1">
      <alignment vertical="center"/>
    </xf>
    <xf numFmtId="175" fontId="29" fillId="11" borderId="124" xfId="0" applyNumberFormat="1" applyFont="1" applyFill="1" applyBorder="1" applyAlignment="1">
      <alignment vertical="center"/>
    </xf>
    <xf numFmtId="0" fontId="53" fillId="9" borderId="125" xfId="0" applyNumberFormat="1" applyFont="1" applyFill="1" applyBorder="1" applyAlignment="1">
      <alignment horizontal="left" vertical="center"/>
    </xf>
    <xf numFmtId="175" fontId="53" fillId="9" borderId="126" xfId="0" applyNumberFormat="1" applyFont="1" applyFill="1" applyBorder="1" applyAlignment="1">
      <alignment horizontal="right" vertical="center"/>
    </xf>
    <xf numFmtId="175" fontId="32" fillId="9" borderId="126" xfId="0" applyNumberFormat="1" applyFont="1" applyFill="1" applyBorder="1" applyAlignment="1">
      <alignment horizontal="right" vertical="center"/>
    </xf>
    <xf numFmtId="188" fontId="32" fillId="9" borderId="126" xfId="0" applyNumberFormat="1" applyFont="1" applyFill="1" applyBorder="1" applyAlignment="1">
      <alignment vertical="center"/>
    </xf>
    <xf numFmtId="175" fontId="29" fillId="9" borderId="126" xfId="0" applyNumberFormat="1" applyFont="1" applyFill="1" applyBorder="1" applyAlignment="1">
      <alignment vertical="center"/>
    </xf>
    <xf numFmtId="0" fontId="32" fillId="9" borderId="74" xfId="0" applyNumberFormat="1" applyFont="1" applyFill="1" applyBorder="1" applyAlignment="1">
      <alignment horizontal="left" vertical="center"/>
    </xf>
    <xf numFmtId="175" fontId="32" fillId="9" borderId="124" xfId="0" applyNumberFormat="1" applyFont="1" applyFill="1" applyBorder="1" applyAlignment="1">
      <alignment horizontal="right" vertical="center"/>
    </xf>
    <xf numFmtId="175" fontId="32" fillId="9" borderId="74" xfId="0" applyNumberFormat="1" applyFont="1" applyFill="1" applyBorder="1" applyAlignment="1">
      <alignment horizontal="right" vertical="center"/>
    </xf>
    <xf numFmtId="188" fontId="32" fillId="9" borderId="74" xfId="0" applyNumberFormat="1" applyFont="1" applyFill="1" applyBorder="1" applyAlignment="1">
      <alignment vertical="center"/>
    </xf>
    <xf numFmtId="0" fontId="53" fillId="10" borderId="127" xfId="0" applyNumberFormat="1" applyFont="1" applyFill="1" applyBorder="1" applyAlignment="1">
      <alignment horizontal="left" vertical="center"/>
    </xf>
    <xf numFmtId="175" fontId="53" fillId="10" borderId="128" xfId="0" applyNumberFormat="1" applyFont="1" applyFill="1" applyBorder="1" applyAlignment="1">
      <alignment horizontal="right" vertical="center"/>
    </xf>
    <xf numFmtId="175" fontId="32" fillId="10" borderId="128" xfId="0" applyNumberFormat="1" applyFont="1" applyFill="1" applyBorder="1" applyAlignment="1">
      <alignment horizontal="right" vertical="center"/>
    </xf>
    <xf numFmtId="175" fontId="32" fillId="10" borderId="127" xfId="0" applyNumberFormat="1" applyFont="1" applyFill="1" applyBorder="1" applyAlignment="1">
      <alignment horizontal="right" vertical="center"/>
    </xf>
    <xf numFmtId="188" fontId="32" fillId="10" borderId="127" xfId="0" applyNumberFormat="1" applyFont="1" applyFill="1" applyBorder="1" applyAlignment="1">
      <alignment vertical="center"/>
    </xf>
    <xf numFmtId="175" fontId="25" fillId="37" borderId="0" xfId="0" applyNumberFormat="1" applyFont="1" applyFill="1" applyAlignment="1">
      <alignment horizontal="left" vertical="center"/>
    </xf>
    <xf numFmtId="175" fontId="32" fillId="9" borderId="74" xfId="0" applyNumberFormat="1" applyFont="1" applyFill="1" applyBorder="1" applyAlignment="1">
      <alignment horizontal="left" vertical="center"/>
    </xf>
    <xf numFmtId="0" fontId="32" fillId="9" borderId="127" xfId="0" applyNumberFormat="1" applyFont="1" applyFill="1" applyBorder="1" applyAlignment="1">
      <alignment horizontal="left" vertical="center"/>
    </xf>
    <xf numFmtId="175" fontId="32" fillId="9" borderId="127" xfId="0" applyNumberFormat="1" applyFont="1" applyFill="1" applyBorder="1" applyAlignment="1">
      <alignment horizontal="left" vertical="center"/>
    </xf>
    <xf numFmtId="188" fontId="32" fillId="9" borderId="127" xfId="0" applyNumberFormat="1" applyFont="1" applyFill="1" applyBorder="1" applyAlignment="1">
      <alignment vertical="center"/>
    </xf>
    <xf numFmtId="166" fontId="25" fillId="37" borderId="0" xfId="0" applyNumberFormat="1" applyFont="1" applyFill="1" applyAlignment="1">
      <alignment horizontal="right" vertical="center"/>
    </xf>
    <xf numFmtId="166" fontId="26" fillId="49" borderId="0" xfId="0" applyNumberFormat="1" applyFont="1" applyFill="1" applyAlignment="1">
      <alignment horizontal="center" vertical="center" wrapText="1"/>
    </xf>
    <xf numFmtId="0" fontId="56" fillId="9" borderId="73" xfId="0" applyNumberFormat="1" applyFont="1" applyFill="1" applyBorder="1" applyAlignment="1">
      <alignment horizontal="left" vertical="center"/>
    </xf>
    <xf numFmtId="175" fontId="32" fillId="9" borderId="73" xfId="0" applyNumberFormat="1" applyFont="1" applyFill="1" applyBorder="1" applyAlignment="1">
      <alignment horizontal="right" vertical="center"/>
    </xf>
    <xf numFmtId="175" fontId="50" fillId="9" borderId="73" xfId="0" applyNumberFormat="1" applyFont="1" applyFill="1" applyBorder="1" applyAlignment="1">
      <alignment horizontal="right" vertical="center"/>
    </xf>
    <xf numFmtId="0" fontId="29" fillId="9" borderId="73" xfId="0" applyNumberFormat="1" applyFont="1" applyFill="1" applyBorder="1" applyAlignment="1">
      <alignment horizontal="center" vertical="center"/>
    </xf>
    <xf numFmtId="0" fontId="32" fillId="9" borderId="73" xfId="0" applyNumberFormat="1" applyFont="1" applyFill="1" applyBorder="1" applyAlignment="1">
      <alignment horizontal="left" vertical="center"/>
    </xf>
    <xf numFmtId="0" fontId="34" fillId="9" borderId="73" xfId="0" applyNumberFormat="1" applyFont="1" applyFill="1" applyBorder="1" applyAlignment="1">
      <alignment horizontal="center" vertical="center"/>
    </xf>
    <xf numFmtId="0" fontId="43" fillId="48" borderId="47" xfId="0" applyNumberFormat="1" applyFont="1" applyFill="1" applyBorder="1" applyAlignment="1">
      <alignment horizontal="left" vertical="center"/>
    </xf>
    <xf numFmtId="0" fontId="43" fillId="48" borderId="47" xfId="0" applyNumberFormat="1" applyFont="1" applyFill="1" applyBorder="1" applyAlignment="1">
      <alignment vertical="center"/>
    </xf>
    <xf numFmtId="0" fontId="43" fillId="48" borderId="47" xfId="0" applyNumberFormat="1" applyFont="1" applyFill="1" applyBorder="1" applyAlignment="1">
      <alignment horizontal="right" vertical="center"/>
    </xf>
    <xf numFmtId="0" fontId="43" fillId="48" borderId="0" xfId="0" applyNumberFormat="1" applyFont="1" applyFill="1" applyAlignment="1">
      <alignment horizontal="right" vertical="center"/>
    </xf>
    <xf numFmtId="177" fontId="26" fillId="49" borderId="63" xfId="0" applyNumberFormat="1" applyFont="1" applyFill="1" applyBorder="1" applyAlignment="1">
      <alignment horizontal="center" vertical="center" wrapText="1"/>
    </xf>
    <xf numFmtId="49" fontId="26" fillId="49" borderId="0" xfId="0" applyNumberFormat="1" applyFont="1" applyFill="1" applyAlignment="1">
      <alignment horizontal="center" vertical="center" wrapText="1"/>
    </xf>
    <xf numFmtId="177" fontId="26" fillId="49" borderId="0" xfId="0" applyNumberFormat="1" applyFont="1" applyFill="1" applyAlignment="1">
      <alignment horizontal="center" vertical="center" wrapText="1"/>
    </xf>
    <xf numFmtId="213" fontId="26" fillId="49" borderId="0" xfId="0" applyNumberFormat="1" applyFont="1" applyFill="1" applyAlignment="1">
      <alignment horizontal="center" vertical="center" wrapText="1"/>
    </xf>
    <xf numFmtId="0" fontId="25" fillId="37" borderId="0" xfId="0" applyNumberFormat="1" applyFont="1" applyFill="1" applyAlignment="1">
      <alignment horizontal="right" vertical="center"/>
    </xf>
    <xf numFmtId="0" fontId="32" fillId="9" borderId="73" xfId="0" applyNumberFormat="1" applyFont="1" applyFill="1" applyBorder="1" applyAlignment="1">
      <alignment horizontal="right" vertical="center"/>
    </xf>
    <xf numFmtId="213" fontId="66" fillId="27" borderId="73" xfId="0" applyNumberFormat="1" applyFont="1" applyFill="1" applyBorder="1" applyAlignment="1">
      <alignment horizontal="right" vertical="center"/>
    </xf>
    <xf numFmtId="213" fontId="32" fillId="26" borderId="73" xfId="0" applyNumberFormat="1" applyFont="1" applyFill="1" applyBorder="1" applyAlignment="1">
      <alignment horizontal="right" vertical="center"/>
    </xf>
    <xf numFmtId="0" fontId="32" fillId="9" borderId="129" xfId="0" applyNumberFormat="1" applyFont="1" applyFill="1" applyBorder="1" applyAlignment="1">
      <alignment horizontal="left" vertical="center"/>
    </xf>
    <xf numFmtId="0" fontId="32" fillId="9" borderId="129" xfId="0" applyNumberFormat="1" applyFont="1" applyFill="1" applyBorder="1" applyAlignment="1">
      <alignment horizontal="right" vertical="center"/>
    </xf>
    <xf numFmtId="213" fontId="66" fillId="27" borderId="129" xfId="0" applyNumberFormat="1" applyFont="1" applyFill="1" applyBorder="1" applyAlignment="1">
      <alignment horizontal="right" vertical="center"/>
    </xf>
    <xf numFmtId="213" fontId="32" fillId="26" borderId="129" xfId="0" applyNumberFormat="1" applyFont="1" applyFill="1" applyBorder="1" applyAlignment="1">
      <alignment horizontal="right" vertical="center"/>
    </xf>
    <xf numFmtId="213" fontId="32" fillId="9" borderId="129" xfId="0" applyNumberFormat="1" applyFont="1" applyFill="1" applyBorder="1" applyAlignment="1">
      <alignment horizontal="right" vertical="center"/>
    </xf>
    <xf numFmtId="213" fontId="32" fillId="9" borderId="73" xfId="0" applyNumberFormat="1" applyFont="1" applyFill="1" applyBorder="1" applyAlignment="1">
      <alignment horizontal="right" vertical="center"/>
    </xf>
    <xf numFmtId="0" fontId="71" fillId="9" borderId="47" xfId="0" applyNumberFormat="1" applyFont="1" applyFill="1" applyBorder="1" applyAlignment="1">
      <alignment horizontal="left" vertical="center"/>
    </xf>
    <xf numFmtId="0" fontId="71" fillId="9" borderId="47" xfId="0" applyNumberFormat="1" applyFont="1" applyFill="1" applyBorder="1" applyAlignment="1">
      <alignment horizontal="right" vertical="center"/>
    </xf>
    <xf numFmtId="0" fontId="49" fillId="9" borderId="0" xfId="0" applyNumberFormat="1" applyFont="1" applyFill="1" applyAlignment="1">
      <alignment horizontal="right" vertical="center"/>
    </xf>
    <xf numFmtId="177" fontId="49" fillId="9" borderId="0" xfId="0" applyNumberFormat="1" applyFont="1" applyFill="1" applyAlignment="1">
      <alignment horizontal="right" vertical="center"/>
    </xf>
    <xf numFmtId="177" fontId="71" fillId="9" borderId="47" xfId="0" applyNumberFormat="1" applyFont="1" applyFill="1" applyBorder="1" applyAlignment="1">
      <alignment horizontal="right" vertical="center"/>
    </xf>
    <xf numFmtId="177" fontId="32" fillId="9" borderId="73" xfId="0" applyNumberFormat="1" applyFont="1" applyFill="1" applyBorder="1" applyAlignment="1">
      <alignment horizontal="right" vertical="center"/>
    </xf>
    <xf numFmtId="0" fontId="25" fillId="37" borderId="53" xfId="0" applyNumberFormat="1" applyFont="1" applyFill="1" applyBorder="1" applyAlignment="1">
      <alignment horizontal="left" vertical="center"/>
    </xf>
    <xf numFmtId="0" fontId="25" fillId="37" borderId="53" xfId="0" applyNumberFormat="1" applyFont="1" applyFill="1" applyBorder="1" applyAlignment="1">
      <alignment vertical="center"/>
    </xf>
    <xf numFmtId="0" fontId="25" fillId="37" borderId="53" xfId="0" applyNumberFormat="1" applyFont="1" applyFill="1" applyBorder="1" applyAlignment="1">
      <alignment horizontal="right" vertical="center"/>
    </xf>
    <xf numFmtId="0" fontId="25" fillId="37" borderId="47" xfId="0" applyNumberFormat="1" applyFont="1" applyFill="1" applyBorder="1" applyAlignment="1">
      <alignment horizontal="left" vertical="center"/>
    </xf>
    <xf numFmtId="0" fontId="25" fillId="37" borderId="47" xfId="0" applyNumberFormat="1" applyFont="1" applyFill="1" applyBorder="1" applyAlignment="1">
      <alignment vertical="center"/>
    </xf>
    <xf numFmtId="0" fontId="25" fillId="37" borderId="47" xfId="0" applyNumberFormat="1" applyFont="1" applyFill="1" applyBorder="1" applyAlignment="1">
      <alignment horizontal="right" vertical="center"/>
    </xf>
    <xf numFmtId="176" fontId="49" fillId="9" borderId="0" xfId="0" applyNumberFormat="1" applyFont="1" applyFill="1" applyAlignment="1">
      <alignment horizontal="right" vertical="center"/>
    </xf>
    <xf numFmtId="176" fontId="71" fillId="9" borderId="47" xfId="0" applyNumberFormat="1" applyFont="1" applyFill="1" applyBorder="1" applyAlignment="1">
      <alignment horizontal="right" vertical="center"/>
    </xf>
    <xf numFmtId="176" fontId="32" fillId="9" borderId="73" xfId="0" applyNumberFormat="1" applyFont="1" applyFill="1" applyBorder="1" applyAlignment="1">
      <alignment horizontal="right" vertical="center"/>
    </xf>
    <xf numFmtId="0" fontId="43" fillId="48" borderId="0" xfId="0" applyNumberFormat="1" applyFont="1" applyFill="1" applyAlignment="1">
      <alignment horizontal="left" vertical="center"/>
    </xf>
    <xf numFmtId="0" fontId="28" fillId="20" borderId="73" xfId="0" applyNumberFormat="1" applyFont="1" applyFill="1" applyBorder="1" applyAlignment="1">
      <alignment vertical="center"/>
    </xf>
    <xf numFmtId="175" fontId="32" fillId="20" borderId="73" xfId="0" applyNumberFormat="1" applyFont="1" applyFill="1" applyBorder="1" applyAlignment="1">
      <alignment vertical="center"/>
    </xf>
    <xf numFmtId="0" fontId="68" fillId="20" borderId="73" xfId="0" applyNumberFormat="1" applyFont="1" applyFill="1" applyBorder="1" applyAlignment="1">
      <alignment vertical="center"/>
    </xf>
    <xf numFmtId="0" fontId="25" fillId="37" borderId="0" xfId="0" applyNumberFormat="1" applyFont="1" applyFill="1" applyAlignment="1">
      <alignment horizontal="left" vertical="center"/>
    </xf>
    <xf numFmtId="187" fontId="32" fillId="20" borderId="73" xfId="0" applyNumberFormat="1" applyFont="1" applyFill="1" applyBorder="1" applyAlignment="1">
      <alignment vertical="center"/>
    </xf>
    <xf numFmtId="173" fontId="89" fillId="49" borderId="64" xfId="0" applyNumberFormat="1" applyFont="1" applyFill="1" applyBorder="1" applyAlignment="1">
      <alignment horizontal="center" vertical="center" wrapText="1"/>
    </xf>
    <xf numFmtId="0" fontId="89" fillId="49" borderId="64" xfId="0" applyNumberFormat="1" applyFont="1" applyFill="1" applyBorder="1" applyAlignment="1">
      <alignment horizontal="left" vertical="center" wrapText="1"/>
    </xf>
    <xf numFmtId="0" fontId="74" fillId="25" borderId="73" xfId="0" applyNumberFormat="1" applyFont="1" applyFill="1" applyBorder="1" applyAlignment="1">
      <alignment vertical="center"/>
    </xf>
    <xf numFmtId="215" fontId="64" fillId="25" borderId="73" xfId="0" applyNumberFormat="1" applyFont="1" applyFill="1" applyBorder="1" applyAlignment="1">
      <alignment vertical="center"/>
    </xf>
    <xf numFmtId="185" fontId="26" fillId="49" borderId="0" xfId="0" applyNumberFormat="1" applyFont="1" applyFill="1" applyAlignment="1">
      <alignment horizontal="center" vertical="center" wrapText="1"/>
    </xf>
    <xf numFmtId="190" fontId="26" fillId="49" borderId="0" xfId="0" applyNumberFormat="1" applyFont="1" applyFill="1" applyAlignment="1">
      <alignment horizontal="center" vertical="center" wrapText="1"/>
    </xf>
    <xf numFmtId="0" fontId="89" fillId="49" borderId="0" xfId="0" applyNumberFormat="1" applyFont="1" applyFill="1" applyAlignment="1">
      <alignment horizontal="center" vertical="center" wrapText="1"/>
    </xf>
    <xf numFmtId="173" fontId="89" fillId="49" borderId="0" xfId="0" applyNumberFormat="1" applyFont="1" applyFill="1" applyAlignment="1">
      <alignment horizontal="center" vertical="center" wrapText="1"/>
    </xf>
    <xf numFmtId="0" fontId="89" fillId="49" borderId="0" xfId="0" applyNumberFormat="1" applyFont="1" applyFill="1" applyAlignment="1">
      <alignment horizontal="left" vertical="center" wrapText="1"/>
    </xf>
    <xf numFmtId="215" fontId="66" fillId="25" borderId="73" xfId="0" applyNumberFormat="1" applyFont="1" applyFill="1" applyBorder="1" applyAlignment="1">
      <alignment vertical="center"/>
    </xf>
    <xf numFmtId="0" fontId="26" fillId="49" borderId="95" xfId="11" applyNumberFormat="1" applyFont="1" applyFill="1" applyBorder="1" applyAlignment="1">
      <alignment horizontal="center" vertical="center" wrapText="1"/>
    </xf>
    <xf numFmtId="0" fontId="26" fillId="49" borderId="96" xfId="11" applyNumberFormat="1" applyFont="1" applyFill="1" applyBorder="1" applyAlignment="1">
      <alignment horizontal="center" vertical="center" wrapText="1"/>
    </xf>
    <xf numFmtId="0" fontId="26" fillId="49" borderId="97" xfId="11" applyNumberFormat="1" applyFont="1" applyFill="1" applyBorder="1" applyAlignment="1">
      <alignment horizontal="center" vertical="center" wrapText="1"/>
    </xf>
    <xf numFmtId="0" fontId="26" fillId="49" borderId="0" xfId="11" applyNumberFormat="1" applyFont="1" applyFill="1" applyAlignment="1">
      <alignment horizontal="center" vertical="center" wrapText="1"/>
    </xf>
    <xf numFmtId="0" fontId="26" fillId="49" borderId="0" xfId="11" applyNumberFormat="1" applyFont="1" applyFill="1" applyAlignment="1">
      <alignment horizontal="left" vertical="center" wrapText="1"/>
    </xf>
    <xf numFmtId="0" fontId="26" fillId="49" borderId="3" xfId="11" applyNumberFormat="1" applyFont="1" applyFill="1" applyBorder="1" applyAlignment="1">
      <alignment horizontal="center" vertical="center" wrapText="1"/>
    </xf>
    <xf numFmtId="204" fontId="26" fillId="49" borderId="102" xfId="11" applyNumberFormat="1" applyFont="1" applyFill="1" applyBorder="1" applyAlignment="1">
      <alignment horizontal="center" vertical="center" wrapText="1"/>
    </xf>
    <xf numFmtId="204" fontId="26" fillId="49" borderId="3" xfId="11" applyNumberFormat="1" applyFont="1" applyFill="1" applyBorder="1" applyAlignment="1">
      <alignment horizontal="center" vertical="center" wrapText="1"/>
    </xf>
    <xf numFmtId="0" fontId="43" fillId="48" borderId="0" xfId="11" applyNumberFormat="1" applyFont="1" applyFill="1" applyAlignment="1">
      <alignment vertical="center"/>
    </xf>
    <xf numFmtId="0" fontId="43" fillId="48" borderId="83" xfId="11" applyNumberFormat="1" applyFont="1" applyFill="1" applyBorder="1" applyAlignment="1">
      <alignment horizontal="left" vertical="center"/>
    </xf>
    <xf numFmtId="0" fontId="49" fillId="9" borderId="0" xfId="11" applyNumberFormat="1" applyFont="1" applyFill="1" applyAlignment="1">
      <alignment horizontal="left" vertical="center"/>
    </xf>
    <xf numFmtId="0" fontId="89" fillId="49" borderId="0" xfId="11" applyNumberFormat="1" applyFont="1" applyFill="1" applyAlignment="1">
      <alignment horizontal="center" vertical="center" wrapText="1"/>
    </xf>
    <xf numFmtId="0" fontId="26" fillId="49" borderId="108" xfId="11" applyNumberFormat="1" applyFont="1" applyFill="1" applyBorder="1" applyAlignment="1">
      <alignment horizontal="center" vertical="center" wrapText="1"/>
    </xf>
    <xf numFmtId="0" fontId="25" fillId="37" borderId="0" xfId="11" applyNumberFormat="1" applyFont="1" applyFill="1" applyAlignment="1">
      <alignment vertical="center"/>
    </xf>
    <xf numFmtId="0" fontId="25" fillId="37" borderId="83" xfId="11" applyNumberFormat="1" applyFont="1" applyFill="1" applyBorder="1" applyAlignment="1">
      <alignment horizontal="left" vertical="center"/>
    </xf>
    <xf numFmtId="0" fontId="25" fillId="37" borderId="0" xfId="11" applyNumberFormat="1" applyFont="1" applyFill="1" applyAlignment="1">
      <alignment horizontal="left" vertical="center"/>
    </xf>
    <xf numFmtId="205" fontId="32" fillId="9" borderId="73" xfId="11" applyNumberFormat="1" applyFont="1" applyFill="1" applyBorder="1" applyAlignment="1">
      <alignment horizontal="right" vertical="center"/>
    </xf>
    <xf numFmtId="0" fontId="25" fillId="37" borderId="110" xfId="0" applyNumberFormat="1" applyFont="1" applyFill="1" applyBorder="1" applyAlignment="1">
      <alignment horizontal="left" vertical="center"/>
    </xf>
    <xf numFmtId="0" fontId="25" fillId="37" borderId="110" xfId="0" applyNumberFormat="1" applyFont="1" applyFill="1" applyBorder="1" applyAlignment="1">
      <alignment horizontal="right" vertical="center"/>
    </xf>
    <xf numFmtId="0" fontId="26" fillId="49" borderId="111" xfId="0" applyNumberFormat="1" applyFont="1" applyFill="1" applyBorder="1" applyAlignment="1">
      <alignment horizontal="center" vertical="center" wrapText="1"/>
    </xf>
    <xf numFmtId="206" fontId="26" fillId="49" borderId="0" xfId="11" applyNumberFormat="1" applyFont="1" applyFill="1" applyAlignment="1">
      <alignment horizontal="center" vertical="center" wrapText="1"/>
    </xf>
    <xf numFmtId="0" fontId="26" fillId="49" borderId="0" xfId="0" applyNumberFormat="1" applyFont="1" applyFill="1" applyAlignment="1">
      <alignment horizontal="center" vertical="center" wrapText="1"/>
    </xf>
    <xf numFmtId="0" fontId="43" fillId="48" borderId="83" xfId="0" applyNumberFormat="1" applyFont="1" applyFill="1" applyBorder="1" applyAlignment="1">
      <alignment horizontal="center" vertical="center"/>
    </xf>
    <xf numFmtId="0" fontId="26" fillId="49" borderId="83" xfId="0" applyNumberFormat="1" applyFont="1" applyFill="1" applyBorder="1" applyAlignment="1">
      <alignment horizontal="center" vertical="center" wrapText="1"/>
    </xf>
    <xf numFmtId="0" fontId="26" fillId="49" borderId="83" xfId="0" applyNumberFormat="1" applyFont="1" applyFill="1" applyBorder="1" applyAlignment="1">
      <alignment horizontal="left" vertical="center" wrapText="1"/>
    </xf>
    <xf numFmtId="0" fontId="43" fillId="48" borderId="0" xfId="0" applyNumberFormat="1" applyFont="1" applyFill="1" applyAlignment="1">
      <alignment vertical="center"/>
    </xf>
    <xf numFmtId="0" fontId="26" fillId="49" borderId="64" xfId="0" applyNumberFormat="1" applyFont="1" applyFill="1" applyBorder="1" applyAlignment="1">
      <alignment horizontal="center" vertical="center" wrapText="1"/>
    </xf>
    <xf numFmtId="0" fontId="26" fillId="49" borderId="118" xfId="0" applyNumberFormat="1" applyFont="1" applyFill="1" applyBorder="1" applyAlignment="1">
      <alignment horizontal="center" vertical="center" wrapText="1"/>
    </xf>
    <xf numFmtId="0" fontId="26" fillId="49" borderId="64" xfId="0" applyNumberFormat="1" applyFont="1" applyFill="1" applyBorder="1" applyAlignment="1">
      <alignment horizontal="left" vertical="center" wrapText="1"/>
    </xf>
    <xf numFmtId="0" fontId="89" fillId="49" borderId="117" xfId="0" applyNumberFormat="1" applyFont="1" applyFill="1" applyBorder="1" applyAlignment="1">
      <alignment horizontal="center" vertical="center" wrapText="1"/>
    </xf>
    <xf numFmtId="0" fontId="25" fillId="37" borderId="121" xfId="0" applyNumberFormat="1" applyFont="1" applyFill="1" applyBorder="1" applyAlignment="1">
      <alignment horizontal="left" vertical="center"/>
    </xf>
    <xf numFmtId="0" fontId="49" fillId="9" borderId="117" xfId="0" applyNumberFormat="1" applyFont="1" applyFill="1" applyBorder="1" applyAlignment="1">
      <alignment horizontal="left" vertical="center"/>
    </xf>
    <xf numFmtId="0" fontId="26" fillId="49" borderId="82" xfId="0" applyNumberFormat="1" applyFont="1" applyFill="1" applyBorder="1" applyAlignment="1">
      <alignment horizontal="center" vertical="center" wrapText="1"/>
    </xf>
    <xf numFmtId="0" fontId="26" fillId="49" borderId="82" xfId="0" applyNumberFormat="1" applyFont="1" applyFill="1" applyBorder="1" applyAlignment="1">
      <alignment horizontal="center" vertical="center" wrapText="1"/>
    </xf>
    <xf numFmtId="0" fontId="26" fillId="49" borderId="82" xfId="0" applyNumberFormat="1" applyFont="1" applyFill="1" applyBorder="1" applyAlignment="1">
      <alignment horizontal="left" vertical="center" wrapText="1"/>
    </xf>
    <xf numFmtId="210" fontId="26" fillId="49" borderId="0" xfId="0" applyNumberFormat="1" applyFont="1" applyFill="1" applyAlignment="1">
      <alignment horizontal="center" vertical="center" wrapText="1"/>
    </xf>
    <xf numFmtId="215" fontId="29" fillId="50" borderId="0" xfId="0" applyNumberFormat="1" applyFont="1" applyFill="1" applyAlignment="1">
      <alignment vertical="center"/>
    </xf>
    <xf numFmtId="215" fontId="31" fillId="50" borderId="0" xfId="0" applyNumberFormat="1" applyFont="1" applyFill="1" applyAlignment="1">
      <alignment vertical="center"/>
    </xf>
    <xf numFmtId="210" fontId="65" fillId="50" borderId="0" xfId="0" applyNumberFormat="1" applyFont="1" applyFill="1" applyAlignment="1">
      <alignment vertical="center"/>
    </xf>
    <xf numFmtId="215" fontId="29" fillId="51" borderId="0" xfId="0" applyNumberFormat="1" applyFont="1" applyFill="1" applyAlignment="1">
      <alignment vertical="center"/>
    </xf>
    <xf numFmtId="215" fontId="31" fillId="51" borderId="0" xfId="0" applyNumberFormat="1" applyFont="1" applyFill="1" applyAlignment="1">
      <alignment vertical="center"/>
    </xf>
    <xf numFmtId="210" fontId="65" fillId="51" borderId="0" xfId="0" applyNumberFormat="1" applyFont="1" applyFill="1" applyAlignment="1">
      <alignment vertical="center"/>
    </xf>
    <xf numFmtId="215" fontId="32" fillId="50" borderId="0" xfId="0" applyNumberFormat="1" applyFont="1" applyFill="1" applyAlignment="1">
      <alignment vertical="center"/>
    </xf>
    <xf numFmtId="215" fontId="33" fillId="50" borderId="0" xfId="0" applyNumberFormat="1" applyFont="1" applyFill="1" applyAlignment="1">
      <alignment vertical="center"/>
    </xf>
    <xf numFmtId="0" fontId="90" fillId="52" borderId="1" xfId="8" applyNumberFormat="1" applyFont="1" applyFill="1" applyBorder="1" applyAlignment="1">
      <alignment vertical="center"/>
    </xf>
    <xf numFmtId="0" fontId="90" fillId="52" borderId="0" xfId="0" applyNumberFormat="1" applyFont="1" applyFill="1" applyAlignment="1">
      <alignment vertical="center"/>
    </xf>
    <xf numFmtId="0" fontId="90" fillId="52" borderId="16" xfId="0" applyNumberFormat="1" applyFont="1" applyFill="1" applyBorder="1" applyAlignment="1">
      <alignment horizontal="left" vertical="center"/>
    </xf>
    <xf numFmtId="175" fontId="90" fillId="52" borderId="24" xfId="0" applyNumberFormat="1" applyFont="1" applyFill="1" applyBorder="1" applyAlignment="1">
      <alignment horizontal="right" vertical="center"/>
    </xf>
    <xf numFmtId="188" fontId="90" fillId="52" borderId="24" xfId="0" applyNumberFormat="1" applyFont="1" applyFill="1" applyBorder="1" applyAlignment="1">
      <alignment vertical="center"/>
    </xf>
    <xf numFmtId="175" fontId="90" fillId="52" borderId="24" xfId="0" applyNumberFormat="1" applyFont="1" applyFill="1" applyBorder="1" applyAlignment="1">
      <alignment vertical="center"/>
    </xf>
    <xf numFmtId="0" fontId="90" fillId="52" borderId="18" xfId="0" applyNumberFormat="1" applyFont="1" applyFill="1" applyBorder="1" applyAlignment="1">
      <alignment horizontal="left" vertical="center"/>
    </xf>
    <xf numFmtId="175" fontId="90" fillId="52" borderId="25" xfId="0" applyNumberFormat="1" applyFont="1" applyFill="1" applyBorder="1" applyAlignment="1">
      <alignment horizontal="right" vertical="center"/>
    </xf>
    <xf numFmtId="188" fontId="90" fillId="52" borderId="25" xfId="0" applyNumberFormat="1" applyFont="1" applyFill="1" applyBorder="1" applyAlignment="1">
      <alignment vertical="center"/>
    </xf>
    <xf numFmtId="175" fontId="90" fillId="52" borderId="25" xfId="0" applyNumberFormat="1" applyFont="1" applyFill="1" applyBorder="1" applyAlignment="1">
      <alignment vertical="center"/>
    </xf>
    <xf numFmtId="0" fontId="90" fillId="52" borderId="0" xfId="0" applyNumberFormat="1" applyFont="1" applyFill="1" applyAlignment="1">
      <alignment horizontal="left" vertical="center"/>
    </xf>
    <xf numFmtId="175" fontId="90" fillId="52" borderId="26" xfId="0" applyNumberFormat="1" applyFont="1" applyFill="1" applyBorder="1" applyAlignment="1">
      <alignment horizontal="right" vertical="center"/>
    </xf>
    <xf numFmtId="188" fontId="90" fillId="52" borderId="26" xfId="0" applyNumberFormat="1" applyFont="1" applyFill="1" applyBorder="1" applyAlignment="1">
      <alignment vertical="center"/>
    </xf>
    <xf numFmtId="175" fontId="90" fillId="52" borderId="26" xfId="0" applyNumberFormat="1" applyFont="1" applyFill="1" applyBorder="1" applyAlignment="1">
      <alignment vertical="center"/>
    </xf>
    <xf numFmtId="175" fontId="90" fillId="52" borderId="0" xfId="0" applyNumberFormat="1" applyFont="1" applyFill="1" applyAlignment="1">
      <alignment horizontal="right" vertical="center"/>
    </xf>
    <xf numFmtId="175" fontId="90" fillId="52" borderId="0" xfId="0" applyNumberFormat="1" applyFont="1" applyFill="1" applyAlignment="1">
      <alignment vertical="center"/>
    </xf>
    <xf numFmtId="188" fontId="90" fillId="52" borderId="0" xfId="0" applyNumberFormat="1" applyFont="1" applyFill="1" applyAlignment="1">
      <alignment vertical="center"/>
    </xf>
    <xf numFmtId="175" fontId="90" fillId="52" borderId="0" xfId="0" applyNumberFormat="1" applyFont="1" applyFill="1" applyAlignment="1">
      <alignment horizontal="left" vertical="center"/>
    </xf>
    <xf numFmtId="0" fontId="90" fillId="52" borderId="0" xfId="0" applyNumberFormat="1" applyFont="1" applyFill="1" applyAlignment="1">
      <alignment horizontal="right" vertical="center"/>
    </xf>
    <xf numFmtId="177" fontId="90" fillId="52" borderId="0" xfId="0" applyNumberFormat="1" applyFont="1" applyFill="1" applyAlignment="1">
      <alignment horizontal="right" vertical="center"/>
    </xf>
    <xf numFmtId="176" fontId="90" fillId="52" borderId="0" xfId="0" applyNumberFormat="1" applyFont="1" applyFill="1" applyAlignment="1">
      <alignment horizontal="right" vertical="center"/>
    </xf>
    <xf numFmtId="0" fontId="90" fillId="52" borderId="0" xfId="0" applyNumberFormat="1" applyFont="1" applyFill="1" applyAlignment="1">
      <alignment vertical="center"/>
    </xf>
    <xf numFmtId="0" fontId="90" fillId="52" borderId="117" xfId="0" applyNumberFormat="1" applyFont="1" applyFill="1" applyBorder="1" applyAlignment="1">
      <alignment vertical="center"/>
    </xf>
    <xf numFmtId="0" fontId="43" fillId="48" borderId="0" xfId="8" applyNumberFormat="1" applyFont="1" applyFill="1" applyAlignment="1">
      <alignment horizontal="left" vertical="center"/>
    </xf>
    <xf numFmtId="0" fontId="25" fillId="37" borderId="1" xfId="8" applyNumberFormat="1" applyFont="1" applyFill="1" applyBorder="1" applyAlignment="1">
      <alignment horizontal="left" vertical="center"/>
    </xf>
    <xf numFmtId="196" fontId="25" fillId="37" borderId="1" xfId="9" applyNumberFormat="1" applyFont="1" applyFill="1" applyBorder="1" applyAlignment="1">
      <alignment vertical="center"/>
    </xf>
    <xf numFmtId="196" fontId="90" fillId="52" borderId="1" xfId="9" applyNumberFormat="1" applyFont="1" applyFill="1" applyBorder="1" applyAlignment="1">
      <alignment vertical="center"/>
    </xf>
    <xf numFmtId="0" fontId="25" fillId="37" borderId="1" xfId="8" applyNumberFormat="1" applyFont="1" applyFill="1" applyBorder="1" applyAlignment="1">
      <alignment horizontal="right" vertical="center"/>
    </xf>
    <xf numFmtId="0" fontId="25" fillId="37" borderId="0" xfId="8" applyNumberFormat="1" applyFont="1" applyFill="1" applyAlignment="1">
      <alignment horizontal="right" vertical="center"/>
    </xf>
    <xf numFmtId="0" fontId="25" fillId="37" borderId="0" xfId="8" applyNumberFormat="1" applyFont="1" applyFill="1" applyAlignment="1">
      <alignment vertical="center"/>
    </xf>
    <xf numFmtId="0" fontId="43" fillId="48" borderId="1" xfId="0" applyNumberFormat="1" applyFont="1" applyFill="1" applyBorder="1" applyAlignment="1">
      <alignment vertical="center"/>
    </xf>
    <xf numFmtId="0" fontId="43" fillId="48" borderId="0" xfId="0" applyNumberFormat="1" applyFont="1" applyFill="1" applyAlignment="1">
      <alignment horizontal="center" vertical="center"/>
    </xf>
    <xf numFmtId="0" fontId="26" fillId="35" borderId="68" xfId="0" applyNumberFormat="1" applyFont="1" applyFill="1" applyBorder="1" applyAlignment="1">
      <alignment horizontal="center" vertical="center"/>
    </xf>
    <xf numFmtId="0" fontId="26" fillId="35" borderId="65" xfId="0" applyNumberFormat="1" applyFont="1" applyFill="1" applyBorder="1" applyAlignment="1">
      <alignment horizontal="center" vertical="center"/>
    </xf>
    <xf numFmtId="0" fontId="26" fillId="35" borderId="0" xfId="0" applyNumberFormat="1" applyFont="1" applyFill="1" applyAlignment="1">
      <alignment horizontal="center" vertical="center"/>
    </xf>
    <xf numFmtId="0" fontId="28" fillId="13" borderId="68" xfId="0" applyNumberFormat="1" applyFont="1" applyFill="1" applyBorder="1" applyAlignment="1">
      <alignment horizontal="left" vertical="center"/>
    </xf>
    <xf numFmtId="187" fontId="32" fillId="13" borderId="68" xfId="0" applyNumberFormat="1" applyFont="1" applyFill="1" applyBorder="1" applyAlignment="1">
      <alignment vertical="center"/>
    </xf>
    <xf numFmtId="0" fontId="32" fillId="17" borderId="87" xfId="0" applyNumberFormat="1" applyFont="1" applyFill="1" applyBorder="1" applyAlignment="1">
      <alignment horizontal="center" vertical="center"/>
    </xf>
    <xf numFmtId="0" fontId="32" fillId="17" borderId="87" xfId="0" applyNumberFormat="1" applyFont="1" applyFill="1" applyBorder="1" applyAlignment="1">
      <alignment horizontal="left" vertical="center"/>
    </xf>
    <xf numFmtId="0" fontId="51" fillId="5" borderId="6" xfId="0" applyNumberFormat="1" applyFont="1" applyFill="1" applyBorder="1" applyAlignment="1">
      <alignment horizontal="center" vertical="center"/>
    </xf>
    <xf numFmtId="0" fontId="51" fillId="5" borderId="6" xfId="0" applyNumberFormat="1" applyFont="1" applyFill="1" applyBorder="1" applyAlignment="1">
      <alignment horizontal="center" vertical="center"/>
    </xf>
    <xf numFmtId="0" fontId="77" fillId="16" borderId="0" xfId="11" applyNumberFormat="1" applyFont="1" applyFill="1" applyAlignment="1">
      <alignment horizontal="center" vertical="center"/>
    </xf>
    <xf numFmtId="0" fontId="77" fillId="16" borderId="94" xfId="11" applyNumberFormat="1" applyFont="1" applyFill="1" applyBorder="1" applyAlignment="1">
      <alignment horizontal="center" vertical="center"/>
    </xf>
    <xf numFmtId="0" fontId="32" fillId="16" borderId="73" xfId="11" applyNumberFormat="1" applyFont="1" applyFill="1" applyBorder="1" applyAlignment="1">
      <alignment horizontal="center" vertical="center"/>
    </xf>
    <xf numFmtId="0" fontId="77" fillId="16" borderId="73" xfId="11" applyNumberFormat="1" applyFont="1" applyFill="1" applyBorder="1" applyAlignment="1">
      <alignment horizontal="center" vertical="center"/>
    </xf>
    <xf numFmtId="0" fontId="25" fillId="37" borderId="1" xfId="8" applyNumberFormat="1" applyFont="1" applyFill="1" applyBorder="1" applyAlignment="1">
      <alignment vertical="center"/>
    </xf>
    <xf numFmtId="0" fontId="25" fillId="37" borderId="1" xfId="0" applyNumberFormat="1" applyFont="1" applyFill="1" applyBorder="1" applyAlignment="1">
      <alignment vertical="center"/>
    </xf>
    <xf numFmtId="0" fontId="27" fillId="9" borderId="68" xfId="0" applyNumberFormat="1" applyFont="1" applyFill="1" applyBorder="1" applyAlignment="1">
      <alignment vertical="center"/>
    </xf>
    <xf numFmtId="0" fontId="27" fillId="9" borderId="0" xfId="0" applyNumberFormat="1" applyFont="1" applyFill="1" applyAlignment="1">
      <alignment vertical="center"/>
    </xf>
    <xf numFmtId="187" fontId="29" fillId="9" borderId="0" xfId="0" applyNumberFormat="1" applyFont="1" applyFill="1" applyAlignment="1">
      <alignment vertical="center"/>
    </xf>
    <xf numFmtId="187" fontId="29" fillId="9" borderId="105" xfId="0" applyNumberFormat="1" applyFont="1" applyFill="1" applyBorder="1" applyAlignment="1">
      <alignment vertical="center"/>
    </xf>
    <xf numFmtId="187" fontId="32" fillId="9" borderId="0" xfId="0" applyNumberFormat="1" applyFont="1" applyFill="1" applyAlignment="1">
      <alignment vertical="center"/>
    </xf>
    <xf numFmtId="0" fontId="28" fillId="9" borderId="0" xfId="0" applyNumberFormat="1" applyFont="1" applyFill="1" applyAlignment="1">
      <alignment vertical="center"/>
    </xf>
    <xf numFmtId="0" fontId="28" fillId="9" borderId="73" xfId="0" applyNumberFormat="1" applyFont="1" applyFill="1" applyBorder="1" applyAlignment="1">
      <alignment vertical="center"/>
    </xf>
    <xf numFmtId="208" fontId="32" fillId="9" borderId="73" xfId="2" applyNumberFormat="1" applyFont="1" applyFill="1" applyBorder="1" applyAlignment="1">
      <alignment vertical="center"/>
    </xf>
    <xf numFmtId="187" fontId="31" fillId="9" borderId="0" xfId="0" applyNumberFormat="1" applyFont="1" applyFill="1" applyAlignment="1">
      <alignment vertical="center"/>
    </xf>
    <xf numFmtId="0" fontId="49" fillId="9" borderId="0" xfId="0" applyNumberFormat="1" applyFont="1" applyFill="1" applyAlignment="1">
      <alignment vertical="center"/>
    </xf>
    <xf numFmtId="49" fontId="27" fillId="9" borderId="68" xfId="0" applyNumberFormat="1" applyFont="1" applyFill="1" applyBorder="1" applyAlignment="1">
      <alignment horizontal="left" vertical="center"/>
    </xf>
    <xf numFmtId="187" fontId="31" fillId="9" borderId="68" xfId="0" applyNumberFormat="1" applyFont="1" applyFill="1" applyBorder="1" applyAlignment="1">
      <alignment vertical="center"/>
    </xf>
    <xf numFmtId="187" fontId="27" fillId="9" borderId="68" xfId="0" applyNumberFormat="1" applyFont="1" applyFill="1" applyBorder="1" applyAlignment="1">
      <alignment vertical="center"/>
    </xf>
    <xf numFmtId="187" fontId="33" fillId="9" borderId="68" xfId="0" applyNumberFormat="1" applyFont="1" applyFill="1" applyBorder="1" applyAlignment="1">
      <alignment vertical="center"/>
    </xf>
    <xf numFmtId="0" fontId="27" fillId="9" borderId="65" xfId="0" applyNumberFormat="1" applyFont="1" applyFill="1" applyBorder="1" applyAlignment="1">
      <alignment horizontal="left" vertical="center"/>
    </xf>
    <xf numFmtId="0" fontId="27" fillId="9" borderId="0" xfId="0" applyNumberFormat="1" applyFont="1" applyFill="1" applyAlignment="1">
      <alignment horizontal="left" vertical="center"/>
    </xf>
    <xf numFmtId="49" fontId="36" fillId="9" borderId="68" xfId="0" applyNumberFormat="1" applyFont="1" applyFill="1" applyBorder="1" applyAlignment="1">
      <alignment horizontal="left" vertical="center"/>
    </xf>
    <xf numFmtId="0" fontId="27" fillId="9" borderId="65" xfId="0" applyNumberFormat="1" applyFont="1" applyFill="1" applyBorder="1" applyAlignment="1">
      <alignment horizontal="left" vertical="center"/>
    </xf>
    <xf numFmtId="0" fontId="27" fillId="9" borderId="0" xfId="0" applyNumberFormat="1" applyFont="1" applyFill="1" applyAlignment="1">
      <alignment horizontal="left" vertical="center"/>
    </xf>
    <xf numFmtId="187" fontId="36" fillId="9" borderId="68" xfId="0" applyNumberFormat="1" applyFont="1" applyFill="1" applyBorder="1" applyAlignment="1">
      <alignment vertical="center"/>
    </xf>
    <xf numFmtId="0" fontId="28" fillId="9" borderId="65" xfId="0" applyNumberFormat="1" applyFont="1" applyFill="1" applyBorder="1" applyAlignment="1">
      <alignment horizontal="left" vertical="center"/>
    </xf>
    <xf numFmtId="0" fontId="28" fillId="9" borderId="0" xfId="0" applyNumberFormat="1" applyFont="1" applyFill="1" applyAlignment="1">
      <alignment horizontal="left" vertical="center"/>
    </xf>
    <xf numFmtId="49" fontId="27" fillId="9" borderId="71" xfId="0" applyNumberFormat="1" applyFont="1" applyFill="1" applyBorder="1" applyAlignment="1">
      <alignment horizontal="left" vertical="center"/>
    </xf>
    <xf numFmtId="195" fontId="36" fillId="9" borderId="71" xfId="0" applyNumberFormat="1" applyFont="1" applyFill="1" applyBorder="1" applyAlignment="1">
      <alignment vertical="center"/>
    </xf>
    <xf numFmtId="195" fontId="31" fillId="9" borderId="71" xfId="0" applyNumberFormat="1" applyFont="1" applyFill="1" applyBorder="1" applyAlignment="1">
      <alignment vertical="center"/>
    </xf>
    <xf numFmtId="195" fontId="33" fillId="9" borderId="71" xfId="0" applyNumberFormat="1" applyFont="1" applyFill="1" applyBorder="1" applyAlignment="1">
      <alignment vertical="center"/>
    </xf>
    <xf numFmtId="210" fontId="33" fillId="9" borderId="71" xfId="0" applyNumberFormat="1" applyFont="1" applyFill="1" applyBorder="1" applyAlignment="1">
      <alignment vertical="center"/>
    </xf>
    <xf numFmtId="187" fontId="31" fillId="9" borderId="71" xfId="0" applyNumberFormat="1" applyFont="1" applyFill="1" applyBorder="1" applyAlignment="1">
      <alignment vertical="center"/>
    </xf>
    <xf numFmtId="187" fontId="33" fillId="9" borderId="71" xfId="0" applyNumberFormat="1" applyFont="1" applyFill="1" applyBorder="1" applyAlignment="1">
      <alignment vertical="center"/>
    </xf>
    <xf numFmtId="49" fontId="27" fillId="9" borderId="70" xfId="0" applyNumberFormat="1" applyFont="1" applyFill="1" applyBorder="1" applyAlignment="1">
      <alignment horizontal="left" vertical="center"/>
    </xf>
    <xf numFmtId="195" fontId="36" fillId="9" borderId="70" xfId="0" applyNumberFormat="1" applyFont="1" applyFill="1" applyBorder="1" applyAlignment="1">
      <alignment vertical="center"/>
    </xf>
    <xf numFmtId="195" fontId="31" fillId="9" borderId="70" xfId="0" applyNumberFormat="1" applyFont="1" applyFill="1" applyBorder="1" applyAlignment="1">
      <alignment vertical="center"/>
    </xf>
    <xf numFmtId="195" fontId="33" fillId="9" borderId="70" xfId="0" applyNumberFormat="1" applyFont="1" applyFill="1" applyBorder="1" applyAlignment="1">
      <alignment vertical="center"/>
    </xf>
    <xf numFmtId="210" fontId="33" fillId="9" borderId="70" xfId="0" applyNumberFormat="1" applyFont="1" applyFill="1" applyBorder="1" applyAlignment="1">
      <alignment vertical="center"/>
    </xf>
    <xf numFmtId="187" fontId="31" fillId="9" borderId="70" xfId="0" applyNumberFormat="1" applyFont="1" applyFill="1" applyBorder="1" applyAlignment="1">
      <alignment vertical="center"/>
    </xf>
    <xf numFmtId="187" fontId="33" fillId="9" borderId="70" xfId="0" applyNumberFormat="1" applyFont="1" applyFill="1" applyBorder="1" applyAlignment="1">
      <alignment vertical="center"/>
    </xf>
    <xf numFmtId="49" fontId="27" fillId="9" borderId="0" xfId="0" applyNumberFormat="1" applyFont="1" applyFill="1" applyAlignment="1">
      <alignment horizontal="left" vertical="center"/>
    </xf>
    <xf numFmtId="195" fontId="36" fillId="9" borderId="0" xfId="0" applyNumberFormat="1" applyFont="1" applyFill="1" applyAlignment="1">
      <alignment vertical="center"/>
    </xf>
    <xf numFmtId="195" fontId="31" fillId="9" borderId="0" xfId="0" applyNumberFormat="1" applyFont="1" applyFill="1" applyAlignment="1">
      <alignment vertical="center"/>
    </xf>
    <xf numFmtId="195" fontId="33" fillId="9" borderId="0" xfId="0" applyNumberFormat="1" applyFont="1" applyFill="1" applyAlignment="1">
      <alignment vertical="center"/>
    </xf>
    <xf numFmtId="210" fontId="33" fillId="9" borderId="0" xfId="0" applyNumberFormat="1" applyFont="1" applyFill="1" applyAlignment="1">
      <alignment vertical="center"/>
    </xf>
    <xf numFmtId="187" fontId="33" fillId="9" borderId="0" xfId="0" applyNumberFormat="1" applyFont="1" applyFill="1" applyAlignment="1">
      <alignment vertical="center"/>
    </xf>
    <xf numFmtId="0" fontId="28" fillId="9" borderId="69" xfId="0" applyNumberFormat="1" applyFont="1" applyFill="1" applyBorder="1" applyAlignment="1">
      <alignment vertical="center"/>
    </xf>
    <xf numFmtId="195" fontId="32" fillId="9" borderId="69" xfId="0" applyNumberFormat="1" applyFont="1" applyFill="1" applyBorder="1" applyAlignment="1">
      <alignment vertical="center"/>
    </xf>
    <xf numFmtId="210" fontId="32" fillId="9" borderId="69" xfId="0" applyNumberFormat="1" applyFont="1" applyFill="1" applyBorder="1" applyAlignment="1">
      <alignment vertical="center"/>
    </xf>
    <xf numFmtId="187" fontId="32" fillId="9" borderId="69" xfId="0" applyNumberFormat="1" applyFont="1" applyFill="1" applyBorder="1" applyAlignment="1">
      <alignment vertical="center"/>
    </xf>
    <xf numFmtId="187" fontId="27" fillId="9" borderId="0" xfId="0" applyNumberFormat="1" applyFont="1" applyFill="1" applyAlignment="1">
      <alignment vertical="center"/>
    </xf>
    <xf numFmtId="187" fontId="32" fillId="9" borderId="105" xfId="0" applyNumberFormat="1" applyFont="1" applyFill="1" applyBorder="1" applyAlignment="1">
      <alignment vertical="center"/>
    </xf>
    <xf numFmtId="211" fontId="31" fillId="9" borderId="0" xfId="0" applyNumberFormat="1" applyFont="1" applyFill="1" applyAlignment="1">
      <alignment vertical="center"/>
    </xf>
    <xf numFmtId="49" fontId="28" fillId="9" borderId="14" xfId="0" quotePrefix="1" applyNumberFormat="1" applyFont="1" applyFill="1" applyBorder="1" applyAlignment="1">
      <alignment vertical="center"/>
    </xf>
    <xf numFmtId="187" fontId="32" fillId="9" borderId="14" xfId="0" applyNumberFormat="1" applyFont="1" applyFill="1" applyBorder="1" applyAlignment="1">
      <alignment vertical="center"/>
    </xf>
    <xf numFmtId="0" fontId="28" fillId="9" borderId="14" xfId="0" applyNumberFormat="1" applyFont="1" applyFill="1" applyBorder="1" applyAlignment="1">
      <alignment vertical="center"/>
    </xf>
    <xf numFmtId="0" fontId="28" fillId="9" borderId="14" xfId="0" quotePrefix="1" applyNumberFormat="1" applyFont="1" applyFill="1" applyBorder="1" applyAlignment="1">
      <alignment vertical="center"/>
    </xf>
    <xf numFmtId="212" fontId="31" fillId="9" borderId="0" xfId="0" applyNumberFormat="1" applyFont="1" applyFill="1" applyAlignment="1">
      <alignment vertical="center"/>
    </xf>
    <xf numFmtId="200" fontId="36" fillId="9" borderId="0" xfId="0" applyNumberFormat="1" applyFont="1" applyFill="1" applyAlignment="1">
      <alignment vertical="center"/>
    </xf>
    <xf numFmtId="212" fontId="33" fillId="9" borderId="0" xfId="0" applyNumberFormat="1" applyFont="1" applyFill="1" applyAlignment="1">
      <alignment vertical="center"/>
    </xf>
    <xf numFmtId="0" fontId="0" fillId="9" borderId="0" xfId="0" applyFill="1"/>
    <xf numFmtId="0" fontId="33" fillId="9" borderId="5" xfId="0" applyNumberFormat="1" applyFont="1" applyFill="1" applyBorder="1" applyAlignment="1">
      <alignment horizontal="left" vertical="center"/>
    </xf>
    <xf numFmtId="213" fontId="31" fillId="9" borderId="5" xfId="1" applyNumberFormat="1" applyFont="1" applyFill="1" applyBorder="1" applyAlignment="1">
      <alignment horizontal="right" vertical="center"/>
    </xf>
    <xf numFmtId="213" fontId="31" fillId="9" borderId="0" xfId="1" applyNumberFormat="1" applyFont="1" applyFill="1" applyAlignment="1">
      <alignment horizontal="right" vertical="center"/>
    </xf>
    <xf numFmtId="213" fontId="33" fillId="9" borderId="5" xfId="1" applyNumberFormat="1" applyFont="1" applyFill="1" applyBorder="1" applyAlignment="1">
      <alignment horizontal="right" vertical="center"/>
    </xf>
    <xf numFmtId="0" fontId="33" fillId="9" borderId="7" xfId="0" applyNumberFormat="1" applyFont="1" applyFill="1" applyBorder="1" applyAlignment="1">
      <alignment horizontal="left" vertical="center"/>
    </xf>
    <xf numFmtId="213" fontId="31" fillId="9" borderId="7" xfId="1" applyNumberFormat="1" applyFont="1" applyFill="1" applyBorder="1" applyAlignment="1">
      <alignment horizontal="right" vertical="center"/>
    </xf>
    <xf numFmtId="213" fontId="33" fillId="9" borderId="7" xfId="1" applyNumberFormat="1" applyFont="1" applyFill="1" applyBorder="1" applyAlignment="1">
      <alignment horizontal="right" vertical="center"/>
    </xf>
    <xf numFmtId="0" fontId="32" fillId="9" borderId="11" xfId="0" applyNumberFormat="1" applyFont="1" applyFill="1" applyBorder="1" applyAlignment="1">
      <alignment horizontal="left" vertical="center"/>
    </xf>
    <xf numFmtId="213" fontId="32" fillId="9" borderId="11" xfId="1" applyNumberFormat="1" applyFont="1" applyFill="1" applyBorder="1" applyAlignment="1">
      <alignment horizontal="right" vertical="center"/>
    </xf>
    <xf numFmtId="0" fontId="32" fillId="9" borderId="12" xfId="0" applyNumberFormat="1" applyFont="1" applyFill="1" applyBorder="1" applyAlignment="1">
      <alignment vertical="center"/>
    </xf>
    <xf numFmtId="213" fontId="32" fillId="9" borderId="12" xfId="0" applyNumberFormat="1" applyFont="1" applyFill="1" applyBorder="1" applyAlignment="1">
      <alignment horizontal="right" vertical="center"/>
    </xf>
    <xf numFmtId="0" fontId="32" fillId="9" borderId="0" xfId="0" applyNumberFormat="1" applyFont="1" applyFill="1" applyAlignment="1">
      <alignment vertical="center"/>
    </xf>
    <xf numFmtId="0" fontId="32" fillId="9" borderId="73" xfId="0" applyNumberFormat="1" applyFont="1" applyFill="1" applyBorder="1" applyAlignment="1">
      <alignment vertical="center"/>
    </xf>
    <xf numFmtId="210" fontId="31" fillId="9" borderId="0" xfId="0" applyNumberFormat="1" applyFont="1" applyFill="1" applyAlignment="1">
      <alignment horizontal="right" vertical="center"/>
    </xf>
    <xf numFmtId="0" fontId="42" fillId="9" borderId="0" xfId="0" applyNumberFormat="1" applyFont="1" applyFill="1" applyAlignment="1">
      <alignment horizontal="right" vertical="center"/>
    </xf>
    <xf numFmtId="215" fontId="31" fillId="9" borderId="0" xfId="0" applyNumberFormat="1" applyFont="1" applyFill="1" applyAlignment="1">
      <alignment vertical="center"/>
    </xf>
    <xf numFmtId="215" fontId="33" fillId="9" borderId="0" xfId="0" applyNumberFormat="1" applyFont="1" applyFill="1" applyAlignment="1">
      <alignment vertical="center"/>
    </xf>
    <xf numFmtId="213" fontId="29" fillId="9" borderId="0" xfId="0" applyNumberFormat="1" applyFont="1" applyFill="1" applyAlignment="1">
      <alignment vertical="center"/>
    </xf>
    <xf numFmtId="213" fontId="31" fillId="9" borderId="0" xfId="0" applyNumberFormat="1" applyFont="1" applyFill="1" applyAlignment="1">
      <alignment vertical="center"/>
    </xf>
    <xf numFmtId="213" fontId="33" fillId="9" borderId="0" xfId="0" applyNumberFormat="1" applyFont="1" applyFill="1" applyAlignment="1">
      <alignment vertical="center"/>
    </xf>
    <xf numFmtId="0" fontId="44" fillId="9" borderId="0" xfId="0" applyNumberFormat="1" applyFont="1" applyFill="1" applyAlignment="1">
      <alignment vertical="center"/>
    </xf>
    <xf numFmtId="0" fontId="2" fillId="9" borderId="0" xfId="0" applyFont="1" applyFill="1"/>
    <xf numFmtId="0" fontId="27" fillId="9" borderId="1" xfId="0" applyNumberFormat="1" applyFont="1" applyFill="1" applyBorder="1" applyAlignment="1">
      <alignment vertical="center"/>
    </xf>
    <xf numFmtId="0" fontId="45" fillId="9" borderId="0" xfId="0" applyNumberFormat="1" applyFont="1" applyFill="1" applyAlignment="1">
      <alignment vertical="center"/>
    </xf>
    <xf numFmtId="0" fontId="33" fillId="9" borderId="5" xfId="0" applyNumberFormat="1" applyFont="1" applyFill="1" applyBorder="1" applyAlignment="1">
      <alignment vertical="center"/>
    </xf>
    <xf numFmtId="213" fontId="33" fillId="9" borderId="5" xfId="1" applyNumberFormat="1" applyFont="1" applyFill="1" applyBorder="1" applyAlignment="1">
      <alignment vertical="center"/>
    </xf>
    <xf numFmtId="165" fontId="36" fillId="9" borderId="5" xfId="0" applyNumberFormat="1" applyFont="1" applyFill="1" applyBorder="1" applyAlignment="1">
      <alignment horizontal="right" vertical="center"/>
    </xf>
    <xf numFmtId="0" fontId="47" fillId="9" borderId="0" xfId="0" applyNumberFormat="1" applyFont="1" applyFill="1" applyAlignment="1">
      <alignment vertical="center"/>
    </xf>
    <xf numFmtId="0" fontId="27" fillId="9" borderId="0" xfId="0" applyNumberFormat="1" applyFont="1" applyFill="1" applyAlignment="1">
      <alignment vertical="center"/>
    </xf>
    <xf numFmtId="165" fontId="36" fillId="9" borderId="7" xfId="1" applyNumberFormat="1" applyFont="1" applyFill="1" applyBorder="1" applyAlignment="1">
      <alignment horizontal="right" vertical="center"/>
    </xf>
    <xf numFmtId="0" fontId="33" fillId="9" borderId="7" xfId="0" applyNumberFormat="1" applyFont="1" applyFill="1" applyBorder="1" applyAlignment="1">
      <alignment vertical="center"/>
    </xf>
    <xf numFmtId="165" fontId="36" fillId="9" borderId="7" xfId="1" applyNumberFormat="1" applyFont="1" applyFill="1" applyBorder="1" applyAlignment="1">
      <alignment vertical="center"/>
    </xf>
    <xf numFmtId="0" fontId="33" fillId="9" borderId="3" xfId="0" applyNumberFormat="1" applyFont="1" applyFill="1" applyBorder="1" applyAlignment="1">
      <alignment horizontal="center" vertical="center"/>
    </xf>
    <xf numFmtId="165" fontId="36" fillId="9" borderId="3" xfId="0" applyNumberFormat="1" applyFont="1" applyFill="1" applyBorder="1" applyAlignment="1">
      <alignment horizontal="center" vertical="center"/>
    </xf>
    <xf numFmtId="165" fontId="33" fillId="9" borderId="3" xfId="0" applyNumberFormat="1" applyFont="1" applyFill="1" applyBorder="1" applyAlignment="1">
      <alignment horizontal="center" vertical="center"/>
    </xf>
    <xf numFmtId="213" fontId="36" fillId="9" borderId="7" xfId="1" applyNumberFormat="1" applyFont="1" applyFill="1" applyBorder="1" applyAlignment="1">
      <alignment horizontal="right" vertical="center"/>
    </xf>
    <xf numFmtId="210" fontId="36" fillId="9" borderId="7" xfId="2" applyNumberFormat="1" applyFont="1" applyFill="1" applyBorder="1" applyAlignment="1">
      <alignment horizontal="right" vertical="center"/>
    </xf>
    <xf numFmtId="165" fontId="33" fillId="9" borderId="7" xfId="0" applyNumberFormat="1" applyFont="1" applyFill="1" applyBorder="1" applyAlignment="1">
      <alignment horizontal="right" vertical="center"/>
    </xf>
    <xf numFmtId="165" fontId="33" fillId="9" borderId="7" xfId="1" applyNumberFormat="1" applyFont="1" applyFill="1" applyBorder="1" applyAlignment="1">
      <alignment horizontal="right" vertical="center"/>
    </xf>
    <xf numFmtId="210" fontId="36" fillId="9" borderId="0" xfId="0" applyNumberFormat="1" applyFont="1" applyFill="1" applyAlignment="1">
      <alignment horizontal="center" vertical="center"/>
    </xf>
    <xf numFmtId="166" fontId="47" fillId="9" borderId="0" xfId="0" applyNumberFormat="1" applyFont="1" applyFill="1" applyAlignment="1">
      <alignment horizontal="left" vertical="center"/>
    </xf>
    <xf numFmtId="0" fontId="48" fillId="9" borderId="57" xfId="0" applyNumberFormat="1" applyFont="1" applyFill="1" applyBorder="1" applyAlignment="1">
      <alignment horizontal="center" vertical="center"/>
    </xf>
    <xf numFmtId="0" fontId="48" fillId="9" borderId="55" xfId="0" applyNumberFormat="1" applyFont="1" applyFill="1" applyBorder="1" applyAlignment="1">
      <alignment horizontal="center" vertical="center"/>
    </xf>
    <xf numFmtId="213" fontId="33" fillId="9" borderId="55" xfId="0" applyNumberFormat="1" applyFont="1" applyFill="1" applyBorder="1" applyAlignment="1">
      <alignment horizontal="center" vertical="center"/>
    </xf>
    <xf numFmtId="213" fontId="33" fillId="9" borderId="60" xfId="0" applyNumberFormat="1" applyFont="1" applyFill="1" applyBorder="1" applyAlignment="1">
      <alignment horizontal="center" vertical="center"/>
    </xf>
    <xf numFmtId="0" fontId="42" fillId="9" borderId="7" xfId="0" applyNumberFormat="1" applyFont="1" applyFill="1" applyBorder="1" applyAlignment="1">
      <alignment horizontal="left" vertical="center"/>
    </xf>
    <xf numFmtId="165" fontId="29" fillId="9" borderId="7" xfId="1" applyNumberFormat="1" applyFont="1" applyFill="1" applyBorder="1" applyAlignment="1">
      <alignment horizontal="center" vertical="center"/>
    </xf>
    <xf numFmtId="0" fontId="48" fillId="9" borderId="59" xfId="0" applyNumberFormat="1" applyFont="1" applyFill="1" applyBorder="1" applyAlignment="1">
      <alignment horizontal="center" vertical="center"/>
    </xf>
    <xf numFmtId="0" fontId="48" fillId="9" borderId="56" xfId="0" applyNumberFormat="1" applyFont="1" applyFill="1" applyBorder="1" applyAlignment="1">
      <alignment horizontal="center" vertical="center"/>
    </xf>
    <xf numFmtId="213" fontId="33" fillId="9" borderId="56" xfId="0" applyNumberFormat="1" applyFont="1" applyFill="1" applyBorder="1" applyAlignment="1">
      <alignment horizontal="center" vertical="center"/>
    </xf>
    <xf numFmtId="213" fontId="33" fillId="9" borderId="62" xfId="0" applyNumberFormat="1" applyFont="1" applyFill="1" applyBorder="1" applyAlignment="1">
      <alignment horizontal="center" vertical="center"/>
    </xf>
    <xf numFmtId="0" fontId="52" fillId="9" borderId="0" xfId="0" applyNumberFormat="1" applyFont="1" applyFill="1" applyAlignment="1">
      <alignment vertical="center"/>
    </xf>
    <xf numFmtId="210" fontId="36" fillId="9" borderId="7" xfId="0" applyNumberFormat="1" applyFont="1" applyFill="1" applyBorder="1" applyAlignment="1">
      <alignment horizontal="right" vertical="center"/>
    </xf>
    <xf numFmtId="210" fontId="36" fillId="9" borderId="2" xfId="0" applyNumberFormat="1" applyFont="1" applyFill="1" applyBorder="1" applyAlignment="1">
      <alignment horizontal="right" vertical="center"/>
    </xf>
    <xf numFmtId="0" fontId="33" fillId="9" borderId="8" xfId="0" applyNumberFormat="1" applyFont="1" applyFill="1" applyBorder="1" applyAlignment="1">
      <alignment horizontal="left" vertical="center"/>
    </xf>
    <xf numFmtId="210" fontId="33" fillId="9" borderId="4" xfId="0" applyNumberFormat="1" applyFont="1" applyFill="1" applyBorder="1" applyAlignment="1">
      <alignment horizontal="right" vertical="center"/>
    </xf>
    <xf numFmtId="167" fontId="33" fillId="9" borderId="0" xfId="0" applyNumberFormat="1" applyFont="1" applyFill="1" applyAlignment="1">
      <alignment horizontal="right" vertical="center"/>
    </xf>
    <xf numFmtId="0" fontId="33" fillId="9" borderId="0" xfId="0" applyNumberFormat="1" applyFont="1" applyFill="1" applyAlignment="1">
      <alignment horizontal="center" vertical="center"/>
    </xf>
    <xf numFmtId="168" fontId="36" fillId="9" borderId="0" xfId="0" applyNumberFormat="1" applyFont="1" applyFill="1" applyAlignment="1">
      <alignment horizontal="right" vertical="center"/>
    </xf>
    <xf numFmtId="168" fontId="33" fillId="9" borderId="0" xfId="0" applyNumberFormat="1" applyFont="1" applyFill="1" applyAlignment="1">
      <alignment horizontal="right" vertical="center"/>
    </xf>
    <xf numFmtId="0" fontId="33" fillId="9" borderId="9" xfId="0" applyNumberFormat="1" applyFont="1" applyFill="1" applyBorder="1" applyAlignment="1">
      <alignment vertical="center"/>
    </xf>
    <xf numFmtId="212" fontId="33" fillId="9" borderId="9" xfId="0" applyNumberFormat="1" applyFont="1" applyFill="1" applyBorder="1" applyAlignment="1">
      <alignment vertical="center"/>
    </xf>
    <xf numFmtId="167" fontId="45" fillId="9" borderId="9" xfId="0" applyNumberFormat="1" applyFont="1" applyFill="1" applyBorder="1" applyAlignment="1">
      <alignment vertical="center"/>
    </xf>
    <xf numFmtId="212" fontId="36" fillId="9" borderId="9" xfId="0" applyNumberFormat="1" applyFont="1" applyFill="1" applyBorder="1" applyAlignment="1">
      <alignment vertical="center"/>
    </xf>
    <xf numFmtId="215" fontId="36" fillId="9" borderId="0" xfId="0" applyNumberFormat="1" applyFont="1" applyFill="1" applyAlignment="1">
      <alignment horizontal="right" vertical="center"/>
    </xf>
    <xf numFmtId="169" fontId="36" fillId="9" borderId="0" xfId="0" applyNumberFormat="1" applyFont="1" applyFill="1" applyAlignment="1">
      <alignment horizontal="right" vertical="center"/>
    </xf>
    <xf numFmtId="0" fontId="41" fillId="9" borderId="0" xfId="0" applyNumberFormat="1" applyFont="1" applyFill="1" applyAlignment="1">
      <alignment vertical="center"/>
    </xf>
    <xf numFmtId="215" fontId="48" fillId="9" borderId="0" xfId="0" applyNumberFormat="1" applyFont="1" applyFill="1" applyAlignment="1">
      <alignment horizontal="right" vertical="center"/>
    </xf>
    <xf numFmtId="213" fontId="36" fillId="9" borderId="0" xfId="1" applyNumberFormat="1" applyFont="1" applyFill="1" applyAlignment="1">
      <alignment vertical="center"/>
    </xf>
    <xf numFmtId="213" fontId="33" fillId="9" borderId="0" xfId="1" applyNumberFormat="1" applyFont="1" applyFill="1" applyAlignment="1">
      <alignment vertical="center"/>
    </xf>
    <xf numFmtId="217" fontId="33" fillId="9" borderId="0" xfId="0" applyNumberFormat="1" applyFont="1" applyFill="1" applyAlignment="1">
      <alignment vertical="center"/>
    </xf>
    <xf numFmtId="217" fontId="36" fillId="9" borderId="0" xfId="0" applyNumberFormat="1" applyFont="1" applyFill="1" applyAlignment="1">
      <alignment vertical="center"/>
    </xf>
    <xf numFmtId="183" fontId="27" fillId="9" borderId="0" xfId="1" applyNumberFormat="1" applyFont="1" applyFill="1" applyAlignment="1">
      <alignment vertical="center"/>
    </xf>
    <xf numFmtId="170" fontId="45" fillId="9" borderId="0" xfId="0" applyNumberFormat="1" applyFont="1" applyFill="1" applyAlignment="1">
      <alignment vertical="center"/>
    </xf>
    <xf numFmtId="217" fontId="32" fillId="9" borderId="73" xfId="0" applyNumberFormat="1" applyFont="1" applyFill="1" applyBorder="1" applyAlignment="1">
      <alignment vertical="center"/>
    </xf>
    <xf numFmtId="0" fontId="46" fillId="9" borderId="73" xfId="0" applyNumberFormat="1" applyFont="1" applyFill="1" applyBorder="1" applyAlignment="1">
      <alignment horizontal="center" vertical="center"/>
    </xf>
    <xf numFmtId="0" fontId="32" fillId="9" borderId="73" xfId="0" applyNumberFormat="1" applyFont="1" applyFill="1" applyBorder="1" applyAlignment="1">
      <alignment horizontal="center" vertical="center"/>
    </xf>
    <xf numFmtId="212" fontId="36" fillId="9" borderId="0" xfId="0" applyNumberFormat="1" applyFont="1" applyFill="1" applyAlignment="1">
      <alignment horizontal="center" vertical="center"/>
    </xf>
    <xf numFmtId="166" fontId="33" fillId="9" borderId="0" xfId="0" applyNumberFormat="1" applyFont="1" applyFill="1" applyAlignment="1">
      <alignment vertical="center"/>
    </xf>
    <xf numFmtId="0" fontId="36" fillId="9" borderId="0" xfId="0" applyNumberFormat="1" applyFont="1" applyFill="1" applyAlignment="1">
      <alignment vertical="center"/>
    </xf>
    <xf numFmtId="213" fontId="36" fillId="9" borderId="0" xfId="0" applyNumberFormat="1" applyFont="1" applyFill="1" applyAlignment="1">
      <alignment horizontal="center" vertical="center"/>
    </xf>
    <xf numFmtId="213" fontId="50" fillId="9" borderId="0" xfId="0" applyNumberFormat="1" applyFont="1" applyFill="1" applyAlignment="1">
      <alignment vertical="center"/>
    </xf>
    <xf numFmtId="213" fontId="32" fillId="9" borderId="0" xfId="0" applyNumberFormat="1" applyFont="1" applyFill="1" applyAlignment="1">
      <alignment vertical="center"/>
    </xf>
    <xf numFmtId="3" fontId="32" fillId="9" borderId="0" xfId="0" applyNumberFormat="1" applyFont="1" applyFill="1" applyAlignment="1">
      <alignment vertical="center"/>
    </xf>
    <xf numFmtId="0" fontId="71" fillId="9" borderId="0" xfId="0" applyNumberFormat="1" applyFont="1" applyFill="1" applyAlignment="1">
      <alignment vertical="center"/>
    </xf>
    <xf numFmtId="3" fontId="71" fillId="9" borderId="0" xfId="0" applyNumberFormat="1" applyFont="1" applyFill="1" applyAlignment="1">
      <alignment vertical="center"/>
    </xf>
    <xf numFmtId="0" fontId="28" fillId="9" borderId="36" xfId="0" applyNumberFormat="1" applyFont="1" applyFill="1" applyBorder="1" applyAlignment="1">
      <alignment vertical="center"/>
    </xf>
    <xf numFmtId="0" fontId="28" fillId="9" borderId="66" xfId="0" applyNumberFormat="1" applyFont="1" applyFill="1" applyBorder="1" applyAlignment="1">
      <alignment vertical="center"/>
    </xf>
    <xf numFmtId="0" fontId="28" fillId="9" borderId="16" xfId="0" applyNumberFormat="1" applyFont="1" applyFill="1" applyBorder="1" applyAlignment="1">
      <alignment vertical="center"/>
    </xf>
    <xf numFmtId="175" fontId="33" fillId="9" borderId="0" xfId="0" applyNumberFormat="1" applyFont="1" applyFill="1" applyAlignment="1">
      <alignment vertical="center"/>
    </xf>
    <xf numFmtId="175" fontId="32" fillId="9" borderId="74" xfId="0" applyNumberFormat="1" applyFont="1" applyFill="1" applyBorder="1" applyAlignment="1">
      <alignment vertical="center"/>
    </xf>
    <xf numFmtId="0" fontId="28" fillId="9" borderId="74" xfId="0" applyNumberFormat="1" applyFont="1" applyFill="1" applyBorder="1" applyAlignment="1">
      <alignment vertical="center"/>
    </xf>
    <xf numFmtId="175" fontId="32" fillId="9" borderId="127" xfId="0" applyNumberFormat="1" applyFont="1" applyFill="1" applyBorder="1" applyAlignment="1">
      <alignment vertical="center"/>
    </xf>
    <xf numFmtId="0" fontId="28" fillId="9" borderId="127" xfId="0" applyNumberFormat="1" applyFont="1" applyFill="1" applyBorder="1" applyAlignment="1">
      <alignment vertical="center"/>
    </xf>
    <xf numFmtId="175" fontId="27" fillId="9" borderId="0" xfId="0" applyNumberFormat="1" applyFont="1" applyFill="1" applyAlignment="1">
      <alignment vertical="center"/>
    </xf>
    <xf numFmtId="188" fontId="27" fillId="9" borderId="0" xfId="0" applyNumberFormat="1" applyFont="1" applyFill="1" applyAlignment="1">
      <alignment vertical="center"/>
    </xf>
    <xf numFmtId="175" fontId="36" fillId="9" borderId="0" xfId="0" applyNumberFormat="1" applyFont="1" applyFill="1" applyAlignment="1">
      <alignment vertical="center"/>
    </xf>
    <xf numFmtId="175" fontId="32" fillId="9" borderId="81" xfId="0" applyNumberFormat="1" applyFont="1" applyFill="1" applyBorder="1" applyAlignment="1">
      <alignment vertical="center"/>
    </xf>
    <xf numFmtId="175" fontId="28" fillId="9" borderId="81" xfId="0" applyNumberFormat="1" applyFont="1" applyFill="1" applyBorder="1" applyAlignment="1">
      <alignment vertical="center"/>
    </xf>
    <xf numFmtId="0" fontId="28" fillId="9" borderId="81" xfId="0" applyNumberFormat="1" applyFont="1" applyFill="1" applyBorder="1" applyAlignment="1">
      <alignment vertical="center"/>
    </xf>
    <xf numFmtId="175" fontId="33" fillId="9" borderId="34" xfId="0" applyNumberFormat="1" applyFont="1" applyFill="1" applyBorder="1" applyAlignment="1">
      <alignment horizontal="right" vertical="center"/>
    </xf>
    <xf numFmtId="175" fontId="33" fillId="9" borderId="37" xfId="0" applyNumberFormat="1" applyFont="1" applyFill="1" applyBorder="1" applyAlignment="1">
      <alignment horizontal="right" vertical="center"/>
    </xf>
    <xf numFmtId="175" fontId="36" fillId="9" borderId="34" xfId="0" applyNumberFormat="1" applyFont="1" applyFill="1" applyBorder="1" applyAlignment="1">
      <alignment horizontal="right" vertical="center"/>
    </xf>
    <xf numFmtId="175" fontId="36" fillId="9" borderId="37" xfId="0" applyNumberFormat="1" applyFont="1" applyFill="1" applyBorder="1" applyAlignment="1">
      <alignment horizontal="right" vertical="center"/>
    </xf>
    <xf numFmtId="175" fontId="36" fillId="9" borderId="38" xfId="0" applyNumberFormat="1" applyFont="1" applyFill="1" applyBorder="1" applyAlignment="1">
      <alignment horizontal="right" vertical="center"/>
    </xf>
    <xf numFmtId="175" fontId="36" fillId="9" borderId="30" xfId="0" applyNumberFormat="1" applyFont="1" applyFill="1" applyBorder="1" applyAlignment="1">
      <alignment horizontal="right" vertical="center"/>
    </xf>
    <xf numFmtId="175" fontId="33" fillId="9" borderId="30" xfId="0" applyNumberFormat="1" applyFont="1" applyFill="1" applyBorder="1" applyAlignment="1">
      <alignment horizontal="right" vertical="center"/>
    </xf>
    <xf numFmtId="188" fontId="33" fillId="9" borderId="30" xfId="0" applyNumberFormat="1" applyFont="1" applyFill="1" applyBorder="1" applyAlignment="1">
      <alignment horizontal="right" vertical="center"/>
    </xf>
    <xf numFmtId="175" fontId="31" fillId="9" borderId="38" xfId="0" applyNumberFormat="1" applyFont="1" applyFill="1" applyBorder="1" applyAlignment="1">
      <alignment horizontal="right" vertical="center"/>
    </xf>
    <xf numFmtId="175" fontId="31" fillId="9" borderId="42" xfId="0" applyNumberFormat="1" applyFont="1" applyFill="1" applyBorder="1" applyAlignment="1">
      <alignment horizontal="right" vertical="center"/>
    </xf>
    <xf numFmtId="175" fontId="31" fillId="9" borderId="43" xfId="0" applyNumberFormat="1" applyFont="1" applyFill="1" applyBorder="1" applyAlignment="1">
      <alignment horizontal="right" vertical="center"/>
    </xf>
    <xf numFmtId="175" fontId="33" fillId="9" borderId="27" xfId="0" applyNumberFormat="1" applyFont="1" applyFill="1" applyBorder="1" applyAlignment="1">
      <alignment horizontal="right" vertical="center"/>
    </xf>
    <xf numFmtId="175" fontId="33" fillId="9" borderId="41" xfId="0" applyNumberFormat="1" applyFont="1" applyFill="1" applyBorder="1" applyAlignment="1">
      <alignment horizontal="right" vertical="center"/>
    </xf>
    <xf numFmtId="175" fontId="33" fillId="9" borderId="39" xfId="0" applyNumberFormat="1" applyFont="1" applyFill="1" applyBorder="1" applyAlignment="1">
      <alignment horizontal="right" vertical="center"/>
    </xf>
    <xf numFmtId="175" fontId="33" fillId="9" borderId="35" xfId="0" applyNumberFormat="1" applyFont="1" applyFill="1" applyBorder="1" applyAlignment="1">
      <alignment horizontal="right" vertical="center"/>
    </xf>
    <xf numFmtId="175" fontId="33" fillId="9" borderId="45" xfId="0" applyNumberFormat="1" applyFont="1" applyFill="1" applyBorder="1" applyAlignment="1">
      <alignment horizontal="right" vertical="center"/>
    </xf>
    <xf numFmtId="175" fontId="36" fillId="9" borderId="24" xfId="0" applyNumberFormat="1" applyFont="1" applyFill="1" applyBorder="1" applyAlignment="1">
      <alignment horizontal="right" vertical="center"/>
    </xf>
    <xf numFmtId="175" fontId="36" fillId="9" borderId="46" xfId="0" applyNumberFormat="1" applyFont="1" applyFill="1" applyBorder="1" applyAlignment="1">
      <alignment horizontal="right" vertical="center"/>
    </xf>
    <xf numFmtId="175" fontId="33" fillId="9" borderId="28" xfId="0" applyNumberFormat="1" applyFont="1" applyFill="1" applyBorder="1" applyAlignment="1">
      <alignment horizontal="right" vertical="center"/>
    </xf>
    <xf numFmtId="175" fontId="33" fillId="9" borderId="44" xfId="0" applyNumberFormat="1" applyFont="1" applyFill="1" applyBorder="1" applyAlignment="1">
      <alignment horizontal="right" vertical="center"/>
    </xf>
    <xf numFmtId="215" fontId="36" fillId="9" borderId="0" xfId="0" applyNumberFormat="1" applyFont="1" applyFill="1" applyAlignment="1">
      <alignment vertical="center"/>
    </xf>
    <xf numFmtId="0" fontId="67" fillId="9" borderId="0" xfId="7" applyNumberFormat="1" applyFont="1" applyFill="1" applyAlignment="1">
      <alignment vertical="center"/>
    </xf>
    <xf numFmtId="175" fontId="31" fillId="9" borderId="0" xfId="0" applyNumberFormat="1" applyFont="1" applyFill="1" applyAlignment="1">
      <alignment vertical="center"/>
    </xf>
    <xf numFmtId="175" fontId="32" fillId="9" borderId="0" xfId="0" applyNumberFormat="1" applyFont="1" applyFill="1" applyAlignment="1">
      <alignment vertical="center"/>
    </xf>
    <xf numFmtId="175" fontId="50" fillId="9" borderId="0" xfId="0" applyNumberFormat="1" applyFont="1" applyFill="1" applyAlignment="1">
      <alignment vertical="center"/>
    </xf>
    <xf numFmtId="0" fontId="69" fillId="9" borderId="0" xfId="0" applyNumberFormat="1" applyFont="1" applyFill="1" applyAlignment="1">
      <alignment vertical="center"/>
    </xf>
    <xf numFmtId="187" fontId="69" fillId="9" borderId="0" xfId="0" applyNumberFormat="1" applyFont="1" applyFill="1" applyAlignment="1">
      <alignment vertical="center"/>
    </xf>
    <xf numFmtId="9" fontId="36" fillId="9" borderId="0" xfId="0" applyNumberFormat="1" applyFont="1" applyFill="1" applyAlignment="1">
      <alignment vertical="center"/>
    </xf>
    <xf numFmtId="213" fontId="48" fillId="9" borderId="0" xfId="0" applyNumberFormat="1" applyFont="1" applyFill="1" applyAlignment="1">
      <alignment vertical="center"/>
    </xf>
    <xf numFmtId="175" fontId="28" fillId="9" borderId="0" xfId="0" applyNumberFormat="1" applyFont="1" applyFill="1" applyAlignment="1">
      <alignment vertical="center"/>
    </xf>
    <xf numFmtId="186" fontId="36" fillId="9" borderId="0" xfId="0" applyNumberFormat="1" applyFont="1" applyFill="1" applyAlignment="1">
      <alignment vertical="center"/>
    </xf>
    <xf numFmtId="0" fontId="72" fillId="9" borderId="0" xfId="0" applyNumberFormat="1" applyFont="1" applyFill="1" applyAlignment="1">
      <alignment vertical="center"/>
    </xf>
    <xf numFmtId="0" fontId="30" fillId="9" borderId="0" xfId="0" applyNumberFormat="1" applyFont="1" applyFill="1" applyAlignment="1">
      <alignment horizontal="right" vertical="center"/>
    </xf>
    <xf numFmtId="213" fontId="50" fillId="9" borderId="0" xfId="0" applyNumberFormat="1" applyFont="1" applyFill="1" applyAlignment="1">
      <alignment horizontal="right" vertical="center"/>
    </xf>
    <xf numFmtId="0" fontId="27" fillId="9" borderId="64" xfId="0" applyNumberFormat="1" applyFont="1" applyFill="1" applyBorder="1" applyAlignment="1">
      <alignment vertical="center"/>
    </xf>
    <xf numFmtId="185" fontId="28" fillId="9" borderId="0" xfId="0" applyNumberFormat="1" applyFont="1" applyFill="1" applyAlignment="1">
      <alignment vertical="center"/>
    </xf>
    <xf numFmtId="210" fontId="33" fillId="9" borderId="0" xfId="2" applyNumberFormat="1" applyFont="1" applyFill="1" applyAlignment="1">
      <alignment vertical="center"/>
    </xf>
    <xf numFmtId="215" fontId="32" fillId="9" borderId="0" xfId="0" applyNumberFormat="1" applyFont="1" applyFill="1" applyAlignment="1">
      <alignment vertical="center"/>
    </xf>
    <xf numFmtId="215" fontId="29" fillId="9" borderId="0" xfId="0" applyNumberFormat="1" applyFont="1" applyFill="1" applyAlignment="1">
      <alignment vertical="center"/>
    </xf>
    <xf numFmtId="0" fontId="74" fillId="9" borderId="0" xfId="0" applyNumberFormat="1" applyFont="1" applyFill="1" applyAlignment="1">
      <alignment vertical="center"/>
    </xf>
    <xf numFmtId="210" fontId="65" fillId="9" borderId="0" xfId="0" applyNumberFormat="1" applyFont="1" applyFill="1" applyAlignment="1">
      <alignment vertical="center"/>
    </xf>
    <xf numFmtId="173" fontId="27" fillId="9" borderId="0" xfId="0" applyNumberFormat="1" applyFont="1" applyFill="1" applyAlignment="1">
      <alignment vertical="center"/>
    </xf>
    <xf numFmtId="210" fontId="32" fillId="9" borderId="0" xfId="0" applyNumberFormat="1" applyFont="1" applyFill="1" applyAlignment="1">
      <alignment vertical="center"/>
    </xf>
    <xf numFmtId="190" fontId="27" fillId="9" borderId="0" xfId="0" applyNumberFormat="1" applyFont="1" applyFill="1" applyAlignment="1">
      <alignment vertical="center"/>
    </xf>
    <xf numFmtId="190" fontId="49" fillId="9" borderId="0" xfId="0" applyNumberFormat="1" applyFont="1" applyFill="1" applyAlignment="1">
      <alignment vertical="center"/>
    </xf>
    <xf numFmtId="0" fontId="30" fillId="9" borderId="0" xfId="0" applyNumberFormat="1" applyFont="1" applyFill="1" applyAlignment="1">
      <alignment vertical="center"/>
    </xf>
    <xf numFmtId="173" fontId="30" fillId="9" borderId="0" xfId="0" applyNumberFormat="1" applyFont="1" applyFill="1" applyAlignment="1">
      <alignment vertical="center"/>
    </xf>
    <xf numFmtId="173" fontId="30" fillId="9" borderId="0" xfId="0" applyNumberFormat="1" applyFont="1" applyFill="1" applyAlignment="1">
      <alignment horizontal="right" vertical="center"/>
    </xf>
    <xf numFmtId="213" fontId="64" fillId="9" borderId="0" xfId="0" applyNumberFormat="1" applyFont="1" applyFill="1" applyAlignment="1">
      <alignment horizontal="right" vertical="center"/>
    </xf>
    <xf numFmtId="0" fontId="30" fillId="9" borderId="63" xfId="0" applyNumberFormat="1" applyFont="1" applyFill="1" applyBorder="1" applyAlignment="1">
      <alignment vertical="center"/>
    </xf>
    <xf numFmtId="215" fontId="63" fillId="9" borderId="63" xfId="0" applyNumberFormat="1" applyFont="1" applyFill="1" applyBorder="1" applyAlignment="1">
      <alignment vertical="center"/>
    </xf>
    <xf numFmtId="0" fontId="30" fillId="9" borderId="67" xfId="0" applyNumberFormat="1" applyFont="1" applyFill="1" applyBorder="1" applyAlignment="1">
      <alignment vertical="center"/>
    </xf>
    <xf numFmtId="215" fontId="63" fillId="9" borderId="67" xfId="0" applyNumberFormat="1" applyFont="1" applyFill="1" applyBorder="1" applyAlignment="1">
      <alignment vertical="center"/>
    </xf>
    <xf numFmtId="215" fontId="63" fillId="9" borderId="0" xfId="0" applyNumberFormat="1" applyFont="1" applyFill="1" applyAlignment="1">
      <alignment vertical="center"/>
    </xf>
    <xf numFmtId="215" fontId="50" fillId="9" borderId="0" xfId="0" applyNumberFormat="1" applyFont="1" applyFill="1" applyAlignment="1">
      <alignment vertical="center"/>
    </xf>
    <xf numFmtId="185" fontId="27" fillId="9" borderId="0" xfId="0" applyNumberFormat="1" applyFont="1" applyFill="1" applyAlignment="1">
      <alignment vertical="center"/>
    </xf>
    <xf numFmtId="190" fontId="28" fillId="9" borderId="0" xfId="0" applyNumberFormat="1" applyFont="1" applyFill="1" applyAlignment="1">
      <alignment vertical="center"/>
    </xf>
    <xf numFmtId="190" fontId="71" fillId="9" borderId="0" xfId="0" applyNumberFormat="1" applyFont="1" applyFill="1" applyAlignment="1">
      <alignment vertical="center"/>
    </xf>
    <xf numFmtId="0" fontId="76" fillId="9" borderId="0" xfId="0" applyNumberFormat="1" applyFont="1" applyFill="1" applyAlignment="1">
      <alignment vertical="center"/>
    </xf>
    <xf numFmtId="215" fontId="65" fillId="9" borderId="0" xfId="0" applyNumberFormat="1" applyFont="1" applyFill="1" applyAlignment="1">
      <alignment vertical="center"/>
    </xf>
    <xf numFmtId="0" fontId="14" fillId="9" borderId="0" xfId="0" applyFont="1" applyFill="1"/>
    <xf numFmtId="173" fontId="14" fillId="9" borderId="0" xfId="0" applyNumberFormat="1" applyFont="1" applyFill="1"/>
    <xf numFmtId="0" fontId="4" fillId="9" borderId="0" xfId="0" applyFont="1" applyFill="1"/>
    <xf numFmtId="0" fontId="49" fillId="9" borderId="0" xfId="0" applyNumberFormat="1" applyFont="1" applyFill="1" applyAlignment="1">
      <alignment vertical="center"/>
    </xf>
    <xf numFmtId="213" fontId="36" fillId="9" borderId="117" xfId="0" applyNumberFormat="1" applyFont="1" applyFill="1" applyBorder="1" applyAlignment="1">
      <alignment vertical="center"/>
    </xf>
    <xf numFmtId="0" fontId="27" fillId="9" borderId="117" xfId="0" applyNumberFormat="1" applyFont="1" applyFill="1" applyBorder="1" applyAlignment="1">
      <alignment vertical="center"/>
    </xf>
    <xf numFmtId="198" fontId="29" fillId="9" borderId="73" xfId="0" applyNumberFormat="1" applyFont="1" applyFill="1" applyBorder="1" applyAlignment="1">
      <alignment vertical="center"/>
    </xf>
    <xf numFmtId="198" fontId="29" fillId="9" borderId="119" xfId="0" applyNumberFormat="1" applyFont="1" applyFill="1" applyBorder="1" applyAlignment="1">
      <alignment vertical="center"/>
    </xf>
    <xf numFmtId="198" fontId="32" fillId="9" borderId="73" xfId="0" applyNumberFormat="1" applyFont="1" applyFill="1" applyBorder="1" applyAlignment="1">
      <alignment vertical="center"/>
    </xf>
    <xf numFmtId="0" fontId="28" fillId="9" borderId="76" xfId="0" applyNumberFormat="1" applyFont="1" applyFill="1" applyBorder="1" applyAlignment="1">
      <alignment vertical="center"/>
    </xf>
    <xf numFmtId="198" fontId="32" fillId="9" borderId="76" xfId="0" applyNumberFormat="1" applyFont="1" applyFill="1" applyBorder="1" applyAlignment="1">
      <alignment vertical="center"/>
    </xf>
    <xf numFmtId="198" fontId="32" fillId="9" borderId="120" xfId="0" applyNumberFormat="1" applyFont="1" applyFill="1" applyBorder="1" applyAlignment="1">
      <alignment vertical="center"/>
    </xf>
    <xf numFmtId="198" fontId="31" fillId="9" borderId="0" xfId="0" applyNumberFormat="1" applyFont="1" applyFill="1" applyAlignment="1">
      <alignment vertical="center"/>
    </xf>
    <xf numFmtId="198" fontId="31" fillId="9" borderId="117" xfId="0" applyNumberFormat="1" applyFont="1" applyFill="1" applyBorder="1" applyAlignment="1">
      <alignment vertical="center"/>
    </xf>
    <xf numFmtId="198" fontId="32" fillId="9" borderId="0" xfId="0" applyNumberFormat="1" applyFont="1" applyFill="1" applyAlignment="1">
      <alignment vertical="center"/>
    </xf>
    <xf numFmtId="198" fontId="33" fillId="9" borderId="0" xfId="0" applyNumberFormat="1" applyFont="1" applyFill="1" applyAlignment="1">
      <alignment vertical="center"/>
    </xf>
    <xf numFmtId="198" fontId="33" fillId="9" borderId="117" xfId="0" applyNumberFormat="1" applyFont="1" applyFill="1" applyBorder="1" applyAlignment="1">
      <alignment vertical="center"/>
    </xf>
    <xf numFmtId="0" fontId="87" fillId="9" borderId="0" xfId="0" applyNumberFormat="1" applyFont="1" applyFill="1" applyAlignment="1">
      <alignment vertical="center"/>
    </xf>
    <xf numFmtId="0" fontId="37" fillId="9" borderId="0" xfId="0" applyNumberFormat="1" applyFont="1" applyFill="1" applyAlignment="1">
      <alignment vertical="center"/>
    </xf>
    <xf numFmtId="0" fontId="28" fillId="9" borderId="82" xfId="0" applyNumberFormat="1" applyFont="1" applyFill="1" applyBorder="1" applyAlignment="1">
      <alignment vertical="center"/>
    </xf>
    <xf numFmtId="211" fontId="36" fillId="9" borderId="82" xfId="1" applyNumberFormat="1" applyFont="1" applyFill="1" applyBorder="1" applyAlignment="1">
      <alignment vertical="center"/>
    </xf>
    <xf numFmtId="211" fontId="33" fillId="9" borderId="82" xfId="1" applyNumberFormat="1" applyFont="1" applyFill="1" applyBorder="1" applyAlignment="1">
      <alignment vertical="center"/>
    </xf>
    <xf numFmtId="0" fontId="27" fillId="9" borderId="0" xfId="11" applyNumberFormat="1" applyFont="1" applyFill="1" applyAlignment="1">
      <alignment vertical="center"/>
    </xf>
    <xf numFmtId="0" fontId="28" fillId="9" borderId="0" xfId="11" applyNumberFormat="1" applyFont="1" applyFill="1" applyAlignment="1">
      <alignment horizontal="center" vertical="center"/>
    </xf>
    <xf numFmtId="0" fontId="33" fillId="9" borderId="98" xfId="11" applyNumberFormat="1" applyFont="1" applyFill="1" applyBorder="1" applyAlignment="1">
      <alignment horizontal="right" vertical="center"/>
    </xf>
    <xf numFmtId="0" fontId="32" fillId="9" borderId="0" xfId="11" applyNumberFormat="1" applyFont="1" applyFill="1" applyAlignment="1">
      <alignment horizontal="right" vertical="center"/>
    </xf>
    <xf numFmtId="203" fontId="33" fillId="9" borderId="0" xfId="11" applyNumberFormat="1" applyFont="1" applyFill="1" applyAlignment="1">
      <alignment horizontal="right" vertical="center"/>
    </xf>
    <xf numFmtId="0" fontId="32" fillId="9" borderId="0" xfId="11" applyNumberFormat="1" applyFont="1" applyFill="1" applyAlignment="1">
      <alignment vertical="center"/>
    </xf>
    <xf numFmtId="213" fontId="36" fillId="9" borderId="100" xfId="11" applyNumberFormat="1" applyFont="1" applyFill="1" applyBorder="1" applyAlignment="1">
      <alignment horizontal="left" vertical="center"/>
    </xf>
    <xf numFmtId="0" fontId="27" fillId="9" borderId="100" xfId="11" applyNumberFormat="1" applyFont="1" applyFill="1" applyBorder="1" applyAlignment="1">
      <alignment horizontal="left" vertical="center"/>
    </xf>
    <xf numFmtId="204" fontId="36" fillId="9" borderId="101" xfId="11" applyNumberFormat="1" applyFont="1" applyFill="1" applyBorder="1" applyAlignment="1">
      <alignment horizontal="right" vertical="center"/>
    </xf>
    <xf numFmtId="204" fontId="33" fillId="9" borderId="100" xfId="11" applyNumberFormat="1" applyFont="1" applyFill="1" applyBorder="1" applyAlignment="1">
      <alignment horizontal="right" vertical="center"/>
    </xf>
    <xf numFmtId="204" fontId="36" fillId="9" borderId="100" xfId="11" applyNumberFormat="1" applyFont="1" applyFill="1" applyBorder="1" applyAlignment="1">
      <alignment horizontal="right" vertical="center"/>
    </xf>
    <xf numFmtId="204" fontId="27" fillId="9" borderId="100" xfId="11" applyNumberFormat="1" applyFont="1" applyFill="1" applyBorder="1" applyAlignment="1">
      <alignment horizontal="right" vertical="center"/>
    </xf>
    <xf numFmtId="213" fontId="36" fillId="9" borderId="0" xfId="11" applyNumberFormat="1" applyFont="1" applyFill="1" applyAlignment="1">
      <alignment horizontal="left" vertical="center"/>
    </xf>
    <xf numFmtId="0" fontId="27" fillId="9" borderId="0" xfId="11" applyNumberFormat="1" applyFont="1" applyFill="1" applyAlignment="1">
      <alignment horizontal="left" vertical="center"/>
    </xf>
    <xf numFmtId="204" fontId="27" fillId="9" borderId="98" xfId="11" applyNumberFormat="1" applyFont="1" applyFill="1" applyBorder="1" applyAlignment="1">
      <alignment horizontal="right" vertical="center"/>
    </xf>
    <xf numFmtId="204" fontId="33" fillId="9" borderId="0" xfId="11" applyNumberFormat="1" applyFont="1" applyFill="1" applyAlignment="1">
      <alignment horizontal="right" vertical="center"/>
    </xf>
    <xf numFmtId="204" fontId="36" fillId="9" borderId="0" xfId="11" applyNumberFormat="1" applyFont="1" applyFill="1" applyAlignment="1">
      <alignment horizontal="right" vertical="center"/>
    </xf>
    <xf numFmtId="204" fontId="27" fillId="9" borderId="0" xfId="11" applyNumberFormat="1" applyFont="1" applyFill="1" applyAlignment="1">
      <alignment horizontal="right" vertical="center"/>
    </xf>
    <xf numFmtId="212" fontId="36" fillId="9" borderId="100" xfId="11" applyNumberFormat="1" applyFont="1" applyFill="1" applyBorder="1" applyAlignment="1">
      <alignment horizontal="left" vertical="center"/>
    </xf>
    <xf numFmtId="204" fontId="27" fillId="9" borderId="101" xfId="11" applyNumberFormat="1" applyFont="1" applyFill="1" applyBorder="1" applyAlignment="1">
      <alignment horizontal="right" vertical="center"/>
    </xf>
    <xf numFmtId="212" fontId="36" fillId="9" borderId="0" xfId="11" applyNumberFormat="1" applyFont="1" applyFill="1" applyAlignment="1">
      <alignment horizontal="left" vertical="center"/>
    </xf>
    <xf numFmtId="204" fontId="33" fillId="9" borderId="98" xfId="11" applyNumberFormat="1" applyFont="1" applyFill="1" applyBorder="1" applyAlignment="1">
      <alignment horizontal="right" vertical="center"/>
    </xf>
    <xf numFmtId="0" fontId="33" fillId="9" borderId="100" xfId="11" applyNumberFormat="1" applyFont="1" applyFill="1" applyBorder="1" applyAlignment="1">
      <alignment horizontal="left" vertical="center"/>
    </xf>
    <xf numFmtId="0" fontId="32" fillId="9" borderId="103" xfId="11" applyNumberFormat="1" applyFont="1" applyFill="1" applyBorder="1" applyAlignment="1">
      <alignment horizontal="left" vertical="center"/>
    </xf>
    <xf numFmtId="204" fontId="32" fillId="9" borderId="104" xfId="11" applyNumberFormat="1" applyFont="1" applyFill="1" applyBorder="1" applyAlignment="1">
      <alignment horizontal="right" vertical="center"/>
    </xf>
    <xf numFmtId="204" fontId="32" fillId="9" borderId="103" xfId="11" applyNumberFormat="1" applyFont="1" applyFill="1" applyBorder="1" applyAlignment="1">
      <alignment horizontal="right" vertical="center"/>
    </xf>
    <xf numFmtId="0" fontId="33" fillId="9" borderId="0" xfId="11" applyNumberFormat="1" applyFont="1" applyFill="1" applyAlignment="1">
      <alignment vertical="center"/>
    </xf>
    <xf numFmtId="0" fontId="49" fillId="9" borderId="0" xfId="11" applyNumberFormat="1" applyFont="1" applyFill="1" applyAlignment="1">
      <alignment vertical="center"/>
    </xf>
    <xf numFmtId="208" fontId="33" fillId="9" borderId="0" xfId="2" applyNumberFormat="1" applyFont="1" applyFill="1" applyAlignment="1">
      <alignment vertical="center"/>
    </xf>
    <xf numFmtId="0" fontId="32" fillId="9" borderId="73" xfId="11" applyNumberFormat="1" applyFont="1" applyFill="1" applyBorder="1" applyAlignment="1">
      <alignment vertical="center"/>
    </xf>
    <xf numFmtId="206" fontId="33" fillId="9" borderId="0" xfId="11" applyNumberFormat="1" applyFont="1" applyFill="1" applyAlignment="1">
      <alignment vertical="center"/>
    </xf>
    <xf numFmtId="213" fontId="36" fillId="9" borderId="0" xfId="11" applyNumberFormat="1" applyFont="1" applyFill="1" applyAlignment="1">
      <alignment vertical="center"/>
    </xf>
    <xf numFmtId="213" fontId="33" fillId="9" borderId="0" xfId="11" applyNumberFormat="1" applyFont="1" applyFill="1" applyAlignment="1">
      <alignment vertical="center"/>
    </xf>
    <xf numFmtId="212" fontId="33" fillId="9" borderId="0" xfId="11" applyNumberFormat="1" applyFont="1" applyFill="1" applyAlignment="1">
      <alignment vertical="center"/>
    </xf>
    <xf numFmtId="206" fontId="32" fillId="9" borderId="0" xfId="11" applyNumberFormat="1" applyFont="1" applyFill="1" applyAlignment="1">
      <alignment vertical="center"/>
    </xf>
    <xf numFmtId="0" fontId="49" fillId="9" borderId="0" xfId="0" applyNumberFormat="1" applyFont="1" applyFill="1" applyAlignment="1">
      <alignment horizontal="left" vertical="center"/>
    </xf>
    <xf numFmtId="0" fontId="20" fillId="9" borderId="0" xfId="11" applyFill="1"/>
    <xf numFmtId="0" fontId="21" fillId="9" borderId="0" xfId="11" applyFont="1" applyFill="1" applyAlignment="1">
      <alignment horizontal="center" vertical="center"/>
    </xf>
    <xf numFmtId="0" fontId="21" fillId="9" borderId="0" xfId="11" applyFont="1" applyFill="1" applyAlignment="1">
      <alignment horizontal="center"/>
    </xf>
    <xf numFmtId="0" fontId="22" fillId="9" borderId="0" xfId="0" applyFont="1" applyFill="1" applyAlignment="1">
      <alignment horizontal="center"/>
    </xf>
    <xf numFmtId="0" fontId="53" fillId="9" borderId="53" xfId="0" applyNumberFormat="1" applyFont="1" applyFill="1" applyBorder="1" applyAlignment="1">
      <alignment horizontal="left" vertical="center"/>
    </xf>
    <xf numFmtId="0" fontId="53" fillId="9" borderId="53" xfId="0" applyNumberFormat="1" applyFont="1" applyFill="1" applyBorder="1" applyAlignment="1">
      <alignment horizontal="center" vertical="center"/>
    </xf>
    <xf numFmtId="0" fontId="53" fillId="9" borderId="53" xfId="0" applyNumberFormat="1" applyFont="1" applyFill="1" applyBorder="1" applyAlignment="1">
      <alignment vertical="center"/>
    </xf>
    <xf numFmtId="0" fontId="53" fillId="9" borderId="53" xfId="0" applyNumberFormat="1" applyFont="1" applyFill="1" applyBorder="1" applyAlignment="1">
      <alignment horizontal="center" vertical="center"/>
    </xf>
    <xf numFmtId="0" fontId="53" fillId="9" borderId="0" xfId="0" applyNumberFormat="1" applyFont="1" applyFill="1" applyAlignment="1">
      <alignment horizontal="center" vertical="center"/>
    </xf>
    <xf numFmtId="0" fontId="27" fillId="9" borderId="0" xfId="0" applyNumberFormat="1" applyFont="1" applyFill="1" applyAlignment="1">
      <alignment horizontal="right" vertical="center"/>
    </xf>
    <xf numFmtId="49" fontId="28" fillId="9" borderId="0" xfId="0" applyNumberFormat="1" applyFont="1" applyFill="1" applyAlignment="1">
      <alignment horizontal="right" vertical="center"/>
    </xf>
    <xf numFmtId="3" fontId="27" fillId="9" borderId="0" xfId="0" applyNumberFormat="1" applyFont="1" applyFill="1" applyAlignment="1">
      <alignment horizontal="right" vertical="center"/>
    </xf>
    <xf numFmtId="178" fontId="27" fillId="9" borderId="0" xfId="0" applyNumberFormat="1" applyFont="1" applyFill="1" applyAlignment="1">
      <alignment horizontal="right" vertical="center"/>
    </xf>
    <xf numFmtId="0" fontId="28" fillId="9" borderId="0" xfId="0" applyNumberFormat="1" applyFont="1" applyFill="1" applyAlignment="1">
      <alignment horizontal="left" vertical="center"/>
    </xf>
    <xf numFmtId="0" fontId="58" fillId="9" borderId="0" xfId="0" applyNumberFormat="1" applyFont="1" applyFill="1" applyAlignment="1">
      <alignment horizontal="left" vertical="center"/>
    </xf>
    <xf numFmtId="49" fontId="28" fillId="9" borderId="0" xfId="0" applyNumberFormat="1" applyFont="1" applyFill="1" applyAlignment="1">
      <alignment horizontal="center" vertical="center"/>
    </xf>
    <xf numFmtId="177" fontId="31" fillId="9" borderId="0" xfId="0" applyNumberFormat="1" applyFont="1" applyFill="1" applyAlignment="1">
      <alignment horizontal="right" vertical="center"/>
    </xf>
    <xf numFmtId="177" fontId="27" fillId="9" borderId="0" xfId="0" applyNumberFormat="1" applyFont="1" applyFill="1" applyAlignment="1">
      <alignment horizontal="right" vertical="center"/>
    </xf>
    <xf numFmtId="0" fontId="59" fillId="9" borderId="0" xfId="0" applyNumberFormat="1" applyFont="1" applyFill="1" applyAlignment="1">
      <alignment horizontal="right" vertical="center"/>
    </xf>
    <xf numFmtId="213" fontId="33" fillId="9" borderId="0" xfId="0" applyNumberFormat="1" applyFont="1" applyFill="1" applyAlignment="1">
      <alignment horizontal="center" vertical="center"/>
    </xf>
    <xf numFmtId="0" fontId="59" fillId="9" borderId="0" xfId="0" applyNumberFormat="1" applyFont="1" applyFill="1" applyAlignment="1">
      <alignment vertical="center"/>
    </xf>
    <xf numFmtId="0" fontId="60" fillId="9" borderId="0" xfId="0" applyNumberFormat="1" applyFont="1" applyFill="1" applyAlignment="1">
      <alignment horizontal="right" vertical="center"/>
    </xf>
    <xf numFmtId="0" fontId="53" fillId="9" borderId="47" xfId="0" applyNumberFormat="1" applyFont="1" applyFill="1" applyBorder="1" applyAlignment="1">
      <alignment vertical="center"/>
    </xf>
    <xf numFmtId="166" fontId="53" fillId="9" borderId="47" xfId="0" applyNumberFormat="1" applyFont="1" applyFill="1" applyBorder="1" applyAlignment="1">
      <alignment horizontal="right" vertical="center"/>
    </xf>
    <xf numFmtId="0" fontId="53" fillId="9" borderId="0" xfId="0" applyNumberFormat="1" applyFont="1" applyFill="1" applyAlignment="1">
      <alignment vertical="center"/>
    </xf>
    <xf numFmtId="213" fontId="50" fillId="9" borderId="0" xfId="1" applyNumberFormat="1" applyFont="1" applyFill="1" applyAlignment="1">
      <alignment horizontal="right" vertical="center"/>
    </xf>
    <xf numFmtId="166" fontId="53" fillId="9" borderId="0" xfId="0" applyNumberFormat="1" applyFont="1" applyFill="1" applyAlignment="1">
      <alignment horizontal="right" vertical="center"/>
    </xf>
    <xf numFmtId="213" fontId="36" fillId="9" borderId="0" xfId="1" applyNumberFormat="1" applyFont="1" applyFill="1" applyAlignment="1">
      <alignment horizontal="right" vertical="center"/>
    </xf>
    <xf numFmtId="177" fontId="27" fillId="9" borderId="0" xfId="0" applyNumberFormat="1" applyFont="1" applyFill="1" applyAlignment="1">
      <alignment vertical="center"/>
    </xf>
    <xf numFmtId="0" fontId="71" fillId="9" borderId="47" xfId="0" applyNumberFormat="1" applyFont="1" applyFill="1" applyBorder="1" applyAlignment="1">
      <alignment vertical="center"/>
    </xf>
    <xf numFmtId="171" fontId="71" fillId="9" borderId="47" xfId="0" applyNumberFormat="1" applyFont="1" applyFill="1" applyBorder="1" applyAlignment="1">
      <alignment horizontal="right" vertical="center"/>
    </xf>
    <xf numFmtId="177" fontId="36" fillId="9" borderId="0" xfId="0" applyNumberFormat="1" applyFont="1" applyFill="1" applyAlignment="1">
      <alignment horizontal="right" vertical="center"/>
    </xf>
    <xf numFmtId="177" fontId="53" fillId="9" borderId="0" xfId="0" applyNumberFormat="1" applyFont="1" applyFill="1" applyAlignment="1">
      <alignment horizontal="right" vertical="center"/>
    </xf>
    <xf numFmtId="177" fontId="49" fillId="9" borderId="0" xfId="0" applyNumberFormat="1" applyFont="1" applyFill="1" applyAlignment="1">
      <alignment vertical="center"/>
    </xf>
    <xf numFmtId="0" fontId="53" fillId="9" borderId="0" xfId="0" applyNumberFormat="1" applyFont="1" applyFill="1" applyAlignment="1">
      <alignment horizontal="right" vertical="center"/>
    </xf>
    <xf numFmtId="49" fontId="32" fillId="9" borderId="48" xfId="0" applyNumberFormat="1" applyFont="1" applyFill="1" applyBorder="1" applyAlignment="1">
      <alignment horizontal="center" vertical="center"/>
    </xf>
    <xf numFmtId="210" fontId="66" fillId="9" borderId="48" xfId="0" applyNumberFormat="1" applyFont="1" applyFill="1" applyBorder="1" applyAlignment="1">
      <alignment horizontal="center" vertical="center"/>
    </xf>
    <xf numFmtId="191" fontId="27" fillId="9" borderId="0" xfId="0" applyNumberFormat="1" applyFont="1" applyFill="1" applyAlignment="1">
      <alignment vertical="center"/>
    </xf>
    <xf numFmtId="175" fontId="29" fillId="9" borderId="0" xfId="0" applyNumberFormat="1" applyFont="1" applyFill="1" applyAlignment="1">
      <alignment horizontal="right" vertical="center"/>
    </xf>
    <xf numFmtId="0" fontId="62" fillId="9" borderId="49" xfId="0" applyNumberFormat="1" applyFont="1" applyFill="1" applyBorder="1" applyAlignment="1">
      <alignment horizontal="left" vertical="center"/>
    </xf>
    <xf numFmtId="0" fontId="62" fillId="9" borderId="49" xfId="0" applyNumberFormat="1" applyFont="1" applyFill="1" applyBorder="1" applyAlignment="1">
      <alignment vertical="center"/>
    </xf>
    <xf numFmtId="0" fontId="62" fillId="9" borderId="49" xfId="0" applyNumberFormat="1" applyFont="1" applyFill="1" applyBorder="1" applyAlignment="1">
      <alignment horizontal="right" vertical="center"/>
    </xf>
    <xf numFmtId="210" fontId="66" fillId="9" borderId="49" xfId="0" applyNumberFormat="1" applyFont="1" applyFill="1" applyBorder="1" applyAlignment="1">
      <alignment horizontal="right" vertical="center"/>
    </xf>
    <xf numFmtId="0" fontId="28" fillId="9" borderId="73" xfId="0" applyNumberFormat="1" applyFont="1" applyFill="1" applyBorder="1" applyAlignment="1">
      <alignment horizontal="right" vertical="center"/>
    </xf>
    <xf numFmtId="0" fontId="28" fillId="9" borderId="0" xfId="0" applyNumberFormat="1" applyFont="1" applyFill="1" applyAlignment="1">
      <alignment horizontal="right" vertical="center"/>
    </xf>
    <xf numFmtId="0" fontId="71" fillId="9" borderId="0" xfId="0" applyNumberFormat="1" applyFont="1" applyFill="1" applyAlignment="1">
      <alignment horizontal="left" vertical="center"/>
    </xf>
    <xf numFmtId="0" fontId="71" fillId="9" borderId="0" xfId="0" applyNumberFormat="1" applyFont="1" applyFill="1" applyAlignment="1">
      <alignment horizontal="right" vertical="center"/>
    </xf>
    <xf numFmtId="0" fontId="62" fillId="9" borderId="51" xfId="0" applyNumberFormat="1" applyFont="1" applyFill="1" applyBorder="1" applyAlignment="1">
      <alignment horizontal="left" vertical="center"/>
    </xf>
    <xf numFmtId="0" fontId="62" fillId="9" borderId="51" xfId="0" applyNumberFormat="1" applyFont="1" applyFill="1" applyBorder="1" applyAlignment="1">
      <alignment horizontal="right" vertical="center"/>
    </xf>
    <xf numFmtId="213" fontId="66" fillId="9" borderId="51" xfId="0" applyNumberFormat="1" applyFont="1" applyFill="1" applyBorder="1" applyAlignment="1">
      <alignment horizontal="right" vertical="center"/>
    </xf>
    <xf numFmtId="0" fontId="53" fillId="9" borderId="14" xfId="0" applyNumberFormat="1" applyFont="1" applyFill="1" applyBorder="1" applyAlignment="1">
      <alignment horizontal="left" vertical="center"/>
    </xf>
    <xf numFmtId="0" fontId="53" fillId="9" borderId="14" xfId="0" applyNumberFormat="1" applyFont="1" applyFill="1" applyBorder="1" applyAlignment="1">
      <alignment horizontal="right" vertical="center"/>
    </xf>
    <xf numFmtId="177" fontId="71" fillId="9" borderId="0" xfId="0" applyNumberFormat="1" applyFont="1" applyFill="1" applyAlignment="1">
      <alignment horizontal="center" vertical="center"/>
    </xf>
    <xf numFmtId="0" fontId="28" fillId="9" borderId="33" xfId="0" applyNumberFormat="1" applyFont="1" applyFill="1" applyBorder="1" applyAlignment="1">
      <alignment vertical="center"/>
    </xf>
    <xf numFmtId="0" fontId="30" fillId="9" borderId="0" xfId="0" applyNumberFormat="1" applyFont="1" applyFill="1" applyAlignment="1">
      <alignment horizontal="left" vertical="center"/>
    </xf>
    <xf numFmtId="0" fontId="61" fillId="9" borderId="48" xfId="0" applyNumberFormat="1" applyFont="1" applyFill="1" applyBorder="1" applyAlignment="1">
      <alignment vertical="center"/>
    </xf>
    <xf numFmtId="166" fontId="61" fillId="9" borderId="48" xfId="0" applyNumberFormat="1" applyFont="1" applyFill="1" applyBorder="1" applyAlignment="1">
      <alignment horizontal="right" vertical="center"/>
    </xf>
    <xf numFmtId="0" fontId="28" fillId="9" borderId="14" xfId="0" applyNumberFormat="1" applyFont="1" applyFill="1" applyBorder="1" applyAlignment="1">
      <alignment horizontal="left" vertical="center"/>
    </xf>
    <xf numFmtId="0" fontId="28" fillId="9" borderId="14" xfId="0" applyNumberFormat="1" applyFont="1" applyFill="1" applyBorder="1" applyAlignment="1">
      <alignment horizontal="right" vertical="center"/>
    </xf>
    <xf numFmtId="166" fontId="62" fillId="9" borderId="49" xfId="0" applyNumberFormat="1" applyFont="1" applyFill="1" applyBorder="1" applyAlignment="1">
      <alignment horizontal="right" vertical="center"/>
    </xf>
    <xf numFmtId="0" fontId="28" fillId="9" borderId="33" xfId="0" applyNumberFormat="1" applyFont="1" applyFill="1" applyBorder="1" applyAlignment="1">
      <alignment horizontal="left" vertical="center"/>
    </xf>
    <xf numFmtId="0" fontId="28" fillId="9" borderId="33" xfId="0" applyNumberFormat="1" applyFont="1" applyFill="1" applyBorder="1" applyAlignment="1">
      <alignment horizontal="right" vertical="center"/>
    </xf>
    <xf numFmtId="0" fontId="71" fillId="9" borderId="0" xfId="0" applyNumberFormat="1" applyFont="1" applyFill="1" applyAlignment="1">
      <alignment horizontal="left" vertical="center"/>
    </xf>
    <xf numFmtId="0" fontId="32" fillId="9" borderId="0" xfId="0" applyNumberFormat="1" applyFont="1" applyFill="1" applyAlignment="1">
      <alignment horizontal="center" vertical="center"/>
    </xf>
    <xf numFmtId="183" fontId="49" fillId="9" borderId="0" xfId="1" applyNumberFormat="1" applyFont="1" applyFill="1" applyAlignment="1">
      <alignment vertical="center"/>
    </xf>
    <xf numFmtId="177" fontId="33" fillId="9" borderId="0" xfId="1" applyNumberFormat="1" applyFont="1" applyFill="1" applyAlignment="1">
      <alignment vertical="center"/>
    </xf>
    <xf numFmtId="215" fontId="65" fillId="9" borderId="0" xfId="0" applyNumberFormat="1" applyFont="1" applyFill="1" applyAlignment="1">
      <alignment horizontal="right" vertical="center"/>
    </xf>
    <xf numFmtId="185" fontId="30" fillId="9" borderId="0" xfId="0" applyNumberFormat="1" applyFont="1" applyFill="1" applyAlignment="1">
      <alignment horizontal="right" vertical="center"/>
    </xf>
    <xf numFmtId="49" fontId="53" fillId="9" borderId="0" xfId="0" applyNumberFormat="1" applyFont="1" applyFill="1" applyAlignment="1">
      <alignment horizontal="center" vertical="center"/>
    </xf>
    <xf numFmtId="0" fontId="52" fillId="9" borderId="0" xfId="0" applyNumberFormat="1" applyFont="1" applyFill="1" applyAlignment="1">
      <alignment horizontal="left" vertical="center"/>
    </xf>
    <xf numFmtId="0" fontId="52" fillId="9" borderId="0" xfId="0" applyNumberFormat="1" applyFont="1" applyFill="1" applyAlignment="1">
      <alignment horizontal="center" vertical="center"/>
    </xf>
    <xf numFmtId="193" fontId="65" fillId="9" borderId="0" xfId="0" applyNumberFormat="1" applyFont="1" applyFill="1" applyAlignment="1">
      <alignment horizontal="right" vertical="center"/>
    </xf>
    <xf numFmtId="193" fontId="32" fillId="9" borderId="0" xfId="0" applyNumberFormat="1" applyFont="1" applyFill="1" applyAlignment="1">
      <alignment horizontal="right" vertical="center"/>
    </xf>
    <xf numFmtId="193" fontId="66" fillId="9" borderId="0" xfId="0" applyNumberFormat="1" applyFont="1" applyFill="1" applyAlignment="1">
      <alignment horizontal="right" vertical="center"/>
    </xf>
    <xf numFmtId="166" fontId="27" fillId="9" borderId="0" xfId="0" applyNumberFormat="1" applyFont="1" applyFill="1" applyAlignment="1">
      <alignment horizontal="right" vertical="center"/>
    </xf>
    <xf numFmtId="176" fontId="27" fillId="9" borderId="0" xfId="0" applyNumberFormat="1" applyFont="1" applyFill="1" applyAlignment="1">
      <alignment horizontal="right" vertical="center"/>
    </xf>
    <xf numFmtId="166" fontId="71" fillId="9" borderId="47" xfId="0" applyNumberFormat="1" applyFont="1" applyFill="1" applyBorder="1" applyAlignment="1">
      <alignment horizontal="right" vertical="center"/>
    </xf>
    <xf numFmtId="194" fontId="27" fillId="9" borderId="0" xfId="0" applyNumberFormat="1" applyFont="1" applyFill="1" applyAlignment="1">
      <alignment horizontal="right" vertical="center"/>
    </xf>
    <xf numFmtId="212" fontId="33" fillId="9" borderId="0" xfId="0" applyNumberFormat="1" applyFont="1" applyFill="1" applyAlignment="1">
      <alignment horizontal="right" vertical="center"/>
    </xf>
    <xf numFmtId="49" fontId="27" fillId="9" borderId="15" xfId="0" applyNumberFormat="1" applyFont="1" applyFill="1" applyBorder="1" applyAlignment="1">
      <alignment horizontal="left" vertical="center"/>
    </xf>
    <xf numFmtId="194" fontId="27" fillId="9" borderId="15" xfId="0" applyNumberFormat="1" applyFont="1" applyFill="1" applyBorder="1" applyAlignment="1">
      <alignment horizontal="right" vertical="center"/>
    </xf>
    <xf numFmtId="212" fontId="33" fillId="9" borderId="15" xfId="0" applyNumberFormat="1" applyFont="1" applyFill="1" applyBorder="1" applyAlignment="1">
      <alignment horizontal="right" vertical="center"/>
    </xf>
    <xf numFmtId="212" fontId="32" fillId="9" borderId="15" xfId="0" applyNumberFormat="1" applyFont="1" applyFill="1" applyBorder="1" applyAlignment="1">
      <alignment horizontal="right" vertical="center"/>
    </xf>
    <xf numFmtId="175" fontId="32" fillId="9" borderId="66" xfId="0" applyNumberFormat="1" applyFont="1" applyFill="1" applyBorder="1" applyAlignment="1">
      <alignment vertical="center"/>
    </xf>
    <xf numFmtId="175" fontId="28" fillId="9" borderId="66" xfId="0" applyNumberFormat="1" applyFont="1" applyFill="1" applyBorder="1" applyAlignment="1">
      <alignment horizontal="right" vertical="center"/>
    </xf>
    <xf numFmtId="175" fontId="27" fillId="9" borderId="0" xfId="0" applyNumberFormat="1" applyFont="1" applyFill="1" applyAlignment="1">
      <alignment horizontal="right" vertical="center"/>
    </xf>
    <xf numFmtId="175" fontId="28" fillId="9" borderId="66" xfId="0" applyNumberFormat="1" applyFont="1" applyFill="1" applyBorder="1" applyAlignment="1">
      <alignment vertical="center"/>
    </xf>
    <xf numFmtId="0" fontId="9" fillId="9" borderId="0" xfId="0" applyFont="1" applyFill="1"/>
    <xf numFmtId="0" fontId="15" fillId="9" borderId="0" xfId="8" applyFont="1" applyFill="1"/>
    <xf numFmtId="196" fontId="17" fillId="9" borderId="1" xfId="9" applyNumberFormat="1" applyFont="1" applyFill="1" applyBorder="1"/>
    <xf numFmtId="0" fontId="17" fillId="9" borderId="1" xfId="8" applyFont="1" applyFill="1" applyBorder="1"/>
    <xf numFmtId="196" fontId="0" fillId="9" borderId="0" xfId="9" applyNumberFormat="1" applyFont="1" applyFill="1"/>
    <xf numFmtId="0" fontId="1" fillId="9" borderId="0" xfId="8" applyFill="1"/>
    <xf numFmtId="0" fontId="1" fillId="9" borderId="0" xfId="8" applyFill="1" applyAlignment="1">
      <alignment horizontal="left"/>
    </xf>
  </cellXfs>
  <cellStyles count="12">
    <cellStyle name="Comma" xfId="1" builtinId="3"/>
    <cellStyle name="Comma 2" xfId="5" xr:uid="{7EF122C8-8450-439D-B18C-D012484432C0}"/>
    <cellStyle name="Comma 3" xfId="9" xr:uid="{3902AEA9-CCBD-46C5-BB84-023875095FE1}"/>
    <cellStyle name="Hyperlink" xfId="7" builtinId="8"/>
    <cellStyle name="Normal" xfId="0" builtinId="0"/>
    <cellStyle name="Normal 2" xfId="3" xr:uid="{058E1E32-9E07-443B-A8FD-A7B19998B659}"/>
    <cellStyle name="Normal 3" xfId="6" xr:uid="{10431F5C-9205-4667-9F2A-CBDB1F73C4B8}"/>
    <cellStyle name="Normal 4" xfId="8" xr:uid="{94FDDBAF-D795-439A-9906-3BDC64FBB777}"/>
    <cellStyle name="Normal 5" xfId="11" xr:uid="{1C13EBA2-4DA1-4A1C-8B24-E6D1FAFF54C4}"/>
    <cellStyle name="Percent" xfId="2" builtinId="5"/>
    <cellStyle name="Percent 2" xfId="4" xr:uid="{A9B5BA3B-64FF-4880-8A61-435F7FF7D305}"/>
    <cellStyle name="Percent 3" xfId="10" xr:uid="{BC43F628-F772-4D64-8BF1-9AF90A21F098}"/>
  </cellStyles>
  <dxfs count="73"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C00000"/>
      </font>
      <fill>
        <patternFill patternType="solid">
          <fgColor indexed="64"/>
          <bgColor rgb="FFFCE4D6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/>
        <i val="0"/>
        <color rgb="FF385723"/>
      </font>
      <fill>
        <patternFill patternType="solid">
          <fgColor indexed="64"/>
          <bgColor rgb="FFE2EFDA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2060"/>
      <rgbColor rgb="FFBF8F00"/>
      <rgbColor rgb="FF800080"/>
      <rgbColor rgb="FF1F4E79"/>
      <rgbColor rgb="FFBFBFBF"/>
      <rgbColor rgb="FF808080"/>
      <rgbColor rgb="FF878787"/>
      <rgbColor rgb="FFC0504D"/>
      <rgbColor rgb="FFFFF2CC"/>
      <rgbColor rgb="FFD9EAF7"/>
      <rgbColor rgb="FF375623"/>
      <rgbColor rgb="FF7F7F7F"/>
      <rgbColor rgb="FF376092"/>
      <rgbColor rgb="FFC6D9F1"/>
      <rgbColor rgb="FF006100"/>
      <rgbColor rgb="FFFF00FF"/>
      <rgbColor rgb="FFFFFF00"/>
      <rgbColor rgb="FF00FFFF"/>
      <rgbColor rgb="FF800080"/>
      <rgbColor rgb="FF9C0006"/>
      <rgbColor rgb="FF1F4E78"/>
      <rgbColor rgb="FF0000FF"/>
      <rgbColor rgb="FF4F81BD"/>
      <rgbColor rgb="FFF2F2F2"/>
      <rgbColor rgb="FFC6EFCE"/>
      <rgbColor rgb="FFD9D9D9"/>
      <rgbColor rgb="FFBDD7EE"/>
      <rgbColor rgb="FFD6DCE4"/>
      <rgbColor rgb="FFCCCCCC"/>
      <rgbColor rgb="FFFFC7CE"/>
      <rgbColor rgb="FF4472C4"/>
      <rgbColor rgb="FF4BACC6"/>
      <rgbColor rgb="FF9BBB59"/>
      <rgbColor rgb="FFD9E1F2"/>
      <rgbColor rgb="FFF79646"/>
      <rgbColor rgb="FFFF6600"/>
      <rgbColor rgb="FF8064A2"/>
      <rgbColor rgb="FF999999"/>
      <rgbColor rgb="FF003366"/>
      <rgbColor rgb="FF00B050"/>
      <rgbColor rgb="FF1B2A4A"/>
      <rgbColor rgb="FF404040"/>
      <rgbColor rgb="FF666666"/>
      <rgbColor rgb="FF595959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01AF1A"/>
      <color rgb="FF66CCFF"/>
      <color rgb="FF66FFFF"/>
      <color rgb="FF66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400" b="0" strike="noStrike">
                <a:solidFill>
                  <a:srgbClr val="595959"/>
                </a:solidFill>
                <a:uFillTx/>
                <a:latin typeface="Calibri"/>
              </a:rPr>
              <a:t>Ventas por Rubro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Revenue!$B$6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Revenue!$D$6:$O$6</c:f>
              <c:numCache>
                <c:formatCode>#,##0;\(#,##0\);"–"</c:formatCode>
                <c:ptCount val="12"/>
                <c:pt idx="0">
                  <c:v>79848.385775613511</c:v>
                </c:pt>
                <c:pt idx="1">
                  <c:v>86653.101639764005</c:v>
                </c:pt>
                <c:pt idx="2">
                  <c:v>106779.86560105957</c:v>
                </c:pt>
                <c:pt idx="3">
                  <c:v>88804.184635266327</c:v>
                </c:pt>
                <c:pt idx="4">
                  <c:v>110006.49009431306</c:v>
                </c:pt>
                <c:pt idx="5">
                  <c:v>96642.160267526633</c:v>
                </c:pt>
                <c:pt idx="6">
                  <c:v>102662.68217723571</c:v>
                </c:pt>
                <c:pt idx="7">
                  <c:v>100444.21267511751</c:v>
                </c:pt>
                <c:pt idx="8">
                  <c:v>120090.02196174303</c:v>
                </c:pt>
                <c:pt idx="9">
                  <c:v>117961.40113511265</c:v>
                </c:pt>
                <c:pt idx="10">
                  <c:v>119498.07774676449</c:v>
                </c:pt>
                <c:pt idx="11">
                  <c:v>128545.70723798205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B-4D74-B55C-5AE32D51986F}"/>
            </c:ext>
          </c:extLst>
        </c:ser>
        <c:ser>
          <c:idx val="1"/>
          <c:order val="1"/>
          <c:tx>
            <c:strRef>
              <c:f>Revenue!$B$7</c:f>
              <c:strCache>
                <c:ptCount val="1"/>
                <c:pt idx="0">
                  <c:v>Upsell / Cross-sell (expansion)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Revenue!$D$7:$O$7</c:f>
              <c:numCache>
                <c:formatCode>#,##0;\(#,##0\);"–"</c:formatCode>
                <c:ptCount val="12"/>
                <c:pt idx="0">
                  <c:v>16654.34505435203</c:v>
                </c:pt>
                <c:pt idx="1">
                  <c:v>18073.635937912975</c:v>
                </c:pt>
                <c:pt idx="2">
                  <c:v>22271.567662930844</c:v>
                </c:pt>
                <c:pt idx="3">
                  <c:v>18522.297211395926</c:v>
                </c:pt>
                <c:pt idx="4">
                  <c:v>22944.559573155275</c:v>
                </c:pt>
                <c:pt idx="5">
                  <c:v>20157.099836887868</c:v>
                </c:pt>
                <c:pt idx="6">
                  <c:v>21412.827780760766</c:v>
                </c:pt>
                <c:pt idx="7">
                  <c:v>20950.111393673615</c:v>
                </c:pt>
                <c:pt idx="8">
                  <c:v>25047.728190222326</c:v>
                </c:pt>
                <c:pt idx="9">
                  <c:v>24603.751954607436</c:v>
                </c:pt>
                <c:pt idx="10">
                  <c:v>24924.263662875663</c:v>
                </c:pt>
                <c:pt idx="11">
                  <c:v>26811.369357086056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B-4D74-B55C-5AE32D51986F}"/>
            </c:ext>
          </c:extLst>
        </c:ser>
        <c:ser>
          <c:idx val="2"/>
          <c:order val="2"/>
          <c:tx>
            <c:strRef>
              <c:f>Revenue!$B$8</c:f>
              <c:strCache>
                <c:ptCount val="1"/>
                <c:pt idx="0">
                  <c:v>New Business LATAM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Revenue!$D$8:$O$8</c:f>
              <c:numCache>
                <c:formatCode>#,##0;\(#,##0\);"–"</c:formatCode>
                <c:ptCount val="12"/>
                <c:pt idx="0">
                  <c:v>49963.039688690886</c:v>
                </c:pt>
                <c:pt idx="1">
                  <c:v>54220.912725050373</c:v>
                </c:pt>
                <c:pt idx="2">
                  <c:v>66814.709040845672</c:v>
                </c:pt>
                <c:pt idx="3">
                  <c:v>55566.89666741799</c:v>
                </c:pt>
                <c:pt idx="4">
                  <c:v>68833.684954397104</c:v>
                </c:pt>
                <c:pt idx="5">
                  <c:v>60471.304988133408</c:v>
                </c:pt>
                <c:pt idx="6">
                  <c:v>64238.489160982346</c:v>
                </c:pt>
                <c:pt idx="7">
                  <c:v>62850.339873982812</c:v>
                </c:pt>
                <c:pt idx="8">
                  <c:v>75143.191377111158</c:v>
                </c:pt>
                <c:pt idx="9">
                  <c:v>73811.262549620849</c:v>
                </c:pt>
                <c:pt idx="10">
                  <c:v>74772.79776152104</c:v>
                </c:pt>
                <c:pt idx="11">
                  <c:v>80434.115356952418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B-4D74-B55C-5AE32D51986F}"/>
            </c:ext>
          </c:extLst>
        </c:ser>
        <c:ser>
          <c:idx val="3"/>
          <c:order val="3"/>
          <c:tx>
            <c:strRef>
              <c:f>Revenue!$B$9</c:f>
              <c:strCache>
                <c:ptCount val="1"/>
                <c:pt idx="0">
                  <c:v>New Business Gobierno y Enterprise</c:v>
                </c:pt>
              </c:strCache>
            </c:strRef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Revenue!$D$9:$O$9</c:f>
              <c:numCache>
                <c:formatCode>#,##0;\(#,##0\);"–"</c:formatCode>
                <c:ptCount val="12"/>
                <c:pt idx="0">
                  <c:v>46246.452635481262</c:v>
                </c:pt>
                <c:pt idx="1">
                  <c:v>50187.596427588505</c:v>
                </c:pt>
                <c:pt idx="2">
                  <c:v>61844.581439874622</c:v>
                </c:pt>
                <c:pt idx="3">
                  <c:v>51433.457028277939</c:v>
                </c:pt>
                <c:pt idx="4">
                  <c:v>63713.372340908776</c:v>
                </c:pt>
                <c:pt idx="5">
                  <c:v>55973.042460274075</c:v>
                </c:pt>
                <c:pt idx="6">
                  <c:v>59459.998127989937</c:v>
                </c:pt>
                <c:pt idx="7">
                  <c:v>58175.108724699043</c:v>
                </c:pt>
                <c:pt idx="8">
                  <c:v>69553.5352243003</c:v>
                </c:pt>
                <c:pt idx="9">
                  <c:v>68320.684224478027</c:v>
                </c:pt>
                <c:pt idx="10">
                  <c:v>69210.693977918927</c:v>
                </c:pt>
                <c:pt idx="11">
                  <c:v>74450.884680143063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DB-4D74-B55C-5AE32D51986F}"/>
            </c:ext>
          </c:extLst>
        </c:ser>
        <c:ser>
          <c:idx val="4"/>
          <c:order val="4"/>
          <c:tx>
            <c:strRef>
              <c:f>Revenue!$B$10</c:f>
              <c:strCache>
                <c:ptCount val="1"/>
                <c:pt idx="0">
                  <c:v>One-off (Implementation)</c:v>
                </c:pt>
              </c:strCache>
            </c:strRef>
          </c:tx>
          <c:spPr>
            <a:solidFill>
              <a:srgbClr val="4BACC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Revenue!$D$10:$O$10</c:f>
              <c:numCache>
                <c:formatCode>#,##0;\(#,##0\);"–"</c:formatCode>
                <c:ptCount val="12"/>
                <c:pt idx="0">
                  <c:v>10892.430004364305</c:v>
                </c:pt>
                <c:pt idx="1">
                  <c:v>11820.687858670028</c:v>
                </c:pt>
                <c:pt idx="2">
                  <c:v>14566.258298614084</c:v>
                </c:pt>
                <c:pt idx="3">
                  <c:v>12114.125487176767</c:v>
                </c:pt>
                <c:pt idx="4">
                  <c:v>15006.414741374196</c:v>
                </c:pt>
                <c:pt idx="5">
                  <c:v>13183.334339942114</c:v>
                </c:pt>
                <c:pt idx="6">
                  <c:v>14004.617235698235</c:v>
                </c:pt>
                <c:pt idx="7">
                  <c:v>13701.987150770214</c:v>
                </c:pt>
                <c:pt idx="8">
                  <c:v>16381.94868606043</c:v>
                </c:pt>
                <c:pt idx="9">
                  <c:v>16091.575209694116</c:v>
                </c:pt>
                <c:pt idx="10">
                  <c:v>16301.199264948009</c:v>
                </c:pt>
                <c:pt idx="11">
                  <c:v>17535.421722687508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DB-4D74-B55C-5AE32D51986F}"/>
            </c:ext>
          </c:extLst>
        </c:ser>
        <c:ser>
          <c:idx val="5"/>
          <c:order val="5"/>
          <c:tx>
            <c:strRef>
              <c:f>Revenue!$B$11</c:f>
              <c:strCache>
                <c:ptCount val="1"/>
                <c:pt idx="0">
                  <c:v>One-off (Interoperability)</c:v>
                </c:pt>
              </c:strCache>
            </c:strRef>
          </c:tx>
          <c:spPr>
            <a:solidFill>
              <a:srgbClr val="F7964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Revenue!$D$5:$O$5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Revenue!$D$11:$O$11</c:f>
              <c:numCache>
                <c:formatCode>#,##0;\(#,##0\);"–"</c:formatCode>
                <c:ptCount val="12"/>
                <c:pt idx="0">
                  <c:v>5865.1546177346254</c:v>
                </c:pt>
                <c:pt idx="1">
                  <c:v>6364.985770053092</c:v>
                </c:pt>
                <c:pt idx="2">
                  <c:v>7843.3698530998918</c:v>
                </c:pt>
                <c:pt idx="3">
                  <c:v>6522.9906469413363</c:v>
                </c:pt>
                <c:pt idx="4">
                  <c:v>8080.3771684322592</c:v>
                </c:pt>
                <c:pt idx="5">
                  <c:v>7098.7184907380606</c:v>
                </c:pt>
                <c:pt idx="6">
                  <c:v>7540.9477422990494</c:v>
                </c:pt>
                <c:pt idx="7">
                  <c:v>7377.9930811839613</c:v>
                </c:pt>
                <c:pt idx="8">
                  <c:v>8821.0492924940772</c:v>
                </c:pt>
                <c:pt idx="9">
                  <c:v>8664.6943436814472</c:v>
                </c:pt>
                <c:pt idx="10">
                  <c:v>8777.568834972004</c:v>
                </c:pt>
                <c:pt idx="11">
                  <c:v>9442.1501583701975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DB-4D74-B55C-5AE32D51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690820"/>
        <c:axId val="9744405"/>
      </c:barChart>
      <c:catAx>
        <c:axId val="856908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744405"/>
        <c:crosses val="autoZero"/>
        <c:auto val="1"/>
        <c:lblAlgn val="ctr"/>
        <c:lblOffset val="100"/>
        <c:noMultiLvlLbl val="0"/>
      </c:catAx>
      <c:valAx>
        <c:axId val="974440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_-* #,##0_-;\-* #,##0_-;_-* \-??_-;_-@_-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5690820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Inputs!$D$32:$Q$32</c:f>
              <c:numCache>
                <c:formatCode>0.00\x</c:formatCode>
                <c:ptCount val="14"/>
                <c:pt idx="0">
                  <c:v>0.76170839191358797</c:v>
                </c:pt>
                <c:pt idx="1">
                  <c:v>0.82662152857832405</c:v>
                </c:pt>
                <c:pt idx="2">
                  <c:v>1.01861946144154</c:v>
                </c:pt>
                <c:pt idx="3">
                  <c:v>0.84718761962596101</c:v>
                </c:pt>
                <c:pt idx="4">
                  <c:v>1.0493890710813101</c:v>
                </c:pt>
                <c:pt idx="5">
                  <c:v>0.92190076279325195</c:v>
                </c:pt>
                <c:pt idx="6">
                  <c:v>0.97934386263624396</c:v>
                </c:pt>
                <c:pt idx="7">
                  <c:v>0.95818091963435204</c:v>
                </c:pt>
                <c:pt idx="10">
                  <c:v>1.14591081720879</c:v>
                </c:pt>
                <c:pt idx="11">
                  <c:v>1.12511730086689</c:v>
                </c:pt>
                <c:pt idx="12">
                  <c:v>1.1397767085167101</c:v>
                </c:pt>
                <c:pt idx="13">
                  <c:v>1.2265049908938901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E-4D93-A97A-BCC833268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45918224"/>
        <c:axId val="1445912464"/>
      </c:barChart>
      <c:catAx>
        <c:axId val="144591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12464"/>
        <c:crosses val="autoZero"/>
        <c:auto val="1"/>
        <c:lblAlgn val="ctr"/>
        <c:lblOffset val="100"/>
        <c:noMultiLvlLbl val="0"/>
      </c:catAx>
      <c:valAx>
        <c:axId val="14459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9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Estado de Resultados (COP)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Ingreos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'Modelo Base'!$F$189:$Q$189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'Modelo Base'!$F$192:$Q$192</c:f>
              <c:numCache>
                <c:formatCode>#,##0;\(#,##0\);"–"</c:formatCode>
                <c:ptCount val="12"/>
                <c:pt idx="0">
                  <c:v>612247701</c:v>
                </c:pt>
                <c:pt idx="1">
                  <c:v>744218137</c:v>
                </c:pt>
                <c:pt idx="2">
                  <c:v>787041187</c:v>
                </c:pt>
                <c:pt idx="3">
                  <c:v>750867662</c:v>
                </c:pt>
                <c:pt idx="4">
                  <c:v>826514746</c:v>
                </c:pt>
                <c:pt idx="5">
                  <c:v>751453314</c:v>
                </c:pt>
                <c:pt idx="6">
                  <c:v>679890552</c:v>
                </c:pt>
                <c:pt idx="7">
                  <c:v>1573626071.4285715</c:v>
                </c:pt>
                <c:pt idx="8">
                  <c:v>1665041428.5714285</c:v>
                </c:pt>
                <c:pt idx="9">
                  <c:v>1756456785.7142859</c:v>
                </c:pt>
                <c:pt idx="10">
                  <c:v>1847872142.8571429</c:v>
                </c:pt>
                <c:pt idx="11">
                  <c:v>1939287500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6-45E4-93AB-E261C256C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0272896"/>
        <c:axId val="1620273856"/>
      </c:barChart>
      <c:catAx>
        <c:axId val="162027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73856"/>
        <c:crosses val="autoZero"/>
        <c:auto val="1"/>
        <c:lblAlgn val="ctr"/>
        <c:lblOffset val="100"/>
        <c:noMultiLvlLbl val="0"/>
      </c:catAx>
      <c:valAx>
        <c:axId val="16202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7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Mensuales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Gráficos'!$X$3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Gráficos'!$Y$2:$AJ$2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Gráficos'!$Y$3:$AJ$3</c:f>
              <c:numCache>
                <c:formatCode>#,##0.0;\(#,##0.0\);"–"</c:formatCode>
                <c:ptCount val="12"/>
                <c:pt idx="0">
                  <c:v>612.24770100000001</c:v>
                </c:pt>
                <c:pt idx="1">
                  <c:v>744.21813699999996</c:v>
                </c:pt>
                <c:pt idx="2">
                  <c:v>787.04118700000004</c:v>
                </c:pt>
                <c:pt idx="3">
                  <c:v>750.867662</c:v>
                </c:pt>
                <c:pt idx="4">
                  <c:v>826.51474599999995</c:v>
                </c:pt>
                <c:pt idx="5">
                  <c:v>751.45331399999998</c:v>
                </c:pt>
                <c:pt idx="6">
                  <c:v>679.89055199999996</c:v>
                </c:pt>
                <c:pt idx="7" formatCode="#,##0;\(#,##0\);&quot;–&quot;">
                  <c:v>1573.6260714285715</c:v>
                </c:pt>
                <c:pt idx="8" formatCode="#,##0;\(#,##0\);&quot;–&quot;">
                  <c:v>1665.0414285714285</c:v>
                </c:pt>
                <c:pt idx="9" formatCode="#,##0;\(#,##0\);&quot;–&quot;">
                  <c:v>1756.4567857142858</c:v>
                </c:pt>
                <c:pt idx="10" formatCode="#,##0;\(#,##0\);&quot;–&quot;">
                  <c:v>1847.872142857143</c:v>
                </c:pt>
                <c:pt idx="11" formatCode="#,##0;\(#,##0\);&quot;–&quot;">
                  <c:v>1939.2874999999999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0-4CC7-BDAB-C7D5DC39E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50306016"/>
        <c:axId val="1722100976"/>
      </c:barChart>
      <c:catAx>
        <c:axId val="115030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00976"/>
        <c:crosses val="autoZero"/>
        <c:auto val="1"/>
        <c:lblAlgn val="ctr"/>
        <c:lblOffset val="100"/>
        <c:noMultiLvlLbl val="0"/>
      </c:catAx>
      <c:valAx>
        <c:axId val="172210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vs Utilidad Neta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Gráficos'!$X$83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Gráficos'!$Y$82:$AJ$82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Gráficos'!$Y$83:$AJ$83</c:f>
              <c:numCache>
                <c:formatCode>#,##0.0;\(#,##0.0\);"–"</c:formatCode>
                <c:ptCount val="12"/>
                <c:pt idx="0">
                  <c:v>69.979360999999997</c:v>
                </c:pt>
                <c:pt idx="1">
                  <c:v>46.134031999999998</c:v>
                </c:pt>
                <c:pt idx="2">
                  <c:v>-22.242792999999999</c:v>
                </c:pt>
                <c:pt idx="3">
                  <c:v>4.8382519999999998</c:v>
                </c:pt>
                <c:pt idx="4">
                  <c:v>113.00947499999999</c:v>
                </c:pt>
                <c:pt idx="5">
                  <c:v>34.975495000000002</c:v>
                </c:pt>
                <c:pt idx="6">
                  <c:v>29.342362000000001</c:v>
                </c:pt>
                <c:pt idx="7">
                  <c:v>741.79675842857137</c:v>
                </c:pt>
                <c:pt idx="8">
                  <c:v>833.2121155714284</c:v>
                </c:pt>
                <c:pt idx="9">
                  <c:v>924.627472714286</c:v>
                </c:pt>
                <c:pt idx="10">
                  <c:v>999.2322858571431</c:v>
                </c:pt>
                <c:pt idx="11" formatCode="#,##0;\(#,##0\);&quot;–&quot;">
                  <c:v>1090.647643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C-4E92-972C-3F750C77DAD7}"/>
            </c:ext>
          </c:extLst>
        </c:ser>
        <c:ser>
          <c:idx val="1"/>
          <c:order val="1"/>
          <c:tx>
            <c:strRef>
              <c:f>'Dashboard Gráficos'!$X$84</c:f>
              <c:strCache>
                <c:ptCount val="1"/>
                <c:pt idx="0">
                  <c:v>Utilidad Neta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Gráficos'!$Y$82:$AJ$82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Gráficos'!$Y$84:$AJ$84</c:f>
              <c:numCache>
                <c:formatCode>#,##0.0;\(#,##0.0\);"–"</c:formatCode>
                <c:ptCount val="12"/>
                <c:pt idx="0">
                  <c:v>63.485497000000002</c:v>
                </c:pt>
                <c:pt idx="1">
                  <c:v>54.048915000000001</c:v>
                </c:pt>
                <c:pt idx="2">
                  <c:v>-37.938006999999999</c:v>
                </c:pt>
                <c:pt idx="3">
                  <c:v>0.70620300000000003</c:v>
                </c:pt>
                <c:pt idx="4">
                  <c:v>108.374968</c:v>
                </c:pt>
                <c:pt idx="5">
                  <c:v>33.343649999999997</c:v>
                </c:pt>
                <c:pt idx="6">
                  <c:v>24.707052000000001</c:v>
                </c:pt>
                <c:pt idx="7">
                  <c:v>481.59802751429356</c:v>
                </c:pt>
                <c:pt idx="8">
                  <c:v>540.97972534821497</c:v>
                </c:pt>
                <c:pt idx="9">
                  <c:v>600.36206125395233</c:v>
                </c:pt>
                <c:pt idx="10">
                  <c:v>648.81817099697469</c:v>
                </c:pt>
                <c:pt idx="11">
                  <c:v>708.2017513199944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4C-4E92-972C-3F750C77D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1459680"/>
        <c:axId val="1722072176"/>
      </c:barChart>
      <c:catAx>
        <c:axId val="137145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72176"/>
        <c:crosses val="autoZero"/>
        <c:auto val="1"/>
        <c:lblAlgn val="ctr"/>
        <c:lblOffset val="100"/>
        <c:noMultiLvlLbl val="0"/>
      </c:catAx>
      <c:valAx>
        <c:axId val="17220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45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EBITDA vs Margen Neto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Gráficos'!$X$52</c:f>
              <c:strCache>
                <c:ptCount val="1"/>
                <c:pt idx="0">
                  <c:v>Margen 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Gráficos'!$Y$51:$AJ$51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Gráficos'!$Y$52:$AJ$52</c:f>
              <c:numCache>
                <c:formatCode>#,##0.0;\(#,##0.0\);"–"</c:formatCode>
                <c:ptCount val="12"/>
                <c:pt idx="0">
                  <c:v>0.11429909967109864</c:v>
                </c:pt>
                <c:pt idx="1">
                  <c:v>6.1989932395318657E-2</c:v>
                </c:pt>
                <c:pt idx="2">
                  <c:v>-2.8261282087134278E-2</c:v>
                </c:pt>
                <c:pt idx="3">
                  <c:v>6.4435482373989888E-3</c:v>
                </c:pt>
                <c:pt idx="4">
                  <c:v>0.13673013766169395</c:v>
                </c:pt>
                <c:pt idx="5">
                  <c:v>4.6543802986009589E-2</c:v>
                </c:pt>
                <c:pt idx="6">
                  <c:v>4.3157478676067854E-2</c:v>
                </c:pt>
                <c:pt idx="7">
                  <c:v>0.47139328198544167</c:v>
                </c:pt>
                <c:pt idx="8">
                  <c:v>0.50041524569530227</c:v>
                </c:pt>
                <c:pt idx="9">
                  <c:v>0.5264162945735521</c:v>
                </c:pt>
                <c:pt idx="10">
                  <c:v>0.54074752396675563</c:v>
                </c:pt>
                <c:pt idx="11">
                  <c:v>0.56239605679921101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D-4602-98EE-5A8F954F2CEE}"/>
            </c:ext>
          </c:extLst>
        </c:ser>
        <c:ser>
          <c:idx val="1"/>
          <c:order val="1"/>
          <c:tx>
            <c:strRef>
              <c:f>'Dashboard Gráficos'!$X$53</c:f>
              <c:strCache>
                <c:ptCount val="1"/>
                <c:pt idx="0">
                  <c:v>Margen Neto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Gráficos'!$Y$51:$AJ$51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Gráficos'!$Y$53:$AJ$53</c:f>
              <c:numCache>
                <c:formatCode>#,##0.0;\(#,##0.0\);"–"</c:formatCode>
                <c:ptCount val="12"/>
                <c:pt idx="0">
                  <c:v>0.10369250369794365</c:v>
                </c:pt>
                <c:pt idx="1">
                  <c:v>7.2625097821285692E-2</c:v>
                </c:pt>
                <c:pt idx="2">
                  <c:v>-4.820333119364438E-2</c:v>
                </c:pt>
                <c:pt idx="3">
                  <c:v>9.4051593341890386E-4</c:v>
                </c:pt>
                <c:pt idx="4">
                  <c:v>0.13112284871442573</c:v>
                </c:pt>
                <c:pt idx="5">
                  <c:v>4.4372217646511038E-2</c:v>
                </c:pt>
                <c:pt idx="6">
                  <c:v>3.6339748989481474E-2</c:v>
                </c:pt>
                <c:pt idx="7">
                  <c:v>0.30604349804467113</c:v>
                </c:pt>
                <c:pt idx="8">
                  <c:v>0.32490466367096016</c:v>
                </c:pt>
                <c:pt idx="9">
                  <c:v>0.34180292173246229</c:v>
                </c:pt>
                <c:pt idx="10">
                  <c:v>0.35111637647926497</c:v>
                </c:pt>
                <c:pt idx="11">
                  <c:v>0.36518657049044789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D-4602-98EE-5A8F954F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882256"/>
        <c:axId val="1722215216"/>
      </c:lineChart>
      <c:catAx>
        <c:axId val="179888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15216"/>
        <c:crosses val="autoZero"/>
        <c:auto val="1"/>
        <c:lblAlgn val="ctr"/>
        <c:lblOffset val="100"/>
        <c:noMultiLvlLbl val="0"/>
      </c:catAx>
      <c:valAx>
        <c:axId val="172221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8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Caja Final vs Caja Mínima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Gráficos'!$X$22</c:f>
              <c:strCache>
                <c:ptCount val="1"/>
                <c:pt idx="0">
                  <c:v>Caja Final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Gráficos'!$Y$21:$AJ$21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Gráficos'!$Y$22:$AJ$22</c:f>
              <c:numCache>
                <c:formatCode>#,##0.0;\(#,##0.0\);"–"</c:formatCode>
                <c:ptCount val="12"/>
                <c:pt idx="0" formatCode="#,##0;\(#,##0\);&quot;–&quot;">
                  <c:v>460.842174</c:v>
                </c:pt>
                <c:pt idx="1">
                  <c:v>157.22912199999999</c:v>
                </c:pt>
                <c:pt idx="2">
                  <c:v>195.058323</c:v>
                </c:pt>
                <c:pt idx="3" formatCode="#,##0;\(#,##0\);&quot;–&quot;">
                  <c:v>357.757161</c:v>
                </c:pt>
                <c:pt idx="4">
                  <c:v>244.82234500000001</c:v>
                </c:pt>
                <c:pt idx="5">
                  <c:v>115.441362</c:v>
                </c:pt>
                <c:pt idx="6">
                  <c:v>174.26692600000001</c:v>
                </c:pt>
                <c:pt idx="7" formatCode="#,##0;\(#,##0\);&quot;–&quot;">
                  <c:v>-1617.9953261575399</c:v>
                </c:pt>
                <c:pt idx="8" formatCode="#,##0;\(#,##0\);&quot;–&quot;">
                  <c:v>-1304.4788777098336</c:v>
                </c:pt>
                <c:pt idx="9">
                  <c:v>-931.52183249138136</c:v>
                </c:pt>
                <c:pt idx="10">
                  <c:v>-498.55120247931535</c:v>
                </c:pt>
                <c:pt idx="11">
                  <c:v>-17.64084232448101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FE-473D-BC7E-CB1B5653F97E}"/>
            </c:ext>
          </c:extLst>
        </c:ser>
        <c:ser>
          <c:idx val="1"/>
          <c:order val="1"/>
          <c:tx>
            <c:strRef>
              <c:f>'Dashboard Gráficos'!$X$23</c:f>
              <c:strCache>
                <c:ptCount val="1"/>
                <c:pt idx="0">
                  <c:v>Caja Mínima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Gráficos'!$Y$21:$AJ$21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Gráficos'!$Y$23:$AJ$23</c:f>
              <c:numCache>
                <c:formatCode>#,##0.0;\(#,##0.0\);"–"</c:formatCode>
                <c:ptCount val="12"/>
                <c:pt idx="0">
                  <c:v>231.459</c:v>
                </c:pt>
                <c:pt idx="1">
                  <c:v>231.459</c:v>
                </c:pt>
                <c:pt idx="2">
                  <c:v>231.459</c:v>
                </c:pt>
                <c:pt idx="3">
                  <c:v>231.459</c:v>
                </c:pt>
                <c:pt idx="4">
                  <c:v>231.459</c:v>
                </c:pt>
                <c:pt idx="5">
                  <c:v>231.459</c:v>
                </c:pt>
                <c:pt idx="6">
                  <c:v>231.459</c:v>
                </c:pt>
                <c:pt idx="7">
                  <c:v>231.459</c:v>
                </c:pt>
                <c:pt idx="8">
                  <c:v>231.459</c:v>
                </c:pt>
                <c:pt idx="9">
                  <c:v>231.459</c:v>
                </c:pt>
                <c:pt idx="10">
                  <c:v>231.459</c:v>
                </c:pt>
                <c:pt idx="11">
                  <c:v>231.459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FE-473D-BC7E-CB1B5653F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895712"/>
        <c:axId val="1722071696"/>
      </c:lineChart>
      <c:catAx>
        <c:axId val="179889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71696"/>
        <c:crosses val="autoZero"/>
        <c:auto val="1"/>
        <c:lblAlgn val="ctr"/>
        <c:lblOffset val="100"/>
        <c:noMultiLvlLbl val="0"/>
      </c:catAx>
      <c:valAx>
        <c:axId val="17220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8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Escenarios de Ingresos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Gráficos'!$X$27</c:f>
              <c:strCache>
                <c:ptCount val="1"/>
                <c:pt idx="0">
                  <c:v>Optimista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Gráficos'!$Y$26:$AJ$26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Gráficos'!$Y$27:$AJ$27</c:f>
              <c:numCache>
                <c:formatCode>#,##0.0;\(#,##0.0\);"–"</c:formatCode>
                <c:ptCount val="12"/>
                <c:pt idx="0">
                  <c:v>612.24770100000001</c:v>
                </c:pt>
                <c:pt idx="1">
                  <c:v>744.21813699999996</c:v>
                </c:pt>
                <c:pt idx="2">
                  <c:v>787.04118700000004</c:v>
                </c:pt>
                <c:pt idx="3">
                  <c:v>750.867662</c:v>
                </c:pt>
                <c:pt idx="4" formatCode="#,##0;\(#,##0\);&quot;–&quot;">
                  <c:v>1013.2</c:v>
                </c:pt>
                <c:pt idx="5" formatCode="#,##0;\(#,##0\);&quot;–&quot;">
                  <c:v>1186.615357142857</c:v>
                </c:pt>
                <c:pt idx="6" formatCode="#,##0;\(#,##0\);&quot;–&quot;">
                  <c:v>1360.0307142857143</c:v>
                </c:pt>
                <c:pt idx="7" formatCode="#,##0;\(#,##0\);&quot;–&quot;">
                  <c:v>1533.4460714285715</c:v>
                </c:pt>
                <c:pt idx="8" formatCode="#,##0;\(#,##0\);&quot;–&quot;">
                  <c:v>1706.8614285714286</c:v>
                </c:pt>
                <c:pt idx="9" formatCode="#,##0;\(#,##0\);&quot;–&quot;">
                  <c:v>1880.2767857142858</c:v>
                </c:pt>
                <c:pt idx="10" formatCode="#,##0;\(#,##0\);&quot;–&quot;">
                  <c:v>2053.6921428571427</c:v>
                </c:pt>
                <c:pt idx="11" formatCode="#,##0;\(#,##0\);&quot;–&quot;">
                  <c:v>2227.1075000000001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2-472D-9059-C80B83DDA55D}"/>
            </c:ext>
          </c:extLst>
        </c:ser>
        <c:ser>
          <c:idx val="1"/>
          <c:order val="1"/>
          <c:tx>
            <c:strRef>
              <c:f>'Dashboard Gráficos'!$X$28</c:f>
              <c:strCache>
                <c:ptCount val="1"/>
                <c:pt idx="0">
                  <c:v>Conservador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Gráficos'!$Y$26:$AJ$26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Gráficos'!$Y$28:$AJ$28</c:f>
              <c:numCache>
                <c:formatCode>#,##0.0;\(#,##0.0\);"–"</c:formatCode>
                <c:ptCount val="12"/>
                <c:pt idx="0">
                  <c:v>612.24770100000001</c:v>
                </c:pt>
                <c:pt idx="1">
                  <c:v>744.21813699999996</c:v>
                </c:pt>
                <c:pt idx="2">
                  <c:v>787.04118700000004</c:v>
                </c:pt>
                <c:pt idx="3">
                  <c:v>750.867662</c:v>
                </c:pt>
                <c:pt idx="4" formatCode="#,##0;\(#,##0\);&quot;–&quot;">
                  <c:v>1218.4027094999999</c:v>
                </c:pt>
                <c:pt idx="5">
                  <c:v>759.47893950000002</c:v>
                </c:pt>
                <c:pt idx="6">
                  <c:v>803.43646333333334</c:v>
                </c:pt>
                <c:pt idx="7" formatCode="#,##0;\(#,##0\);&quot;–&quot;">
                  <c:v>1243.6402333333333</c:v>
                </c:pt>
                <c:pt idx="8" formatCode="#,##0;\(#,##0\);&quot;–&quot;">
                  <c:v>1249.0402333333332</c:v>
                </c:pt>
                <c:pt idx="9" formatCode="#,##0;\(#,##0\);&quot;–&quot;">
                  <c:v>1350.4209306666667</c:v>
                </c:pt>
                <c:pt idx="10" formatCode="#,##0;\(#,##0\);&quot;–&quot;">
                  <c:v>1355.8209306666668</c:v>
                </c:pt>
                <c:pt idx="11" formatCode="#,##0;\(#,##0\);&quot;–&quot;">
                  <c:v>1361.2209306666668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62-472D-9059-C80B83DDA55D}"/>
            </c:ext>
          </c:extLst>
        </c:ser>
        <c:ser>
          <c:idx val="2"/>
          <c:order val="2"/>
          <c:tx>
            <c:strRef>
              <c:f>'Dashboard Gráficos'!$X$29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'Dashboard Gráficos'!$Y$26:$AJ$26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Gráficos'!$Y$29:$AJ$29</c:f>
              <c:numCache>
                <c:formatCode>#,##0.0;\(#,##0.0\);"–"</c:formatCode>
                <c:ptCount val="12"/>
                <c:pt idx="0">
                  <c:v>612.24770100000001</c:v>
                </c:pt>
                <c:pt idx="1">
                  <c:v>744.21813699999996</c:v>
                </c:pt>
                <c:pt idx="2">
                  <c:v>787.04118700000004</c:v>
                </c:pt>
                <c:pt idx="3">
                  <c:v>750.867662</c:v>
                </c:pt>
                <c:pt idx="4">
                  <c:v>826.51474599999995</c:v>
                </c:pt>
                <c:pt idx="5">
                  <c:v>751.45331399999998</c:v>
                </c:pt>
                <c:pt idx="6" formatCode="#,##0;\(#,##0\);&quot;–&quot;">
                  <c:v>1047.4069442857144</c:v>
                </c:pt>
                <c:pt idx="7" formatCode="#,##0;\(#,##0\);&quot;–&quot;">
                  <c:v>1573.6260714285715</c:v>
                </c:pt>
                <c:pt idx="8" formatCode="#,##0;\(#,##0\);&quot;–&quot;">
                  <c:v>1665.0414285714285</c:v>
                </c:pt>
                <c:pt idx="9" formatCode="#,##0;\(#,##0\);&quot;–&quot;">
                  <c:v>1756.4567857142858</c:v>
                </c:pt>
                <c:pt idx="10" formatCode="#,##0;\(#,##0\);&quot;–&quot;">
                  <c:v>1847.872142857143</c:v>
                </c:pt>
                <c:pt idx="11" formatCode="#,##0;\(#,##0\);&quot;–&quot;">
                  <c:v>1939.2874999999999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62-472D-9059-C80B83DDA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360176"/>
        <c:axId val="1722210416"/>
      </c:lineChart>
      <c:catAx>
        <c:axId val="1960360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10416"/>
        <c:crosses val="autoZero"/>
        <c:auto val="1"/>
        <c:lblAlgn val="ctr"/>
        <c:lblOffset val="100"/>
        <c:noMultiLvlLbl val="0"/>
      </c:catAx>
      <c:valAx>
        <c:axId val="172221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3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Días de Cobro vs Días de Pago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Gráficos'!$X$33</c:f>
              <c:strCache>
                <c:ptCount val="1"/>
                <c:pt idx="0">
                  <c:v>DSO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Gráficos'!$Y$32:$AJ$32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Gráficos'!$Y$33:$AJ$33</c:f>
              <c:numCache>
                <c:formatCode>#,##0.0;\(#,##0.0\);"–"</c:formatCode>
                <c:ptCount val="12"/>
                <c:pt idx="0">
                  <c:v>83.883618266130497</c:v>
                </c:pt>
                <c:pt idx="1">
                  <c:v>68.288405970412413</c:v>
                </c:pt>
                <c:pt idx="2">
                  <c:v>66.479627634786041</c:v>
                </c:pt>
                <c:pt idx="3">
                  <c:v>65.987250853266872</c:v>
                </c:pt>
                <c:pt idx="4">
                  <c:v>59.671102274562443</c:v>
                </c:pt>
                <c:pt idx="5">
                  <c:v>69.36115117059687</c:v>
                </c:pt>
                <c:pt idx="6">
                  <c:v>76.951113824273293</c:v>
                </c:pt>
                <c:pt idx="7">
                  <c:v>58.094591456538161</c:v>
                </c:pt>
                <c:pt idx="8">
                  <c:v>81.6940844028763</c:v>
                </c:pt>
                <c:pt idx="9">
                  <c:v>81.814096520206363</c:v>
                </c:pt>
                <c:pt idx="10">
                  <c:v>81.922234492878104</c:v>
                </c:pt>
                <c:pt idx="11">
                  <c:v>82.020177513648704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9-408D-8B53-9302DDE1A601}"/>
            </c:ext>
          </c:extLst>
        </c:ser>
        <c:ser>
          <c:idx val="1"/>
          <c:order val="1"/>
          <c:tx>
            <c:strRef>
              <c:f>'Dashboard Gráficos'!$X$34</c:f>
              <c:strCache>
                <c:ptCount val="1"/>
                <c:pt idx="0">
                  <c:v>DPO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Gráficos'!$Y$32:$AJ$32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Gráficos'!$Y$34:$AJ$34</c:f>
              <c:numCache>
                <c:formatCode>#,##0.0;\(#,##0.0\);"–"</c:formatCode>
                <c:ptCount val="12"/>
                <c:pt idx="0">
                  <c:v>9.614560886405167</c:v>
                </c:pt>
                <c:pt idx="1">
                  <c:v>7.6089761418314508</c:v>
                </c:pt>
                <c:pt idx="2">
                  <c:v>6.7670344830580103</c:v>
                </c:pt>
                <c:pt idx="3">
                  <c:v>8.5724442762023649</c:v>
                </c:pt>
                <c:pt idx="4">
                  <c:v>8.9523556781668781</c:v>
                </c:pt>
                <c:pt idx="5">
                  <c:v>7.8811540905730393</c:v>
                </c:pt>
                <c:pt idx="6">
                  <c:v>8.7627549548838601</c:v>
                </c:pt>
                <c:pt idx="7">
                  <c:v>120.402407432998</c:v>
                </c:pt>
                <c:pt idx="8">
                  <c:v>231.90703200362574</c:v>
                </c:pt>
                <c:pt idx="9">
                  <c:v>231.90703200362574</c:v>
                </c:pt>
                <c:pt idx="10">
                  <c:v>225.49183109456371</c:v>
                </c:pt>
                <c:pt idx="11">
                  <c:v>225.49183109456371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9-408D-8B53-9302DDE1A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923088"/>
        <c:axId val="1722146096"/>
      </c:lineChart>
      <c:catAx>
        <c:axId val="179892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46096"/>
        <c:crosses val="autoZero"/>
        <c:auto val="1"/>
        <c:lblAlgn val="ctr"/>
        <c:lblOffset val="100"/>
        <c:noMultiLvlLbl val="0"/>
      </c:catAx>
      <c:valAx>
        <c:axId val="17221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2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Deuda Financiera vs Coco Delaware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Gráficos'!$X$39</c:f>
              <c:strCache>
                <c:ptCount val="1"/>
                <c:pt idx="0">
                  <c:v>Deuda Financiera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Gráficos'!$Y$38:$AJ$38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Gráficos'!$Y$39:$AJ$39</c:f>
              <c:numCache>
                <c:formatCode>#,##0.0;\(#,##0.0\);"–"</c:formatCode>
                <c:ptCount val="12"/>
                <c:pt idx="0">
                  <c:v>72.783461000000003</c:v>
                </c:pt>
                <c:pt idx="1">
                  <c:v>101.365099</c:v>
                </c:pt>
                <c:pt idx="2">
                  <c:v>104.18998000000001</c:v>
                </c:pt>
                <c:pt idx="3">
                  <c:v>112.56347</c:v>
                </c:pt>
                <c:pt idx="4">
                  <c:v>99.589766999999995</c:v>
                </c:pt>
                <c:pt idx="5">
                  <c:v>83.503946999999997</c:v>
                </c:pt>
                <c:pt idx="6">
                  <c:v>83.503946999999997</c:v>
                </c:pt>
                <c:pt idx="7">
                  <c:v>83.503946999999997</c:v>
                </c:pt>
                <c:pt idx="8">
                  <c:v>83.503946999999997</c:v>
                </c:pt>
                <c:pt idx="9">
                  <c:v>83.503946999999997</c:v>
                </c:pt>
                <c:pt idx="10">
                  <c:v>83.503946999999997</c:v>
                </c:pt>
                <c:pt idx="11">
                  <c:v>83.503946999999997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1-4AAC-A96D-8065F7E57788}"/>
            </c:ext>
          </c:extLst>
        </c:ser>
        <c:ser>
          <c:idx val="1"/>
          <c:order val="1"/>
          <c:tx>
            <c:strRef>
              <c:f>'Dashboard Gráficos'!$X$40</c:f>
              <c:strCache>
                <c:ptCount val="1"/>
                <c:pt idx="0">
                  <c:v>CxP Coco Delaware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Gráficos'!$Y$38:$AJ$38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Gráficos'!$Y$40:$AJ$40</c:f>
              <c:numCache>
                <c:formatCode>#,##0;\(#,##0\);"–"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2642.6491810000002</c:v>
                </c:pt>
                <c:pt idx="5">
                  <c:v>2641.5664809999998</c:v>
                </c:pt>
                <c:pt idx="6">
                  <c:v>2641.5664809999998</c:v>
                </c:pt>
                <c:pt idx="7">
                  <c:v>2641.5664809999998</c:v>
                </c:pt>
                <c:pt idx="8">
                  <c:v>2641.5664809999998</c:v>
                </c:pt>
                <c:pt idx="9">
                  <c:v>2641.5664809999998</c:v>
                </c:pt>
                <c:pt idx="10">
                  <c:v>2641.5664809999998</c:v>
                </c:pt>
                <c:pt idx="11">
                  <c:v>2641.5664809999998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1-4AAC-A96D-8065F7E5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707760"/>
        <c:axId val="1722103856"/>
      </c:lineChart>
      <c:catAx>
        <c:axId val="1806707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103856"/>
        <c:crosses val="autoZero"/>
        <c:auto val="1"/>
        <c:lblAlgn val="ctr"/>
        <c:lblOffset val="100"/>
        <c:noMultiLvlLbl val="0"/>
      </c:catAx>
      <c:valAx>
        <c:axId val="17221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Cuentas por Cobrar vs Cuentas por Pagar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Gráficos'!$X$45</c:f>
              <c:strCache>
                <c:ptCount val="1"/>
                <c:pt idx="0">
                  <c:v>Cuentas por Cobrar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Gráficos'!$Y$44:$AJ$44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Gráficos'!$Y$45:$AJ$45</c:f>
              <c:numCache>
                <c:formatCode>#,##0.0;\(#,##0.0\);"–"</c:formatCode>
                <c:ptCount val="12"/>
                <c:pt idx="0">
                  <c:v>1590.540829</c:v>
                </c:pt>
                <c:pt idx="1">
                  <c:v>1797.5571890000001</c:v>
                </c:pt>
                <c:pt idx="2">
                  <c:v>1690.5898139999999</c:v>
                </c:pt>
                <c:pt idx="3">
                  <c:v>1612.589704</c:v>
                </c:pt>
                <c:pt idx="4" formatCode="#,##0;\(#,##0\);&quot;–&quot;">
                  <c:v>1675.3466920000001</c:v>
                </c:pt>
                <c:pt idx="5" formatCode="#,##0;\(#,##0\);&quot;–&quot;">
                  <c:v>1799.431102</c:v>
                </c:pt>
                <c:pt idx="6" formatCode="#,##0;\(#,##0\);&quot;–&quot;">
                  <c:v>1688.457915</c:v>
                </c:pt>
                <c:pt idx="7" formatCode="#,##0;\(#,##0\);&quot;–&quot;">
                  <c:v>4406.1530000000002</c:v>
                </c:pt>
                <c:pt idx="8" formatCode="#,##0;\(#,##0\);&quot;–&quot;">
                  <c:v>4662.116</c:v>
                </c:pt>
                <c:pt idx="9" formatCode="#,##0;\(#,##0\);&quot;–&quot;">
                  <c:v>4918.0789999999997</c:v>
                </c:pt>
                <c:pt idx="10" formatCode="#,##0;\(#,##0\);&quot;–&quot;">
                  <c:v>5174.0420000000004</c:v>
                </c:pt>
                <c:pt idx="11" formatCode="#,##0;\(#,##0\);&quot;–&quot;">
                  <c:v>5430.0050000000001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F3-4ABB-B6E3-C776F8CA8306}"/>
            </c:ext>
          </c:extLst>
        </c:ser>
        <c:ser>
          <c:idx val="1"/>
          <c:order val="1"/>
          <c:tx>
            <c:strRef>
              <c:f>'Dashboard Gráficos'!$X$46</c:f>
              <c:strCache>
                <c:ptCount val="1"/>
                <c:pt idx="0">
                  <c:v>Cuentas por Pagar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Gráficos'!$Y$44:$AJ$44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Gráficos'!$Y$46:$AJ$46</c:f>
              <c:numCache>
                <c:formatCode>#,##0.0;\(#,##0.0\);"–"</c:formatCode>
                <c:ptCount val="12"/>
                <c:pt idx="0">
                  <c:v>502.128241</c:v>
                </c:pt>
                <c:pt idx="1">
                  <c:v>493.78229700000003</c:v>
                </c:pt>
                <c:pt idx="2">
                  <c:v>571.03756499999997</c:v>
                </c:pt>
                <c:pt idx="3">
                  <c:v>563.84176300000001</c:v>
                </c:pt>
                <c:pt idx="4">
                  <c:v>502.31105000000002</c:v>
                </c:pt>
                <c:pt idx="5">
                  <c:v>483.39090599999997</c:v>
                </c:pt>
                <c:pt idx="6">
                  <c:v>403.76030400000002</c:v>
                </c:pt>
                <c:pt idx="7">
                  <c:v>611.03650472222205</c:v>
                </c:pt>
                <c:pt idx="8">
                  <c:v>611.03650472222205</c:v>
                </c:pt>
                <c:pt idx="9">
                  <c:v>611.03650472222205</c:v>
                </c:pt>
                <c:pt idx="10">
                  <c:v>628.42038032222206</c:v>
                </c:pt>
                <c:pt idx="11">
                  <c:v>628.42038032222206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F3-4ABB-B6E3-C776F8CA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6825616"/>
        <c:axId val="1722249296"/>
      </c:lineChart>
      <c:catAx>
        <c:axId val="180682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49296"/>
        <c:crosses val="autoZero"/>
        <c:auto val="1"/>
        <c:lblAlgn val="ctr"/>
        <c:lblOffset val="100"/>
        <c:noMultiLvlLbl val="0"/>
      </c:catAx>
      <c:valAx>
        <c:axId val="172224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8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Flujo Operativo vs Cambio Neto de Caja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Gráficos'!$X$57</c:f>
              <c:strCache>
                <c:ptCount val="1"/>
                <c:pt idx="0">
                  <c:v>Flujo Operativo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Gráficos'!$Y$56:$AJ$56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Gráficos'!$Y$57:$AJ$57</c:f>
              <c:numCache>
                <c:formatCode>#,##0.0;\(#,##0.0\);"–"</c:formatCode>
                <c:ptCount val="12"/>
                <c:pt idx="0" formatCode="#,##0;\(#,##0\);&quot;–&quot;">
                  <c:v>254.495081</c:v>
                </c:pt>
                <c:pt idx="1">
                  <c:v>-267.33078899999998</c:v>
                </c:pt>
                <c:pt idx="2">
                  <c:v>51.916595999999998</c:v>
                </c:pt>
                <c:pt idx="3">
                  <c:v>89.724697366666661</c:v>
                </c:pt>
                <c:pt idx="4" formatCode="#,##0;\(#,##0\);&quot;–&quot;">
                  <c:v>39.321053916666663</c:v>
                </c:pt>
                <c:pt idx="5">
                  <c:v>-105.08256643333334</c:v>
                </c:pt>
                <c:pt idx="6">
                  <c:v>55.719874566666668</c:v>
                </c:pt>
                <c:pt idx="7" formatCode="#,##0;\(#,##0\);&quot;–&quot;">
                  <c:v>-1784.9021601575398</c:v>
                </c:pt>
                <c:pt idx="8">
                  <c:v>320.87654044770619</c:v>
                </c:pt>
                <c:pt idx="9">
                  <c:v>380.31713721845222</c:v>
                </c:pt>
                <c:pt idx="10">
                  <c:v>440.33072201206608</c:v>
                </c:pt>
                <c:pt idx="11">
                  <c:v>488.27045215483435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1-4DF6-95C4-0AF1054B1481}"/>
            </c:ext>
          </c:extLst>
        </c:ser>
        <c:ser>
          <c:idx val="1"/>
          <c:order val="1"/>
          <c:tx>
            <c:strRef>
              <c:f>'Dashboard Gráficos'!$X$58</c:f>
              <c:strCache>
                <c:ptCount val="1"/>
                <c:pt idx="0">
                  <c:v>Cambio Neto de Caja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Gráficos'!$Y$56:$AJ$56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Gráficos'!$Y$58:$AJ$58</c:f>
              <c:numCache>
                <c:formatCode>#,##0.0;\(#,##0.0\);"–"</c:formatCode>
                <c:ptCount val="12"/>
                <c:pt idx="0" formatCode="#,##0;\(#,##0\);&quot;–&quot;">
                  <c:v>229.383174</c:v>
                </c:pt>
                <c:pt idx="1">
                  <c:v>-268.36550399999999</c:v>
                </c:pt>
                <c:pt idx="2">
                  <c:v>74.756783999999996</c:v>
                </c:pt>
                <c:pt idx="3">
                  <c:v>-3773.59384</c:v>
                </c:pt>
                <c:pt idx="4" formatCode="#,##0;\(#,##0\);&quot;–&quot;">
                  <c:v>3833.0721140000001</c:v>
                </c:pt>
                <c:pt idx="5">
                  <c:v>-126.01734500000001</c:v>
                </c:pt>
                <c:pt idx="6">
                  <c:v>69.631830566666665</c:v>
                </c:pt>
                <c:pt idx="7">
                  <c:v>828.25298084246015</c:v>
                </c:pt>
                <c:pt idx="8">
                  <c:v>313.51644844770618</c:v>
                </c:pt>
                <c:pt idx="9">
                  <c:v>372.95704521845221</c:v>
                </c:pt>
                <c:pt idx="10">
                  <c:v>432.97063001206607</c:v>
                </c:pt>
                <c:pt idx="11">
                  <c:v>480.91036015483434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1-4DF6-95C4-0AF1054B1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3692912"/>
        <c:axId val="1328060272"/>
      </c:barChart>
      <c:catAx>
        <c:axId val="1493692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60272"/>
        <c:crosses val="autoZero"/>
        <c:auto val="1"/>
        <c:lblAlgn val="ctr"/>
        <c:lblOffset val="100"/>
        <c:noMultiLvlLbl val="0"/>
      </c:catAx>
      <c:valAx>
        <c:axId val="13280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9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Inversión vs Financiamiento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Gráficos'!$X$62</c:f>
              <c:strCache>
                <c:ptCount val="1"/>
                <c:pt idx="0">
                  <c:v>Inversión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Gráficos'!$Y$61:$AJ$61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Gráficos'!$Y$62:$AJ$62</c:f>
              <c:numCache>
                <c:formatCode>#,##0.0;\(#,##0.0\);"–"</c:formatCode>
                <c:ptCount val="12"/>
                <c:pt idx="0" formatCode="#,##0;\(#,##0\);&quot;–&quot;">
                  <c:v>-7.8805490000000002</c:v>
                </c:pt>
                <c:pt idx="1">
                  <c:v>-6.729228</c:v>
                </c:pt>
                <c:pt idx="2">
                  <c:v>-0.98551800000000001</c:v>
                </c:pt>
                <c:pt idx="3">
                  <c:v>-3213.6097863666669</c:v>
                </c:pt>
                <c:pt idx="4" formatCode="#,##0;\(#,##0\);&quot;–&quot;">
                  <c:v>3149.8284250833335</c:v>
                </c:pt>
                <c:pt idx="5">
                  <c:v>-3.766258566666667</c:v>
                </c:pt>
                <c:pt idx="6">
                  <c:v>-7.3600919999999999</c:v>
                </c:pt>
                <c:pt idx="7">
                  <c:v>-7.3600919999999999</c:v>
                </c:pt>
                <c:pt idx="8">
                  <c:v>-7.3600919999999999</c:v>
                </c:pt>
                <c:pt idx="9">
                  <c:v>-7.3600919999999999</c:v>
                </c:pt>
                <c:pt idx="10">
                  <c:v>-7.3600919999999999</c:v>
                </c:pt>
                <c:pt idx="11">
                  <c:v>-7.3600919999999999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1-4E71-A715-A2A1DB69AC71}"/>
            </c:ext>
          </c:extLst>
        </c:ser>
        <c:ser>
          <c:idx val="1"/>
          <c:order val="1"/>
          <c:tx>
            <c:strRef>
              <c:f>'Dashboard Gráficos'!$X$63</c:f>
              <c:strCache>
                <c:ptCount val="1"/>
                <c:pt idx="0">
                  <c:v>Financiamiento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Gráficos'!$Y$61:$AJ$61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Gráficos'!$Y$63:$AJ$63</c:f>
              <c:numCache>
                <c:formatCode>#,##0.0;\(#,##0.0\);"–"</c:formatCode>
                <c:ptCount val="12"/>
                <c:pt idx="0" formatCode="#,##0;\(#,##0\);&quot;–&quot;">
                  <c:v>-17.231358</c:v>
                </c:pt>
                <c:pt idx="1">
                  <c:v>5.6945129999999997</c:v>
                </c:pt>
                <c:pt idx="2" formatCode="#,##0;\(#,##0\);&quot;–&quot;">
                  <c:v>23.825706</c:v>
                </c:pt>
                <c:pt idx="3">
                  <c:v>-649.70875100000001</c:v>
                </c:pt>
                <c:pt idx="4" formatCode="#,##0;\(#,##0\);&quot;–&quot;">
                  <c:v>643.92263500000001</c:v>
                </c:pt>
                <c:pt idx="5">
                  <c:v>-17.168520000000001</c:v>
                </c:pt>
                <c:pt idx="6">
                  <c:v>21.272048000000002</c:v>
                </c:pt>
                <c:pt idx="7" formatCode="#,##0;\(#,##0\);&quot;–&quot;">
                  <c:v>2620.5152330000001</c:v>
                </c:pt>
                <c:pt idx="8" formatCode="#,##0;\(#,##0\);&quot;–&quot;">
                  <c:v>0</c:v>
                </c:pt>
                <c:pt idx="9" formatCode="#,##0;\(#,##0\);&quot;–&quot;">
                  <c:v>0</c:v>
                </c:pt>
                <c:pt idx="10" formatCode="#,##0;\(#,##0\);&quot;–&quot;">
                  <c:v>0</c:v>
                </c:pt>
                <c:pt idx="11" formatCode="#,##0;\(#,##0\);&quot;–&quot;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1-4E71-A715-A2A1DB69A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3701728"/>
        <c:axId val="1328147152"/>
      </c:barChart>
      <c:catAx>
        <c:axId val="1493701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47152"/>
        <c:crosses val="autoZero"/>
        <c:auto val="1"/>
        <c:lblAlgn val="ctr"/>
        <c:lblOffset val="100"/>
        <c:noMultiLvlLbl val="0"/>
      </c:catAx>
      <c:valAx>
        <c:axId val="13281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Ciclo de Conversión de Caja (días)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Gráficos'!$X$67</c:f>
              <c:strCache>
                <c:ptCount val="1"/>
                <c:pt idx="0">
                  <c:v>Ciclo de Conversión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Gráficos'!$Y$66:$AJ$66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Gráficos'!$Y$67:$AJ$67</c:f>
              <c:numCache>
                <c:formatCode>#,##0.0;\(#,##0.0\);"–"</c:formatCode>
                <c:ptCount val="12"/>
                <c:pt idx="0">
                  <c:v>74.269057379725325</c:v>
                </c:pt>
                <c:pt idx="1">
                  <c:v>60.679429828580965</c:v>
                </c:pt>
                <c:pt idx="2">
                  <c:v>59.712593151728029</c:v>
                </c:pt>
                <c:pt idx="3">
                  <c:v>57.41480657706451</c:v>
                </c:pt>
                <c:pt idx="4">
                  <c:v>50.718746596395562</c:v>
                </c:pt>
                <c:pt idx="5">
                  <c:v>61.479997080023828</c:v>
                </c:pt>
                <c:pt idx="6">
                  <c:v>68.188358869389432</c:v>
                </c:pt>
                <c:pt idx="7">
                  <c:v>-62.307815976459842</c:v>
                </c:pt>
                <c:pt idx="8">
                  <c:v>-150.21294760074943</c:v>
                </c:pt>
                <c:pt idx="9">
                  <c:v>-150.09293548341938</c:v>
                </c:pt>
                <c:pt idx="10">
                  <c:v>-143.56959660168559</c:v>
                </c:pt>
                <c:pt idx="11">
                  <c:v>-143.47165358091502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1-47CA-8DAC-2C28CB0A2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45120"/>
        <c:axId val="1328035792"/>
      </c:lineChart>
      <c:catAx>
        <c:axId val="1493645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35792"/>
        <c:crosses val="autoZero"/>
        <c:auto val="1"/>
        <c:lblAlgn val="ctr"/>
        <c:lblOffset val="100"/>
        <c:noMultiLvlLbl val="0"/>
      </c:catAx>
      <c:valAx>
        <c:axId val="132803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Deuda Total Mensual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Gráficos'!$X$71</c:f>
              <c:strCache>
                <c:ptCount val="1"/>
                <c:pt idx="0">
                  <c:v>Deuda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Gráficos'!$Y$70:$AJ$70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Gráficos'!$Y$71:$AJ$71</c:f>
              <c:numCache>
                <c:formatCode>#,##0.0;\(#,##0.0\);"–"</c:formatCode>
                <c:ptCount val="12"/>
                <c:pt idx="0">
                  <c:v>72.783461000000003</c:v>
                </c:pt>
                <c:pt idx="1">
                  <c:v>101.365099</c:v>
                </c:pt>
                <c:pt idx="2">
                  <c:v>104.18998000000001</c:v>
                </c:pt>
                <c:pt idx="3">
                  <c:v>112.56347</c:v>
                </c:pt>
                <c:pt idx="4" formatCode="#,##0;\(#,##0\);&quot;–&quot;">
                  <c:v>2742.2389480000002</c:v>
                </c:pt>
                <c:pt idx="5" formatCode="#,##0;\(#,##0\);&quot;–&quot;">
                  <c:v>2725.070428</c:v>
                </c:pt>
                <c:pt idx="6" formatCode="#,##0;\(#,##0\);&quot;–&quot;">
                  <c:v>2725.070428</c:v>
                </c:pt>
                <c:pt idx="7" formatCode="#,##0;\(#,##0\);&quot;–&quot;">
                  <c:v>2725.070428</c:v>
                </c:pt>
                <c:pt idx="8" formatCode="#,##0;\(#,##0\);&quot;–&quot;">
                  <c:v>2725.070428</c:v>
                </c:pt>
                <c:pt idx="9" formatCode="#,##0;\(#,##0\);&quot;–&quot;">
                  <c:v>2725.070428</c:v>
                </c:pt>
                <c:pt idx="10" formatCode="#,##0;\(#,##0\);&quot;–&quot;">
                  <c:v>2725.070428</c:v>
                </c:pt>
                <c:pt idx="11" formatCode="#,##0;\(#,##0\);&quot;–&quot;">
                  <c:v>2725.070428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3-408D-920F-95B9FE60B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447920"/>
        <c:axId val="1328117392"/>
      </c:lineChart>
      <c:catAx>
        <c:axId val="149344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117392"/>
        <c:crosses val="autoZero"/>
        <c:auto val="1"/>
        <c:lblAlgn val="ctr"/>
        <c:lblOffset val="100"/>
        <c:noMultiLvlLbl val="0"/>
      </c:catAx>
      <c:valAx>
        <c:axId val="132811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44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Impuestos por Pagar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Gráficos'!$X$75</c:f>
              <c:strCache>
                <c:ptCount val="1"/>
                <c:pt idx="0">
                  <c:v>Impuestos por Pagar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Gráficos'!$Y$74:$AJ$74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Gráficos'!$Y$75:$AJ$75</c:f>
              <c:numCache>
                <c:formatCode>#,##0;\(#,##0\);"–"</c:formatCode>
                <c:ptCount val="12"/>
                <c:pt idx="0">
                  <c:v>14.35008</c:v>
                </c:pt>
                <c:pt idx="1">
                  <c:v>1.7917000000000001</c:v>
                </c:pt>
                <c:pt idx="2">
                  <c:v>25.570584</c:v>
                </c:pt>
                <c:pt idx="3">
                  <c:v>24.496645000000001</c:v>
                </c:pt>
                <c:pt idx="4" formatCode="#,##0.0;\(#,##0.0\);&quot;–&quot;">
                  <c:v>22.513415999999999</c:v>
                </c:pt>
                <c:pt idx="5" formatCode="#,##0.0;\(#,##0.0\);&quot;–&quot;">
                  <c:v>23.325495</c:v>
                </c:pt>
                <c:pt idx="6" formatCode="#,##0.0;\(#,##0.0\);&quot;–&quot;">
                  <c:v>19.229474</c:v>
                </c:pt>
                <c:pt idx="7" formatCode="#,##0.0;\(#,##0.0\);&quot;–&quot;">
                  <c:v>259.3220148153888</c:v>
                </c:pt>
                <c:pt idx="8" formatCode="#,##0.0;\(#,##0.0\);&quot;–&quot;">
                  <c:v>291.29677518750037</c:v>
                </c:pt>
                <c:pt idx="9" formatCode="#,##0.0;\(#,##0.0\);&quot;–&quot;">
                  <c:v>323.27187913674356</c:v>
                </c:pt>
                <c:pt idx="10" formatCode="#,##0.0;\(#,##0.0\);&quot;–&quot;">
                  <c:v>349.36363053683249</c:v>
                </c:pt>
                <c:pt idx="11" formatCode="#,##0.0;\(#,##0.0\);&quot;–&quot;">
                  <c:v>381.33940455692004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4-41ED-830A-0FF616CA2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3657648"/>
        <c:axId val="1328028592"/>
      </c:barChart>
      <c:catAx>
        <c:axId val="1493657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28592"/>
        <c:crosses val="autoZero"/>
        <c:auto val="1"/>
        <c:lblAlgn val="ctr"/>
        <c:lblOffset val="100"/>
        <c:noMultiLvlLbl val="0"/>
      </c:catAx>
      <c:valAx>
        <c:axId val="132802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Capital de Trabajo Neto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Gráficos'!$X$79</c:f>
              <c:strCache>
                <c:ptCount val="1"/>
                <c:pt idx="0">
                  <c:v>Capital de Trabajo Neto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Gráficos'!$Y$78:$AJ$78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Gráficos'!$Y$79:$AJ$79</c:f>
              <c:numCache>
                <c:formatCode>#,##0;\(#,##0\);"–"</c:formatCode>
                <c:ptCount val="12"/>
                <c:pt idx="0">
                  <c:v>1074.062508</c:v>
                </c:pt>
                <c:pt idx="1">
                  <c:v>1301.9831919999999</c:v>
                </c:pt>
                <c:pt idx="2">
                  <c:v>1093.981665</c:v>
                </c:pt>
                <c:pt idx="3">
                  <c:v>1024.2512959999999</c:v>
                </c:pt>
                <c:pt idx="4">
                  <c:v>1150.522226</c:v>
                </c:pt>
                <c:pt idx="5">
                  <c:v>1292.7147010000001</c:v>
                </c:pt>
                <c:pt idx="6">
                  <c:v>1265.4681370000001</c:v>
                </c:pt>
                <c:pt idx="7">
                  <c:v>3535.7944804623889</c:v>
                </c:pt>
                <c:pt idx="8">
                  <c:v>3759.7827200902771</c:v>
                </c:pt>
                <c:pt idx="9">
                  <c:v>3983.7706161410342</c:v>
                </c:pt>
                <c:pt idx="10">
                  <c:v>4196.2579891409459</c:v>
                </c:pt>
                <c:pt idx="11">
                  <c:v>4420.2452151208581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9-4430-B088-843A4A25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72032"/>
        <c:axId val="1328074672"/>
      </c:lineChart>
      <c:catAx>
        <c:axId val="1493672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74672"/>
        <c:crosses val="autoZero"/>
        <c:auto val="1"/>
        <c:lblAlgn val="ctr"/>
        <c:lblOffset val="100"/>
        <c:noMultiLvlLbl val="0"/>
      </c:catAx>
      <c:valAx>
        <c:axId val="13280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7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Intereses Totales Mensuales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Gráficos'!$X$88</c:f>
              <c:strCache>
                <c:ptCount val="1"/>
                <c:pt idx="0">
                  <c:v>Intereses Totales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Gráficos'!$Y$87:$AJ$87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Gráficos'!$Y$88:$AJ$88</c:f>
              <c:numCache>
                <c:formatCode>#,##0.0;\(#,##0.0\);"–"</c:formatCode>
                <c:ptCount val="12"/>
                <c:pt idx="0">
                  <c:v>0.63706025416666678</c:v>
                </c:pt>
                <c:pt idx="1">
                  <c:v>0.72561900000000001</c:v>
                </c:pt>
                <c:pt idx="2">
                  <c:v>0.85647949583333349</c:v>
                </c:pt>
                <c:pt idx="3">
                  <c:v>0.90313937499999997</c:v>
                </c:pt>
                <c:pt idx="4">
                  <c:v>0.93802891666666666</c:v>
                </c:pt>
                <c:pt idx="5">
                  <c:v>0.82991472500000008</c:v>
                </c:pt>
                <c:pt idx="6">
                  <c:v>0.69586622499999995</c:v>
                </c:pt>
                <c:pt idx="7">
                  <c:v>0.69586622499999995</c:v>
                </c:pt>
                <c:pt idx="8">
                  <c:v>0.69586622499999995</c:v>
                </c:pt>
                <c:pt idx="9">
                  <c:v>0.69586622499999995</c:v>
                </c:pt>
                <c:pt idx="10">
                  <c:v>0.69586622499999995</c:v>
                </c:pt>
                <c:pt idx="11">
                  <c:v>0.69586622499999995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6-4020-B9D0-EE2206ABE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3696624"/>
        <c:axId val="1328015152"/>
      </c:barChart>
      <c:catAx>
        <c:axId val="149369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15152"/>
        <c:crosses val="autoZero"/>
        <c:auto val="1"/>
        <c:lblAlgn val="ctr"/>
        <c:lblOffset val="100"/>
        <c:noMultiLvlLbl val="0"/>
      </c:catAx>
      <c:valAx>
        <c:axId val="13280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9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Margen Bruto Mensual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Gráficos'!$X$93</c:f>
              <c:strCache>
                <c:ptCount val="1"/>
                <c:pt idx="0">
                  <c:v>Margen Bruto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Gráficos'!$Y$92:$AJ$92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Gráficos'!$Y$93:$AJ$93</c:f>
              <c:numCache>
                <c:formatCode>#,##0.0;\(#,##0.0\);"–"</c:formatCode>
                <c:ptCount val="12"/>
                <c:pt idx="0">
                  <c:v>0.6103933202029288</c:v>
                </c:pt>
                <c:pt idx="1">
                  <c:v>0.53869870414082643</c:v>
                </c:pt>
                <c:pt idx="2">
                  <c:v>0.42107324429007298</c:v>
                </c:pt>
                <c:pt idx="3">
                  <c:v>0.49488623202952642</c:v>
                </c:pt>
                <c:pt idx="4">
                  <c:v>0.56991629644802488</c:v>
                </c:pt>
                <c:pt idx="5">
                  <c:v>0.53626180162138459</c:v>
                </c:pt>
                <c:pt idx="6">
                  <c:v>0.52651520593567536</c:v>
                </c:pt>
                <c:pt idx="7">
                  <c:v>0.7759816853462268</c:v>
                </c:pt>
                <c:pt idx="8">
                  <c:v>0.78828090738911971</c:v>
                </c:pt>
                <c:pt idx="9">
                  <c:v>0.79929989551475966</c:v>
                </c:pt>
                <c:pt idx="10">
                  <c:v>0.80380124197548719</c:v>
                </c:pt>
                <c:pt idx="11">
                  <c:v>0.81304978275956175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E-4E1C-A42F-CBA35EF3F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30368"/>
        <c:axId val="2063790416"/>
      </c:lineChart>
      <c:catAx>
        <c:axId val="2063130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790416"/>
        <c:crosses val="autoZero"/>
        <c:auto val="1"/>
        <c:lblAlgn val="ctr"/>
        <c:lblOffset val="100"/>
        <c:noMultiLvlLbl val="0"/>
      </c:catAx>
      <c:valAx>
        <c:axId val="206379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Costo de Ventas vs Opex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Gráficos'!$X$97</c:f>
              <c:strCache>
                <c:ptCount val="1"/>
                <c:pt idx="0">
                  <c:v>Costo de Ventas (COP 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Gráficos'!$Y$96:$AJ$96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Gráficos'!$Y$97:$AJ$97</c:f>
              <c:numCache>
                <c:formatCode>#,##0.0;\(#,##0.0\);"–"</c:formatCode>
                <c:ptCount val="12"/>
                <c:pt idx="0">
                  <c:v>238.53579400000001</c:v>
                </c:pt>
                <c:pt idx="1">
                  <c:v>343.30879099999999</c:v>
                </c:pt>
                <c:pt idx="2">
                  <c:v>455.63920100000001</c:v>
                </c:pt>
                <c:pt idx="3">
                  <c:v>379.273594</c:v>
                </c:pt>
                <c:pt idx="4">
                  <c:v>355.47052300000001</c:v>
                </c:pt>
                <c:pt idx="5">
                  <c:v>348.47760599999998</c:v>
                </c:pt>
                <c:pt idx="6">
                  <c:v>321.91783800000002</c:v>
                </c:pt>
                <c:pt idx="7">
                  <c:v>352.52106041666661</c:v>
                </c:pt>
                <c:pt idx="8">
                  <c:v>352.52106041666661</c:v>
                </c:pt>
                <c:pt idx="9">
                  <c:v>352.52106041666661</c:v>
                </c:pt>
                <c:pt idx="10">
                  <c:v>362.55021941666661</c:v>
                </c:pt>
                <c:pt idx="11">
                  <c:v>362.55021941666661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9-46B8-AD1C-C19D6187EF7B}"/>
            </c:ext>
          </c:extLst>
        </c:ser>
        <c:ser>
          <c:idx val="1"/>
          <c:order val="1"/>
          <c:tx>
            <c:strRef>
              <c:f>'Dashboard Gráficos'!$X$98</c:f>
              <c:strCache>
                <c:ptCount val="1"/>
                <c:pt idx="0">
                  <c:v>Opex Total (COP MM)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Gráficos'!$Y$96:$AJ$96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Gráficos'!$Y$98:$AJ$98</c:f>
              <c:numCache>
                <c:formatCode>#,##0.0;\(#,##0.0\);"–"</c:formatCode>
                <c:ptCount val="12"/>
                <c:pt idx="0">
                  <c:v>303.73254600000001</c:v>
                </c:pt>
                <c:pt idx="1">
                  <c:v>354.77531399999998</c:v>
                </c:pt>
                <c:pt idx="2">
                  <c:v>353.64477900000003</c:v>
                </c:pt>
                <c:pt idx="3">
                  <c:v>366.75581599999998</c:v>
                </c:pt>
                <c:pt idx="4">
                  <c:v>358.03474799999998</c:v>
                </c:pt>
                <c:pt idx="5">
                  <c:v>368.00021299999997</c:v>
                </c:pt>
                <c:pt idx="6">
                  <c:v>328.63035200000002</c:v>
                </c:pt>
                <c:pt idx="7">
                  <c:v>479.30825258333323</c:v>
                </c:pt>
                <c:pt idx="8">
                  <c:v>479.30825258333323</c:v>
                </c:pt>
                <c:pt idx="9">
                  <c:v>479.30825258333323</c:v>
                </c:pt>
                <c:pt idx="10">
                  <c:v>486.08963758333323</c:v>
                </c:pt>
                <c:pt idx="11">
                  <c:v>486.08963758333323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9-46B8-AD1C-C19D6187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3264928"/>
        <c:axId val="2063806736"/>
      </c:barChart>
      <c:catAx>
        <c:axId val="206326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6736"/>
        <c:crosses val="autoZero"/>
        <c:auto val="1"/>
        <c:lblAlgn val="ctr"/>
        <c:lblOffset val="100"/>
        <c:noMultiLvlLbl val="0"/>
      </c:catAx>
      <c:valAx>
        <c:axId val="20638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26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Déficit vs Caja Mínima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Gráficos'!$X$103</c:f>
              <c:strCache>
                <c:ptCount val="1"/>
                <c:pt idx="0">
                  <c:v>Déficit vs Caja Mínima (COP 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Gráficos'!$Y$102:$AJ$102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Gráficos'!$Y$103:$AJ$103</c:f>
              <c:numCache>
                <c:formatCode>#,##0.0;\(#,##0.0\);"–"</c:formatCode>
                <c:ptCount val="12"/>
                <c:pt idx="0" formatCode="#,##0;\(#,##0\);&quot;–&quot;">
                  <c:v>0</c:v>
                </c:pt>
                <c:pt idx="1">
                  <c:v>74.229877999999999</c:v>
                </c:pt>
                <c:pt idx="2">
                  <c:v>36.400677000000002</c:v>
                </c:pt>
                <c:pt idx="3">
                  <c:v>0</c:v>
                </c:pt>
                <c:pt idx="4" formatCode="#,##0;\(#,##0\);&quot;–&quot;">
                  <c:v>0</c:v>
                </c:pt>
                <c:pt idx="5">
                  <c:v>116.01763800000001</c:v>
                </c:pt>
                <c:pt idx="6">
                  <c:v>57.192073999999998</c:v>
                </c:pt>
                <c:pt idx="7" formatCode="#,##0;\(#,##0\);&quot;–&quot;">
                  <c:v>1849.4543261575398</c:v>
                </c:pt>
                <c:pt idx="8" formatCode="#,##0;\(#,##0\);&quot;–&quot;">
                  <c:v>1535.9378777098336</c:v>
                </c:pt>
                <c:pt idx="9" formatCode="#,##0;\(#,##0\);&quot;–&quot;">
                  <c:v>1162.9808324913813</c:v>
                </c:pt>
                <c:pt idx="10">
                  <c:v>730.01020247931524</c:v>
                </c:pt>
                <c:pt idx="11">
                  <c:v>249.09984232448102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B-45E1-9058-13A94CC33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3196256"/>
        <c:axId val="2063842736"/>
      </c:barChart>
      <c:catAx>
        <c:axId val="2063196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42736"/>
        <c:crosses val="autoZero"/>
        <c:auto val="1"/>
        <c:lblAlgn val="ctr"/>
        <c:lblOffset val="100"/>
        <c:noMultiLvlLbl val="0"/>
      </c:catAx>
      <c:valAx>
        <c:axId val="206384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9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Activos vs Pasivos Corrientes Op.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Gráficos'!$X$107</c:f>
              <c:strCache>
                <c:ptCount val="1"/>
                <c:pt idx="0">
                  <c:v>Activos Corrientes Op. (COP 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Gráficos'!$Y$106:$AJ$106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Gráficos'!$Y$107:$AJ$107</c:f>
              <c:numCache>
                <c:formatCode>#,##0;\(#,##0\);"–"</c:formatCode>
                <c:ptCount val="12"/>
                <c:pt idx="0">
                  <c:v>5014.8351750000002</c:v>
                </c:pt>
                <c:pt idx="1">
                  <c:v>5250.0737929999996</c:v>
                </c:pt>
                <c:pt idx="2">
                  <c:v>5182.1901049999997</c:v>
                </c:pt>
                <c:pt idx="3">
                  <c:v>5140.184816</c:v>
                </c:pt>
                <c:pt idx="4">
                  <c:v>5320.1716649999998</c:v>
                </c:pt>
                <c:pt idx="5">
                  <c:v>5374.856769</c:v>
                </c:pt>
                <c:pt idx="6">
                  <c:v>5296.4249920000002</c:v>
                </c:pt>
                <c:pt idx="7">
                  <c:v>7933.7481120000002</c:v>
                </c:pt>
                <c:pt idx="8">
                  <c:v>8189.711112</c:v>
                </c:pt>
                <c:pt idx="9">
                  <c:v>8445.6741120000006</c:v>
                </c:pt>
                <c:pt idx="10">
                  <c:v>8701.6371120000003</c:v>
                </c:pt>
                <c:pt idx="11">
                  <c:v>8957.6001120000001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C-4348-B2EC-D96BEC53DDE9}"/>
            </c:ext>
          </c:extLst>
        </c:ser>
        <c:ser>
          <c:idx val="1"/>
          <c:order val="1"/>
          <c:tx>
            <c:strRef>
              <c:f>'Dashboard Gráficos'!$X$108</c:f>
              <c:strCache>
                <c:ptCount val="1"/>
                <c:pt idx="0">
                  <c:v>Pasivos Corrientes Op. (COP MM)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'Dashboard Gráficos'!$Y$106:$AJ$106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Gráficos'!$Y$108:$AJ$108</c:f>
              <c:numCache>
                <c:formatCode>#,##0;\(#,##0\);"–"</c:formatCode>
                <c:ptCount val="12"/>
                <c:pt idx="0">
                  <c:v>516.47832100000005</c:v>
                </c:pt>
                <c:pt idx="1">
                  <c:v>495.57399700000002</c:v>
                </c:pt>
                <c:pt idx="2">
                  <c:v>596.60814900000003</c:v>
                </c:pt>
                <c:pt idx="3">
                  <c:v>588.33840799999996</c:v>
                </c:pt>
                <c:pt idx="4" formatCode="#,##0.0;\(#,##0.0\);&quot;–&quot;">
                  <c:v>524.82446600000003</c:v>
                </c:pt>
                <c:pt idx="5" formatCode="#,##0.0;\(#,##0.0\);&quot;–&quot;">
                  <c:v>506.71640100000002</c:v>
                </c:pt>
                <c:pt idx="6" formatCode="#,##0.0;\(#,##0.0\);&quot;–&quot;">
                  <c:v>422.989778</c:v>
                </c:pt>
                <c:pt idx="7" formatCode="#,##0.0;\(#,##0.0\);&quot;–&quot;">
                  <c:v>870.35851953761085</c:v>
                </c:pt>
                <c:pt idx="8" formatCode="#,##0.0;\(#,##0.0\);&quot;–&quot;">
                  <c:v>902.33327990972248</c:v>
                </c:pt>
                <c:pt idx="9" formatCode="#,##0.0;\(#,##0.0\);&quot;–&quot;">
                  <c:v>934.30838385896561</c:v>
                </c:pt>
                <c:pt idx="10" formatCode="#,##0.0;\(#,##0.0\);&quot;–&quot;">
                  <c:v>977.78401085905455</c:v>
                </c:pt>
                <c:pt idx="11">
                  <c:v>1009.7597848791422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C-4348-B2EC-D96BEC53D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54960"/>
        <c:axId val="2063863376"/>
      </c:lineChart>
      <c:catAx>
        <c:axId val="206315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63376"/>
        <c:crosses val="autoZero"/>
        <c:auto val="1"/>
        <c:lblAlgn val="ctr"/>
        <c:lblOffset val="100"/>
        <c:noMultiLvlLbl val="0"/>
      </c:catAx>
      <c:valAx>
        <c:axId val="20638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Deuda / EBITDA Anual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Gráficos'!$X$112</c:f>
              <c:strCache>
                <c:ptCount val="1"/>
                <c:pt idx="0">
                  <c:v>Deuda / EBITDA Anual (x)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'Dashboard Gráficos'!$Y$111:$AJ$111</c:f>
              <c:strCache>
                <c:ptCount val="12"/>
                <c:pt idx="0">
                  <c:v>ene-26</c:v>
                </c:pt>
                <c:pt idx="1">
                  <c:v>feb-26</c:v>
                </c:pt>
                <c:pt idx="2">
                  <c:v>mar-26</c:v>
                </c:pt>
                <c:pt idx="3">
                  <c:v>abr-26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ago-26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dic-26</c:v>
                </c:pt>
              </c:strCache>
            </c:strRef>
          </c:cat>
          <c:val>
            <c:numRef>
              <c:f>'Dashboard Gráficos'!$Y$112:$AJ$112</c:f>
              <c:numCache>
                <c:formatCode>#,##0.0;\(#,##0.0\);"–"</c:formatCode>
                <c:ptCount val="12"/>
                <c:pt idx="0">
                  <c:v>1.4958930482153505E-2</c:v>
                </c:pt>
                <c:pt idx="1">
                  <c:v>2.083321469499242E-2</c:v>
                </c:pt>
                <c:pt idx="2">
                  <c:v>2.1413802618660358E-2</c:v>
                </c:pt>
                <c:pt idx="3">
                  <c:v>2.3134776766935716E-2</c:v>
                </c:pt>
                <c:pt idx="4">
                  <c:v>0.56360279141693692</c:v>
                </c:pt>
                <c:pt idx="5">
                  <c:v>0.56007420547676756</c:v>
                </c:pt>
                <c:pt idx="6">
                  <c:v>0.56007420547676756</c:v>
                </c:pt>
                <c:pt idx="7">
                  <c:v>0.56007420547676756</c:v>
                </c:pt>
                <c:pt idx="8">
                  <c:v>0.56007420547676756</c:v>
                </c:pt>
                <c:pt idx="9">
                  <c:v>0.56007420547676756</c:v>
                </c:pt>
                <c:pt idx="10">
                  <c:v>0.56007420547676756</c:v>
                </c:pt>
                <c:pt idx="11">
                  <c:v>0.56007420547676756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C-4934-85C0-C642E2D1B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083792"/>
        <c:axId val="2063624816"/>
      </c:lineChart>
      <c:catAx>
        <c:axId val="196808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624816"/>
        <c:crosses val="autoZero"/>
        <c:auto val="1"/>
        <c:lblAlgn val="ctr"/>
        <c:lblOffset val="100"/>
        <c:noMultiLvlLbl val="0"/>
      </c:catAx>
      <c:valAx>
        <c:axId val="206362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Veces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8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reales vs presupuesto combinado — 2026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'Ppto Combinado 2026'!$B$53</c:f>
              <c:strCache>
                <c:ptCount val="1"/>
                <c:pt idx="0">
                  <c:v>Presupuesto Ingresos Colombia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'Ppto Combinado 2026'!$C$52:$N$52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'Ppto Combinado 2026'!$C$53:$N$53</c:f>
              <c:numCache>
                <c:formatCode>#,##0;\(#,##0\);"–"</c:formatCode>
                <c:ptCount val="12"/>
                <c:pt idx="0">
                  <c:v>186232</c:v>
                </c:pt>
                <c:pt idx="1">
                  <c:v>354321</c:v>
                </c:pt>
                <c:pt idx="2">
                  <c:v>396239</c:v>
                </c:pt>
                <c:pt idx="3">
                  <c:v>359191</c:v>
                </c:pt>
                <c:pt idx="4">
                  <c:v>360135.50135501358</c:v>
                </c:pt>
                <c:pt idx="5">
                  <c:v>259076.31087882307</c:v>
                </c:pt>
                <c:pt idx="6">
                  <c:v>283850.12040263263</c:v>
                </c:pt>
                <c:pt idx="7">
                  <c:v>426456.92992644216</c:v>
                </c:pt>
                <c:pt idx="8">
                  <c:v>451230.73945025163</c:v>
                </c:pt>
                <c:pt idx="9">
                  <c:v>476004.54897406121</c:v>
                </c:pt>
                <c:pt idx="10">
                  <c:v>500778.35849787074</c:v>
                </c:pt>
                <c:pt idx="11">
                  <c:v>525552.16802168021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2-47FF-9467-9852A7966D2C}"/>
            </c:ext>
          </c:extLst>
        </c:ser>
        <c:ser>
          <c:idx val="1"/>
          <c:order val="1"/>
          <c:tx>
            <c:strRef>
              <c:f>'Ppto Combinado 2026'!$B$54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'Ppto Combinado 2026'!$C$52:$N$52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'Ppto Combinado 2026'!$C$54:$N$54</c:f>
              <c:numCache>
                <c:formatCode>#,##0;\(#,##0\);"–"</c:formatCode>
                <c:ptCount val="12"/>
                <c:pt idx="0">
                  <c:v>165920.7861788618</c:v>
                </c:pt>
                <c:pt idx="1">
                  <c:v>201685.13197831978</c:v>
                </c:pt>
                <c:pt idx="2">
                  <c:v>213290.2945799458</c:v>
                </c:pt>
                <c:pt idx="3">
                  <c:v>203487.17127371274</c:v>
                </c:pt>
                <c:pt idx="4">
                  <c:v>223987.73604336043</c:v>
                </c:pt>
                <c:pt idx="5">
                  <c:v>203645.88455284553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A2-47FF-9467-9852A7966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4470544"/>
        <c:axId val="1374455664"/>
      </c:barChart>
      <c:catAx>
        <c:axId val="137447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55664"/>
        <c:crosses val="autoZero"/>
        <c:auto val="1"/>
        <c:lblAlgn val="ctr"/>
        <c:lblOffset val="100"/>
        <c:noMultiLvlLbl val="0"/>
      </c:catAx>
      <c:valAx>
        <c:axId val="137445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(#,##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7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mensual de caja disponible — Real 2026 (COP 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'Ppto Combinado 2026'!$J$58</c:f>
              <c:strCache>
                <c:ptCount val="1"/>
                <c:pt idx="0">
                  <c:v>Consumo / (reposición)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'Ppto Combinado 2026'!$K$57:$P$57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'Ppto Combinado 2026'!$K$58:$P$58</c:f>
              <c:numCache>
                <c:formatCode>#,##0.0;\(#,##0.0\);"–"</c:formatCode>
                <c:ptCount val="6"/>
                <c:pt idx="0">
                  <c:v>-194.135626</c:v>
                </c:pt>
                <c:pt idx="1">
                  <c:v>305.29308700000001</c:v>
                </c:pt>
                <c:pt idx="2">
                  <c:v>-149.18717200000003</c:v>
                </c:pt>
                <c:pt idx="3">
                  <c:v>-88.268449999999973</c:v>
                </c:pt>
                <c:pt idx="4">
                  <c:v>112.93481599999998</c:v>
                </c:pt>
                <c:pt idx="5">
                  <c:v>129.38098300000001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8-4267-91C8-D06DFDD7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3857920"/>
        <c:axId val="1743858400"/>
      </c:barChart>
      <c:catAx>
        <c:axId val="174385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858400"/>
        <c:crosses val="autoZero"/>
        <c:auto val="1"/>
        <c:lblAlgn val="ctr"/>
        <c:lblOffset val="100"/>
        <c:noMultiLvlLbl val="0"/>
      </c:catAx>
      <c:valAx>
        <c:axId val="17438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COP millones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;\(#,##0.0\);&quot;–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8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PUENTE A UTILIDAD NETA — JUNIO 2026 (USD MILES)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46D978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600" b="1">
              <a:solidFill>
                <a:srgbClr val="46D978"/>
              </a:solidFill>
            </a:rPr>
            <a:t>PUENTE A UTILIDAD NETA — JUNIO 2026 (USD MILES)</a:t>
          </a:r>
        </a:p>
      </cx:txPr>
    </cx:title>
    <cx:plotArea>
      <cx:plotAreaRegion>
        <cx:plotSurface>
          <cx:spPr>
            <a:solidFill>
              <a:srgbClr val="142535"/>
            </a:solidFill>
            <a:ln>
              <a:noFill/>
            </a:ln>
          </cx:spPr>
        </cx:plotSurface>
        <cx:series layoutId="waterfall" uniqueId="{00000001-9132-4208-B7B1-11604526A5D1}">
          <cx:tx>
            <cx:txData>
              <cx:f>_xlchart.v1.1</cx:f>
              <cx:v>Movimiento (USD miles)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1" i="0">
                    <a:solidFill>
                      <a:srgbClr val="FFFFFF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 sz="1000" b="1">
                  <a:solidFill>
                    <a:srgbClr val="FFFFFF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spPr>
    <a:solidFill>
      <a:srgbClr val="142535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32</xdr:col>
      <xdr:colOff>143281</xdr:colOff>
      <xdr:row>25</xdr:row>
      <xdr:rowOff>133755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1196787</xdr:colOff>
      <xdr:row>38</xdr:row>
      <xdr:rowOff>116541</xdr:rowOff>
    </xdr:from>
    <xdr:to>
      <xdr:col>17</xdr:col>
      <xdr:colOff>3966881</xdr:colOff>
      <xdr:row>53</xdr:row>
      <xdr:rowOff>170329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B944C-3523-B530-0BFF-39A1905A8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299084</xdr:colOff>
      <xdr:row>194</xdr:row>
      <xdr:rowOff>47623</xdr:rowOff>
    </xdr:from>
    <xdr:to>
      <xdr:col>35</xdr:col>
      <xdr:colOff>46037</xdr:colOff>
      <xdr:row>236</xdr:row>
      <xdr:rowOff>106361</xdr:rowOff>
    </xdr:to>
    <xdr:graphicFrame macro="">
      <xdr:nvGraphicFramePr>
        <xdr:cNvPr id="5" name="COP_IS_Chart">
          <a:extLst>
            <a:ext uri="{FF2B5EF4-FFF2-40B4-BE49-F238E27FC236}">
              <a16:creationId xmlns:a16="http://schemas.microsoft.com/office/drawing/2014/main" id="{34508CEB-9883-2CDF-8846-C3CDB9499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</xdr:row>
      <xdr:rowOff>1</xdr:rowOff>
    </xdr:from>
    <xdr:to>
      <xdr:col>15</xdr:col>
      <xdr:colOff>1341120</xdr:colOff>
      <xdr:row>162</xdr:row>
      <xdr:rowOff>30481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Puente_Utilidad_Neta">
              <a:extLst>
                <a:ext uri="{FF2B5EF4-FFF2-40B4-BE49-F238E27FC236}">
                  <a16:creationId xmlns:a16="http://schemas.microsoft.com/office/drawing/2014/main" id="{8756E111-CF57-1D48-30DC-DFAFBC253F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1540" y="29497021"/>
              <a:ext cx="15483840" cy="400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0</xdr:colOff>
      <xdr:row>27</xdr:row>
      <xdr:rowOff>0</xdr:rowOff>
    </xdr:to>
    <xdr:graphicFrame macro="">
      <xdr:nvGraphicFramePr>
        <xdr:cNvPr id="2" name="Ingresos_Mensuales_2026">
          <a:extLst>
            <a:ext uri="{FF2B5EF4-FFF2-40B4-BE49-F238E27FC236}">
              <a16:creationId xmlns:a16="http://schemas.microsoft.com/office/drawing/2014/main" id="{CBD136C9-E3EE-FB2B-20BA-CA2E851E0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3" name="Rentabilidad_Mensual_2026">
          <a:extLst>
            <a:ext uri="{FF2B5EF4-FFF2-40B4-BE49-F238E27FC236}">
              <a16:creationId xmlns:a16="http://schemas.microsoft.com/office/drawing/2014/main" id="{98AFD56E-CFD6-194F-5A25-C71EF7628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0</xdr:colOff>
      <xdr:row>46</xdr:row>
      <xdr:rowOff>0</xdr:rowOff>
    </xdr:to>
    <xdr:graphicFrame macro="">
      <xdr:nvGraphicFramePr>
        <xdr:cNvPr id="4" name="Margenes_Clave_2026">
          <a:extLst>
            <a:ext uri="{FF2B5EF4-FFF2-40B4-BE49-F238E27FC236}">
              <a16:creationId xmlns:a16="http://schemas.microsoft.com/office/drawing/2014/main" id="{4668F104-BB3C-6734-7DB5-A22804D5F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18</xdr:col>
      <xdr:colOff>0</xdr:colOff>
      <xdr:row>46</xdr:row>
      <xdr:rowOff>0</xdr:rowOff>
    </xdr:to>
    <xdr:graphicFrame macro="">
      <xdr:nvGraphicFramePr>
        <xdr:cNvPr id="5" name="Liquidez_2026">
          <a:extLst>
            <a:ext uri="{FF2B5EF4-FFF2-40B4-BE49-F238E27FC236}">
              <a16:creationId xmlns:a16="http://schemas.microsoft.com/office/drawing/2014/main" id="{36FC9614-8559-E71E-7FD0-DB7A29583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9</xdr:col>
      <xdr:colOff>0</xdr:colOff>
      <xdr:row>86</xdr:row>
      <xdr:rowOff>0</xdr:rowOff>
    </xdr:to>
    <xdr:graphicFrame macro="">
      <xdr:nvGraphicFramePr>
        <xdr:cNvPr id="6" name="Escenarios_Ingresos_2026">
          <a:extLst>
            <a:ext uri="{FF2B5EF4-FFF2-40B4-BE49-F238E27FC236}">
              <a16:creationId xmlns:a16="http://schemas.microsoft.com/office/drawing/2014/main" id="{35C2AD5B-79FD-9A82-F809-F0AD50544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68</xdr:row>
      <xdr:rowOff>0</xdr:rowOff>
    </xdr:from>
    <xdr:to>
      <xdr:col>18</xdr:col>
      <xdr:colOff>0</xdr:colOff>
      <xdr:row>86</xdr:row>
      <xdr:rowOff>0</xdr:rowOff>
    </xdr:to>
    <xdr:graphicFrame macro="">
      <xdr:nvGraphicFramePr>
        <xdr:cNvPr id="7" name="DSO_DPO_2026">
          <a:extLst>
            <a:ext uri="{FF2B5EF4-FFF2-40B4-BE49-F238E27FC236}">
              <a16:creationId xmlns:a16="http://schemas.microsoft.com/office/drawing/2014/main" id="{764E94FB-B422-E77F-8188-A9C96BC38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108</xdr:row>
      <xdr:rowOff>0</xdr:rowOff>
    </xdr:from>
    <xdr:to>
      <xdr:col>18</xdr:col>
      <xdr:colOff>0</xdr:colOff>
      <xdr:row>126</xdr:row>
      <xdr:rowOff>0</xdr:rowOff>
    </xdr:to>
    <xdr:graphicFrame macro="">
      <xdr:nvGraphicFramePr>
        <xdr:cNvPr id="8" name="Composicion_Deuda_2026">
          <a:extLst>
            <a:ext uri="{FF2B5EF4-FFF2-40B4-BE49-F238E27FC236}">
              <a16:creationId xmlns:a16="http://schemas.microsoft.com/office/drawing/2014/main" id="{AFDAFEB6-1805-3E84-1F0E-FC5F1B51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126</xdr:row>
      <xdr:rowOff>228599</xdr:rowOff>
    </xdr:from>
    <xdr:to>
      <xdr:col>18</xdr:col>
      <xdr:colOff>0</xdr:colOff>
      <xdr:row>144</xdr:row>
      <xdr:rowOff>228599</xdr:rowOff>
    </xdr:to>
    <xdr:graphicFrame macro="">
      <xdr:nvGraphicFramePr>
        <xdr:cNvPr id="9" name="CxC_CxP_2026">
          <a:extLst>
            <a:ext uri="{FF2B5EF4-FFF2-40B4-BE49-F238E27FC236}">
              <a16:creationId xmlns:a16="http://schemas.microsoft.com/office/drawing/2014/main" id="{B4047D54-A76D-AE8D-828D-A50207504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9</xdr:col>
      <xdr:colOff>0</xdr:colOff>
      <xdr:row>67</xdr:row>
      <xdr:rowOff>0</xdr:rowOff>
    </xdr:to>
    <xdr:graphicFrame macro="">
      <xdr:nvGraphicFramePr>
        <xdr:cNvPr id="10" name="Caja_Operativa_2026">
          <a:extLst>
            <a:ext uri="{FF2B5EF4-FFF2-40B4-BE49-F238E27FC236}">
              <a16:creationId xmlns:a16="http://schemas.microsoft.com/office/drawing/2014/main" id="{EDCB36AE-4583-0893-C1EB-B2019C061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18</xdr:col>
      <xdr:colOff>0</xdr:colOff>
      <xdr:row>67</xdr:row>
      <xdr:rowOff>0</xdr:rowOff>
    </xdr:to>
    <xdr:graphicFrame macro="">
      <xdr:nvGraphicFramePr>
        <xdr:cNvPr id="11" name="Inversion_Financiacion_2026">
          <a:extLst>
            <a:ext uri="{FF2B5EF4-FFF2-40B4-BE49-F238E27FC236}">
              <a16:creationId xmlns:a16="http://schemas.microsoft.com/office/drawing/2014/main" id="{85047648-4932-8C86-56C7-DE361502C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87</xdr:row>
      <xdr:rowOff>0</xdr:rowOff>
    </xdr:from>
    <xdr:to>
      <xdr:col>9</xdr:col>
      <xdr:colOff>0</xdr:colOff>
      <xdr:row>105</xdr:row>
      <xdr:rowOff>0</xdr:rowOff>
    </xdr:to>
    <xdr:graphicFrame macro="">
      <xdr:nvGraphicFramePr>
        <xdr:cNvPr id="12" name="CCC_2026">
          <a:extLst>
            <a:ext uri="{FF2B5EF4-FFF2-40B4-BE49-F238E27FC236}">
              <a16:creationId xmlns:a16="http://schemas.microsoft.com/office/drawing/2014/main" id="{B3A95E69-3D47-4E5D-170F-51BC3D1618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108</xdr:row>
      <xdr:rowOff>0</xdr:rowOff>
    </xdr:from>
    <xdr:to>
      <xdr:col>9</xdr:col>
      <xdr:colOff>0</xdr:colOff>
      <xdr:row>126</xdr:row>
      <xdr:rowOff>0</xdr:rowOff>
    </xdr:to>
    <xdr:graphicFrame macro="">
      <xdr:nvGraphicFramePr>
        <xdr:cNvPr id="13" name="Deuda_Total_2026">
          <a:extLst>
            <a:ext uri="{FF2B5EF4-FFF2-40B4-BE49-F238E27FC236}">
              <a16:creationId xmlns:a16="http://schemas.microsoft.com/office/drawing/2014/main" id="{56658FE6-287E-C83E-86D3-756F9A14B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126</xdr:row>
      <xdr:rowOff>228599</xdr:rowOff>
    </xdr:from>
    <xdr:to>
      <xdr:col>9</xdr:col>
      <xdr:colOff>0</xdr:colOff>
      <xdr:row>144</xdr:row>
      <xdr:rowOff>228599</xdr:rowOff>
    </xdr:to>
    <xdr:graphicFrame macro="">
      <xdr:nvGraphicFramePr>
        <xdr:cNvPr id="14" name="Impuestos_Pagar_2026">
          <a:extLst>
            <a:ext uri="{FF2B5EF4-FFF2-40B4-BE49-F238E27FC236}">
              <a16:creationId xmlns:a16="http://schemas.microsoft.com/office/drawing/2014/main" id="{C1BC8D4A-B622-038D-E1C5-AA1EF0DDC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146</xdr:row>
      <xdr:rowOff>1</xdr:rowOff>
    </xdr:from>
    <xdr:to>
      <xdr:col>9</xdr:col>
      <xdr:colOff>0</xdr:colOff>
      <xdr:row>164</xdr:row>
      <xdr:rowOff>1</xdr:rowOff>
    </xdr:to>
    <xdr:graphicFrame macro="">
      <xdr:nvGraphicFramePr>
        <xdr:cNvPr id="15" name="Capital_Trabajo_Neto_2026">
          <a:extLst>
            <a:ext uri="{FF2B5EF4-FFF2-40B4-BE49-F238E27FC236}">
              <a16:creationId xmlns:a16="http://schemas.microsoft.com/office/drawing/2014/main" id="{B2635E3C-A7B1-5439-49ED-4F36E3B18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0</xdr:colOff>
      <xdr:row>146</xdr:row>
      <xdr:rowOff>1</xdr:rowOff>
    </xdr:from>
    <xdr:to>
      <xdr:col>18</xdr:col>
      <xdr:colOff>0</xdr:colOff>
      <xdr:row>164</xdr:row>
      <xdr:rowOff>1</xdr:rowOff>
    </xdr:to>
    <xdr:graphicFrame macro="">
      <xdr:nvGraphicFramePr>
        <xdr:cNvPr id="16" name="Intereses_2026">
          <a:extLst>
            <a:ext uri="{FF2B5EF4-FFF2-40B4-BE49-F238E27FC236}">
              <a16:creationId xmlns:a16="http://schemas.microsoft.com/office/drawing/2014/main" id="{190D7C74-E25D-1ACA-AA38-3F3721B8C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166</xdr:row>
      <xdr:rowOff>228599</xdr:rowOff>
    </xdr:from>
    <xdr:to>
      <xdr:col>9</xdr:col>
      <xdr:colOff>0</xdr:colOff>
      <xdr:row>184</xdr:row>
      <xdr:rowOff>228599</xdr:rowOff>
    </xdr:to>
    <xdr:graphicFrame macro="">
      <xdr:nvGraphicFramePr>
        <xdr:cNvPr id="17" name="Margen_Bruto_2026">
          <a:extLst>
            <a:ext uri="{FF2B5EF4-FFF2-40B4-BE49-F238E27FC236}">
              <a16:creationId xmlns:a16="http://schemas.microsoft.com/office/drawing/2014/main" id="{E81BE816-AD26-DC94-B16D-9F99A7EAE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0</xdr:colOff>
      <xdr:row>166</xdr:row>
      <xdr:rowOff>228599</xdr:rowOff>
    </xdr:from>
    <xdr:to>
      <xdr:col>18</xdr:col>
      <xdr:colOff>0</xdr:colOff>
      <xdr:row>184</xdr:row>
      <xdr:rowOff>228599</xdr:rowOff>
    </xdr:to>
    <xdr:graphicFrame macro="">
      <xdr:nvGraphicFramePr>
        <xdr:cNvPr id="18" name="Costos_Opex_2026">
          <a:extLst>
            <a:ext uri="{FF2B5EF4-FFF2-40B4-BE49-F238E27FC236}">
              <a16:creationId xmlns:a16="http://schemas.microsoft.com/office/drawing/2014/main" id="{85681A01-42D1-D8F8-BDB4-713329933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185</xdr:row>
      <xdr:rowOff>228599</xdr:rowOff>
    </xdr:from>
    <xdr:to>
      <xdr:col>9</xdr:col>
      <xdr:colOff>0</xdr:colOff>
      <xdr:row>203</xdr:row>
      <xdr:rowOff>228599</xdr:rowOff>
    </xdr:to>
    <xdr:graphicFrame macro="">
      <xdr:nvGraphicFramePr>
        <xdr:cNvPr id="19" name="Deficit_Caja_2026">
          <a:extLst>
            <a:ext uri="{FF2B5EF4-FFF2-40B4-BE49-F238E27FC236}">
              <a16:creationId xmlns:a16="http://schemas.microsoft.com/office/drawing/2014/main" id="{02B9D474-7D9A-519C-C9DC-480FAD054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0</xdr:colOff>
      <xdr:row>185</xdr:row>
      <xdr:rowOff>228599</xdr:rowOff>
    </xdr:from>
    <xdr:to>
      <xdr:col>18</xdr:col>
      <xdr:colOff>0</xdr:colOff>
      <xdr:row>203</xdr:row>
      <xdr:rowOff>228599</xdr:rowOff>
    </xdr:to>
    <xdr:graphicFrame macro="">
      <xdr:nvGraphicFramePr>
        <xdr:cNvPr id="20" name="Activos_Pasivos_Corrientes_2026">
          <a:extLst>
            <a:ext uri="{FF2B5EF4-FFF2-40B4-BE49-F238E27FC236}">
              <a16:creationId xmlns:a16="http://schemas.microsoft.com/office/drawing/2014/main" id="{1DB352A9-9D8B-A1CF-B6B1-E3E03606A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204</xdr:row>
      <xdr:rowOff>228599</xdr:rowOff>
    </xdr:from>
    <xdr:to>
      <xdr:col>9</xdr:col>
      <xdr:colOff>0</xdr:colOff>
      <xdr:row>222</xdr:row>
      <xdr:rowOff>228599</xdr:rowOff>
    </xdr:to>
    <xdr:graphicFrame macro="">
      <xdr:nvGraphicFramePr>
        <xdr:cNvPr id="21" name="Apalancamiento_2026">
          <a:extLst>
            <a:ext uri="{FF2B5EF4-FFF2-40B4-BE49-F238E27FC236}">
              <a16:creationId xmlns:a16="http://schemas.microsoft.com/office/drawing/2014/main" id="{74AD7E70-796A-0258-D60E-4DF6A1A99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467591</xdr:colOff>
      <xdr:row>60</xdr:row>
      <xdr:rowOff>173182</xdr:rowOff>
    </xdr:from>
    <xdr:to>
      <xdr:col>13</xdr:col>
      <xdr:colOff>848591</xdr:colOff>
      <xdr:row>76</xdr:row>
      <xdr:rowOff>173182</xdr:rowOff>
    </xdr:to>
    <xdr:graphicFrame macro="">
      <xdr:nvGraphicFramePr>
        <xdr:cNvPr id="4" name="Real_vs_Ppto_Combinado">
          <a:extLst>
            <a:ext uri="{FF2B5EF4-FFF2-40B4-BE49-F238E27FC236}">
              <a16:creationId xmlns:a16="http://schemas.microsoft.com/office/drawing/2014/main" id="{75C5BA58-EB81-C0D1-ACA3-E303E21AE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15</xdr:col>
      <xdr:colOff>1082039</xdr:colOff>
      <xdr:row>99</xdr:row>
      <xdr:rowOff>0</xdr:rowOff>
    </xdr:to>
    <xdr:graphicFrame macro="">
      <xdr:nvGraphicFramePr>
        <xdr:cNvPr id="5" name="Consumo_Caja_Disponible">
          <a:extLst>
            <a:ext uri="{FF2B5EF4-FFF2-40B4-BE49-F238E27FC236}">
              <a16:creationId xmlns:a16="http://schemas.microsoft.com/office/drawing/2014/main" id="{B53C5660-AA4F-A76A-A710-6205BB0E2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9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9455ABD-C997-4E42-B706-27081D43F7CF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1df612ae-0fdb-445d-8924-888de93c934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ED82674-F764-4614-B6E1-9252A5AE83E9}">
  <we:reference id="WA200010215" version="1.0.0.0" store="Omex" storeType="OMEX"/>
  <we:alternateReferences>
    <we:reference id="WA200010215" version="1.0.0.0" store="WA200010215" storeType="OMEX"/>
  </we:alternateReferences>
  <we:properties>
    <we:property name="bps.codex_control.document_id" value="&quot;e1419f0d-e577-4492-9a44-b74c288599a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A188-70BD-4145-BCBF-CF4389B30303}">
  <sheetPr>
    <tabColor rgb="FF548235"/>
  </sheetPr>
  <dimension ref="A1:Z239"/>
  <sheetViews>
    <sheetView showGridLines="0" zoomScale="65" workbookViewId="0">
      <pane xSplit="2" topLeftCell="C1" activePane="topRight" state="frozen"/>
      <selection activeCell="A8" sqref="A8"/>
      <selection pane="topRight" activeCell="A33" sqref="A33"/>
    </sheetView>
    <sheetView topLeftCell="A20" zoomScale="77" workbookViewId="1"/>
  </sheetViews>
  <sheetFormatPr defaultRowHeight="14.4"/>
  <cols>
    <col min="2" max="2" width="63" customWidth="1"/>
    <col min="3" max="11" width="17" customWidth="1"/>
  </cols>
  <sheetData>
    <row r="1" spans="1:26">
      <c r="A1" s="729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</row>
    <row r="2" spans="1:26" ht="17.399999999999999">
      <c r="A2" s="729"/>
      <c r="B2" s="457" t="s">
        <v>1014</v>
      </c>
      <c r="C2" s="457"/>
      <c r="D2" s="457"/>
      <c r="E2" s="457"/>
      <c r="F2" s="457"/>
      <c r="G2" s="457"/>
      <c r="H2" s="457"/>
      <c r="I2" s="457"/>
      <c r="J2" s="457"/>
      <c r="K2" s="458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</row>
    <row r="3" spans="1:26">
      <c r="A3" s="729"/>
      <c r="B3" s="673"/>
      <c r="C3" s="673"/>
      <c r="D3" s="673"/>
      <c r="E3" s="673"/>
      <c r="F3" s="673"/>
      <c r="G3" s="673"/>
      <c r="H3" s="673"/>
      <c r="I3" s="673"/>
      <c r="J3" s="673"/>
      <c r="K3" s="674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729"/>
      <c r="W3" s="729"/>
      <c r="X3" s="729"/>
      <c r="Y3" s="729"/>
      <c r="Z3" s="729"/>
    </row>
    <row r="4" spans="1:26">
      <c r="A4" s="729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729"/>
      <c r="M4" s="729"/>
      <c r="N4" s="729"/>
      <c r="O4" s="729"/>
      <c r="P4" s="729"/>
      <c r="Q4" s="729"/>
      <c r="R4" s="729"/>
      <c r="S4" s="729"/>
      <c r="T4" s="729"/>
      <c r="U4" s="729"/>
      <c r="V4" s="729"/>
      <c r="W4" s="729"/>
      <c r="X4" s="729"/>
      <c r="Y4" s="729"/>
      <c r="Z4" s="729"/>
    </row>
    <row r="5" spans="1:26">
      <c r="A5" s="729"/>
      <c r="B5" s="674"/>
      <c r="C5" s="674"/>
      <c r="D5" s="674"/>
      <c r="E5" s="674"/>
      <c r="F5" s="674"/>
      <c r="G5" s="674"/>
      <c r="H5" s="674"/>
      <c r="I5" s="674"/>
      <c r="J5" s="674"/>
      <c r="K5" s="674"/>
      <c r="L5" s="729"/>
      <c r="M5" s="729"/>
      <c r="N5" s="729"/>
      <c r="O5" s="729"/>
      <c r="P5" s="729"/>
      <c r="Q5" s="729"/>
      <c r="R5" s="729"/>
      <c r="S5" s="729"/>
      <c r="T5" s="729"/>
      <c r="U5" s="729"/>
      <c r="V5" s="729"/>
      <c r="W5" s="729"/>
      <c r="X5" s="729"/>
      <c r="Y5" s="729"/>
      <c r="Z5" s="729"/>
    </row>
    <row r="6" spans="1:26" ht="15" thickBot="1">
      <c r="A6" s="729"/>
      <c r="B6" s="464" t="s">
        <v>1186</v>
      </c>
      <c r="C6" s="464"/>
      <c r="D6" s="464"/>
      <c r="E6" s="464"/>
      <c r="F6" s="464"/>
      <c r="G6" s="464"/>
      <c r="H6" s="464"/>
      <c r="I6" s="464"/>
      <c r="J6" s="464"/>
      <c r="K6" s="464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9"/>
      <c r="X6" s="729"/>
      <c r="Y6" s="729"/>
      <c r="Z6" s="729"/>
    </row>
    <row r="7" spans="1:26" ht="30" customHeight="1" thickTop="1">
      <c r="A7" s="729"/>
      <c r="B7" s="462" t="s">
        <v>676</v>
      </c>
      <c r="C7" s="460" t="s">
        <v>34</v>
      </c>
      <c r="D7" s="460" t="s">
        <v>736</v>
      </c>
      <c r="E7" s="460" t="s">
        <v>1019</v>
      </c>
      <c r="F7" s="461"/>
      <c r="G7" s="461"/>
      <c r="H7" s="461"/>
      <c r="I7" s="461"/>
      <c r="J7" s="461"/>
      <c r="K7" s="461"/>
      <c r="L7" s="729"/>
      <c r="M7" s="729"/>
      <c r="N7" s="729"/>
      <c r="O7" s="729"/>
      <c r="P7" s="729"/>
      <c r="Q7" s="729"/>
      <c r="R7" s="729"/>
      <c r="S7" s="729"/>
      <c r="T7" s="729"/>
      <c r="U7" s="729"/>
      <c r="V7" s="729"/>
      <c r="W7" s="729"/>
      <c r="X7" s="729"/>
      <c r="Y7" s="729"/>
      <c r="Z7" s="729"/>
    </row>
    <row r="8" spans="1:26">
      <c r="A8" s="729"/>
      <c r="B8" s="674" t="s">
        <v>1020</v>
      </c>
      <c r="C8" s="675">
        <f>(Inputs!$N$132+SUM('Consolidado '!C6:E7)*'Consolidado '!F4+SUM('Consolidado '!H6:J7)*'Consolidado '!K4+SUM('Consolidado '!M6:O7)*'Consolidado '!P4)/1000000</f>
        <v>5292.1426743523616</v>
      </c>
      <c r="D8" s="674" t="s">
        <v>673</v>
      </c>
      <c r="E8" s="674" t="s">
        <v>1187</v>
      </c>
      <c r="F8" s="674"/>
      <c r="G8" s="674"/>
      <c r="H8" s="674"/>
      <c r="I8" s="674"/>
      <c r="J8" s="674"/>
      <c r="K8" s="674"/>
      <c r="L8" s="729"/>
      <c r="M8" s="729"/>
      <c r="N8" s="729"/>
      <c r="O8" s="729"/>
      <c r="P8" s="729"/>
      <c r="Q8" s="729"/>
      <c r="R8" s="729"/>
      <c r="S8" s="729"/>
      <c r="T8" s="729"/>
      <c r="U8" s="729"/>
      <c r="V8" s="729"/>
      <c r="W8" s="729"/>
      <c r="X8" s="729"/>
      <c r="Y8" s="729"/>
      <c r="Z8" s="729"/>
    </row>
    <row r="9" spans="1:26">
      <c r="A9" s="729"/>
      <c r="B9" s="674" t="s">
        <v>1021</v>
      </c>
      <c r="C9" s="675">
        <f>(SUM('Informe Accionista'!C65:F65)*'Informe Accionista'!$M$3+SUM('Informe Accionista'!G58:I58)*'Informe Accionista'!$M$2)/1000000</f>
        <v>8516.2305314285713</v>
      </c>
      <c r="D9" s="674" t="s">
        <v>673</v>
      </c>
      <c r="E9" s="674" t="s">
        <v>1188</v>
      </c>
      <c r="F9" s="674"/>
      <c r="G9" s="674"/>
      <c r="H9" s="674"/>
      <c r="I9" s="674"/>
      <c r="J9" s="674"/>
      <c r="K9" s="674"/>
      <c r="L9" s="729"/>
      <c r="M9" s="729"/>
      <c r="N9" s="729"/>
      <c r="O9" s="729"/>
      <c r="P9" s="729"/>
      <c r="Q9" s="729"/>
      <c r="R9" s="729"/>
      <c r="S9" s="729"/>
      <c r="T9" s="729"/>
      <c r="U9" s="729"/>
      <c r="V9" s="729"/>
      <c r="W9" s="729"/>
      <c r="X9" s="729"/>
      <c r="Y9" s="729"/>
      <c r="Z9" s="729"/>
    </row>
    <row r="10" spans="1:26" ht="15" thickBot="1">
      <c r="A10" s="729"/>
      <c r="B10" s="674" t="s">
        <v>1024</v>
      </c>
      <c r="C10" s="676">
        <f>MAX(0,('Modelo Base'!$E$34-Inputs!$J$93)/1000000)</f>
        <v>57.192073999999998</v>
      </c>
      <c r="D10" s="674" t="s">
        <v>673</v>
      </c>
      <c r="E10" s="674" t="s">
        <v>1189</v>
      </c>
      <c r="F10" s="674"/>
      <c r="G10" s="674"/>
      <c r="H10" s="674"/>
      <c r="I10" s="674"/>
      <c r="J10" s="674"/>
      <c r="K10" s="674"/>
      <c r="L10" s="729"/>
      <c r="M10" s="729"/>
      <c r="N10" s="729"/>
      <c r="O10" s="729"/>
      <c r="P10" s="729"/>
      <c r="Q10" s="729"/>
      <c r="R10" s="729"/>
      <c r="S10" s="729"/>
      <c r="T10" s="729"/>
      <c r="U10" s="729"/>
      <c r="V10" s="729"/>
      <c r="W10" s="729"/>
      <c r="X10" s="729"/>
      <c r="Y10" s="729"/>
      <c r="Z10" s="729"/>
    </row>
    <row r="11" spans="1:26">
      <c r="A11" s="729"/>
      <c r="B11" s="674" t="s">
        <v>1025</v>
      </c>
      <c r="C11" s="677">
        <f>MAX(0,-SUM(C15:C17))</f>
        <v>341.56350646087583</v>
      </c>
      <c r="D11" s="674" t="s">
        <v>673</v>
      </c>
      <c r="E11" s="674" t="s">
        <v>1026</v>
      </c>
      <c r="F11" s="674"/>
      <c r="G11" s="674"/>
      <c r="H11" s="674"/>
      <c r="I11" s="674"/>
      <c r="J11" s="674"/>
      <c r="K11" s="674"/>
      <c r="L11" s="729"/>
      <c r="M11" s="729"/>
      <c r="N11" s="729"/>
      <c r="O11" s="729"/>
      <c r="P11" s="729"/>
      <c r="Q11" s="729"/>
      <c r="R11" s="729"/>
      <c r="S11" s="729"/>
      <c r="T11" s="729"/>
      <c r="U11" s="729"/>
      <c r="V11" s="729"/>
      <c r="W11" s="729"/>
      <c r="X11" s="729"/>
      <c r="Y11" s="729"/>
      <c r="Z11" s="729"/>
    </row>
    <row r="12" spans="1:26">
      <c r="A12" s="729"/>
      <c r="B12" s="678" t="s">
        <v>1027</v>
      </c>
      <c r="C12" s="677">
        <f>C10+C11</f>
        <v>398.75558046087582</v>
      </c>
      <c r="D12" s="678" t="s">
        <v>673</v>
      </c>
      <c r="E12" s="678" t="s">
        <v>1190</v>
      </c>
      <c r="F12" s="674"/>
      <c r="G12" s="674"/>
      <c r="H12" s="674"/>
      <c r="I12" s="674"/>
      <c r="J12" s="674"/>
      <c r="K12" s="674"/>
      <c r="L12" s="729"/>
      <c r="M12" s="729"/>
      <c r="N12" s="729"/>
      <c r="O12" s="729"/>
      <c r="P12" s="729"/>
      <c r="Q12" s="729"/>
      <c r="R12" s="729"/>
      <c r="S12" s="729"/>
      <c r="T12" s="729"/>
      <c r="U12" s="729"/>
      <c r="V12" s="729"/>
      <c r="W12" s="729"/>
      <c r="X12" s="729"/>
      <c r="Y12" s="729"/>
      <c r="Z12" s="729"/>
    </row>
    <row r="13" spans="1:26">
      <c r="A13" s="729"/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729"/>
      <c r="M13" s="729"/>
      <c r="N13" s="729"/>
      <c r="O13" s="729"/>
      <c r="P13" s="729"/>
      <c r="Q13" s="729"/>
      <c r="R13" s="729"/>
      <c r="S13" s="729"/>
      <c r="T13" s="729"/>
      <c r="U13" s="729"/>
      <c r="V13" s="729"/>
      <c r="W13" s="729"/>
      <c r="X13" s="729"/>
      <c r="Y13" s="729"/>
      <c r="Z13" s="729"/>
    </row>
    <row r="14" spans="1:26">
      <c r="A14" s="729"/>
      <c r="B14" s="679" t="s">
        <v>1028</v>
      </c>
      <c r="C14" s="680">
        <f>C8/C9</f>
        <v>0.62141843798404328</v>
      </c>
      <c r="D14" s="674"/>
      <c r="E14" s="674"/>
      <c r="F14" s="674"/>
      <c r="G14" s="674"/>
      <c r="H14" s="674"/>
      <c r="I14" s="674"/>
      <c r="J14" s="674"/>
      <c r="K14" s="674"/>
      <c r="L14" s="729"/>
      <c r="M14" s="729"/>
      <c r="N14" s="729"/>
      <c r="O14" s="729"/>
      <c r="P14" s="729"/>
      <c r="Q14" s="729"/>
      <c r="R14" s="729"/>
      <c r="S14" s="729"/>
      <c r="T14" s="729"/>
      <c r="U14" s="729"/>
      <c r="V14" s="729"/>
      <c r="W14" s="729"/>
      <c r="X14" s="729"/>
      <c r="Y14" s="729"/>
      <c r="Z14" s="729"/>
    </row>
    <row r="15" spans="1:26">
      <c r="A15" s="729"/>
      <c r="B15" s="674" t="s">
        <v>1029</v>
      </c>
      <c r="C15" s="681">
        <f>SUM(_xlfn.XLOOKUP("Utilidad",'Consolidado '!$B$6:$B$17,'Consolidado '!$C$6:$E$17))*'Consolidado '!$F$4/1000000</f>
        <v>-154.5661937418156</v>
      </c>
      <c r="D15" s="674" t="s">
        <v>673</v>
      </c>
      <c r="E15" s="674" t="s">
        <v>1030</v>
      </c>
      <c r="F15" s="674"/>
      <c r="G15" s="674"/>
      <c r="H15" s="674"/>
      <c r="I15" s="674"/>
      <c r="J15" s="674"/>
      <c r="K15" s="674"/>
      <c r="L15" s="729"/>
      <c r="M15" s="729"/>
      <c r="N15" s="729"/>
      <c r="O15" s="729"/>
      <c r="P15" s="729"/>
      <c r="Q15" s="729"/>
      <c r="R15" s="729"/>
      <c r="S15" s="729"/>
      <c r="T15" s="729"/>
      <c r="U15" s="729"/>
      <c r="V15" s="729"/>
      <c r="W15" s="729"/>
      <c r="X15" s="729"/>
      <c r="Y15" s="729"/>
      <c r="Z15" s="729"/>
    </row>
    <row r="16" spans="1:26">
      <c r="A16" s="729"/>
      <c r="B16" s="674" t="s">
        <v>1031</v>
      </c>
      <c r="C16" s="681">
        <f>SUM(_xlfn.XLOOKUP("Utilidad",'Consolidado '!$B$6:$B$17,'Consolidado '!$H$6:$J$17))*'Consolidado '!$K$4/1000000</f>
        <v>-105.7933368666026</v>
      </c>
      <c r="D16" s="674" t="s">
        <v>673</v>
      </c>
      <c r="E16" s="674" t="s">
        <v>1032</v>
      </c>
      <c r="F16" s="674"/>
      <c r="G16" s="674"/>
      <c r="H16" s="674"/>
      <c r="I16" s="674"/>
      <c r="J16" s="674"/>
      <c r="K16" s="674"/>
      <c r="L16" s="729"/>
      <c r="M16" s="729"/>
      <c r="N16" s="729"/>
      <c r="O16" s="729"/>
      <c r="P16" s="729"/>
      <c r="Q16" s="729"/>
      <c r="R16" s="729"/>
      <c r="S16" s="729"/>
      <c r="T16" s="729"/>
      <c r="U16" s="729"/>
      <c r="V16" s="729"/>
      <c r="W16" s="729"/>
      <c r="X16" s="729"/>
      <c r="Y16" s="729"/>
      <c r="Z16" s="729"/>
    </row>
    <row r="17" spans="1:26">
      <c r="A17" s="729"/>
      <c r="B17" s="674" t="s">
        <v>1033</v>
      </c>
      <c r="C17" s="681">
        <f>SUM(_xlfn.XLOOKUP("Utilidad",'Consolidado '!$B$6:$B$17,'Consolidado '!$M$6:$O$17))*'Consolidado '!$P$4/1000000</f>
        <v>-81.203975852457617</v>
      </c>
      <c r="D17" s="674" t="s">
        <v>673</v>
      </c>
      <c r="E17" s="674" t="s">
        <v>1034</v>
      </c>
      <c r="F17" s="674"/>
      <c r="G17" s="674"/>
      <c r="H17" s="674"/>
      <c r="I17" s="674"/>
      <c r="J17" s="674"/>
      <c r="K17" s="674"/>
      <c r="L17" s="729"/>
      <c r="M17" s="729"/>
      <c r="N17" s="729"/>
      <c r="O17" s="729"/>
      <c r="P17" s="729"/>
      <c r="Q17" s="729"/>
      <c r="R17" s="729"/>
      <c r="S17" s="729"/>
      <c r="T17" s="729"/>
      <c r="U17" s="729"/>
      <c r="V17" s="729"/>
      <c r="W17" s="729"/>
      <c r="X17" s="729"/>
      <c r="Y17" s="729"/>
      <c r="Z17" s="729"/>
    </row>
    <row r="18" spans="1:26">
      <c r="A18" s="729"/>
      <c r="B18" s="682" t="s">
        <v>1201</v>
      </c>
      <c r="C18" s="682"/>
      <c r="D18" s="682"/>
      <c r="E18" s="682"/>
      <c r="F18" s="682"/>
      <c r="G18" s="682"/>
      <c r="H18" s="682"/>
      <c r="I18" s="682"/>
      <c r="J18" s="682"/>
      <c r="K18" s="682"/>
      <c r="L18" s="729"/>
      <c r="M18" s="729"/>
      <c r="N18" s="729"/>
      <c r="O18" s="729"/>
      <c r="P18" s="729"/>
      <c r="Q18" s="729"/>
      <c r="R18" s="729"/>
      <c r="S18" s="729"/>
      <c r="T18" s="729"/>
      <c r="U18" s="729"/>
      <c r="V18" s="729"/>
      <c r="W18" s="729"/>
      <c r="X18" s="729"/>
      <c r="Y18" s="729"/>
      <c r="Z18" s="729"/>
    </row>
    <row r="19" spans="1:26">
      <c r="A19" s="729"/>
      <c r="B19" s="463" t="s">
        <v>1200</v>
      </c>
      <c r="C19" s="463"/>
      <c r="D19" s="463"/>
      <c r="E19" s="463"/>
      <c r="F19" s="463"/>
      <c r="G19" s="463"/>
      <c r="H19" s="463"/>
      <c r="I19" s="463"/>
      <c r="J19" s="463"/>
      <c r="K19" s="464"/>
      <c r="L19" s="729"/>
      <c r="M19" s="729"/>
      <c r="N19" s="729"/>
      <c r="O19" s="729"/>
      <c r="P19" s="729"/>
      <c r="Q19" s="729"/>
      <c r="R19" s="729"/>
      <c r="S19" s="729"/>
      <c r="T19" s="729"/>
      <c r="U19" s="729"/>
      <c r="V19" s="729"/>
      <c r="W19" s="729"/>
      <c r="X19" s="729"/>
      <c r="Y19" s="729"/>
      <c r="Z19" s="729"/>
    </row>
    <row r="20" spans="1:26">
      <c r="A20" s="729"/>
      <c r="B20" s="658" t="s">
        <v>371</v>
      </c>
      <c r="C20" s="658" t="s">
        <v>993</v>
      </c>
      <c r="D20" s="658" t="s">
        <v>994</v>
      </c>
      <c r="E20" s="658" t="s">
        <v>995</v>
      </c>
      <c r="F20" s="658" t="s">
        <v>996</v>
      </c>
      <c r="G20" s="658" t="s">
        <v>806</v>
      </c>
      <c r="H20" s="658" t="s">
        <v>807</v>
      </c>
      <c r="I20" s="658" t="s">
        <v>997</v>
      </c>
      <c r="J20" s="659" t="s">
        <v>808</v>
      </c>
      <c r="K20" s="660"/>
      <c r="L20" s="729"/>
      <c r="M20" s="729"/>
      <c r="N20" s="729"/>
      <c r="O20" s="729"/>
      <c r="P20" s="729"/>
      <c r="Q20" s="729"/>
      <c r="R20" s="729"/>
      <c r="S20" s="729"/>
      <c r="T20" s="729"/>
      <c r="U20" s="729"/>
      <c r="V20" s="729"/>
      <c r="W20" s="729"/>
      <c r="X20" s="729"/>
      <c r="Y20" s="729"/>
      <c r="Z20" s="729"/>
    </row>
    <row r="21" spans="1:26">
      <c r="A21" s="729"/>
      <c r="B21" s="683" t="s">
        <v>209</v>
      </c>
      <c r="C21" s="684">
        <f>'Modelo Base'!F168/1000000</f>
        <v>254.495081</v>
      </c>
      <c r="D21" s="684">
        <f>'Modelo Base'!F171/1000000</f>
        <v>-7.8805490000000002</v>
      </c>
      <c r="E21" s="685"/>
      <c r="F21" s="686">
        <f t="shared" ref="F21:F26" si="0">SUM(C21:E21)</f>
        <v>246.614532</v>
      </c>
      <c r="G21" s="686">
        <f t="shared" ref="G21:G26" si="1">MAX(0,-F21)</f>
        <v>0</v>
      </c>
      <c r="H21" s="684">
        <f>MAX(0,-(('Informe Accionista'!C129/1000000)+D21))</f>
        <v>0</v>
      </c>
      <c r="I21" s="684">
        <f>'Modelo Base'!F179/1000000</f>
        <v>229.383174</v>
      </c>
      <c r="J21" s="687" t="s">
        <v>910</v>
      </c>
      <c r="K21" s="688"/>
      <c r="L21" s="729"/>
      <c r="M21" s="729"/>
      <c r="N21" s="729"/>
      <c r="O21" s="729"/>
      <c r="P21" s="729"/>
      <c r="Q21" s="729"/>
      <c r="R21" s="729"/>
      <c r="S21" s="729"/>
      <c r="T21" s="729"/>
      <c r="U21" s="729"/>
      <c r="V21" s="729"/>
      <c r="W21" s="729"/>
      <c r="X21" s="729"/>
      <c r="Y21" s="729"/>
      <c r="Z21" s="729"/>
    </row>
    <row r="22" spans="1:26">
      <c r="A22" s="729"/>
      <c r="B22" s="689" t="s">
        <v>324</v>
      </c>
      <c r="C22" s="684">
        <f>'Modelo Base'!G168/1000000</f>
        <v>-267.33078899999998</v>
      </c>
      <c r="D22" s="684">
        <f>'Modelo Base'!G171/1000000</f>
        <v>-6.729228</v>
      </c>
      <c r="E22" s="685"/>
      <c r="F22" s="686">
        <f t="shared" si="0"/>
        <v>-274.06001699999996</v>
      </c>
      <c r="G22" s="686">
        <f t="shared" si="1"/>
        <v>274.06001699999996</v>
      </c>
      <c r="H22" s="684">
        <f>MAX(0,-(('Informe Accionista'!D129/1000000)+D22))</f>
        <v>0</v>
      </c>
      <c r="I22" s="684">
        <f>'Modelo Base'!G179/1000000</f>
        <v>-268.36550399999999</v>
      </c>
      <c r="J22" s="687" t="s">
        <v>817</v>
      </c>
      <c r="K22" s="688"/>
      <c r="L22" s="729"/>
      <c r="M22" s="729"/>
      <c r="N22" s="729"/>
      <c r="O22" s="729"/>
      <c r="P22" s="729"/>
      <c r="Q22" s="729"/>
      <c r="R22" s="729"/>
      <c r="S22" s="729"/>
      <c r="T22" s="729"/>
      <c r="U22" s="729"/>
      <c r="V22" s="729"/>
      <c r="W22" s="729"/>
      <c r="X22" s="729"/>
      <c r="Y22" s="729"/>
      <c r="Z22" s="729"/>
    </row>
    <row r="23" spans="1:26">
      <c r="A23" s="729"/>
      <c r="B23" s="689" t="s">
        <v>325</v>
      </c>
      <c r="C23" s="684">
        <f>'Modelo Base'!H168/1000000</f>
        <v>51.916595999999998</v>
      </c>
      <c r="D23" s="684">
        <f>'Modelo Base'!H171/1000000</f>
        <v>-0.98551800000000001</v>
      </c>
      <c r="E23" s="685"/>
      <c r="F23" s="686">
        <f t="shared" si="0"/>
        <v>50.931077999999999</v>
      </c>
      <c r="G23" s="686">
        <f t="shared" si="1"/>
        <v>0</v>
      </c>
      <c r="H23" s="684">
        <f>MAX(0,-(('Informe Accionista'!E129/1000000)+D23))</f>
        <v>23.228310999999998</v>
      </c>
      <c r="I23" s="684">
        <f>'Modelo Base'!H179/1000000</f>
        <v>74.756783999999996</v>
      </c>
      <c r="J23" s="687" t="s">
        <v>818</v>
      </c>
      <c r="K23" s="688"/>
      <c r="L23" s="729"/>
      <c r="M23" s="729"/>
      <c r="N23" s="729"/>
      <c r="O23" s="729"/>
      <c r="P23" s="729"/>
      <c r="Q23" s="729"/>
      <c r="R23" s="729"/>
      <c r="S23" s="729"/>
      <c r="T23" s="729"/>
      <c r="U23" s="729"/>
      <c r="V23" s="729"/>
      <c r="W23" s="729"/>
      <c r="X23" s="729"/>
      <c r="Y23" s="729"/>
      <c r="Z23" s="729"/>
    </row>
    <row r="24" spans="1:26">
      <c r="A24" s="729"/>
      <c r="B24" s="683" t="s">
        <v>326</v>
      </c>
      <c r="C24" s="684">
        <f>'Modelo Base'!I168/1000000</f>
        <v>89.724697366666661</v>
      </c>
      <c r="D24" s="684">
        <f>'Modelo Base'!I171/1000000</f>
        <v>-3213.6097863666669</v>
      </c>
      <c r="E24" s="684">
        <f>(('Consolidado '!C6+'Consolidado '!C11)+('Consolidado '!D6-'Consolidado '!D15)+('Consolidado '!E6+'Consolidado '!E7+'Consolidado '!E11+'Consolidado '!E15))*'Consolidado '!F4/1000000</f>
        <v>-154.5661937418156</v>
      </c>
      <c r="F24" s="686">
        <f t="shared" si="0"/>
        <v>-3278.4512827418157</v>
      </c>
      <c r="G24" s="686">
        <f t="shared" si="1"/>
        <v>3278.4512827418157</v>
      </c>
      <c r="H24" s="684">
        <f>MAX(0,-(('Informe Accionista'!F129/1000000)+D24))</f>
        <v>3208.7715343666669</v>
      </c>
      <c r="I24" s="684">
        <f>'Modelo Base'!I179/1000000</f>
        <v>-3773.59384</v>
      </c>
      <c r="J24" s="687" t="s">
        <v>1022</v>
      </c>
      <c r="K24" s="688"/>
      <c r="L24" s="729"/>
      <c r="M24" s="729"/>
      <c r="N24" s="729"/>
      <c r="O24" s="729"/>
      <c r="P24" s="729"/>
      <c r="Q24" s="729"/>
      <c r="R24" s="729"/>
      <c r="S24" s="729"/>
      <c r="T24" s="729"/>
      <c r="U24" s="729"/>
      <c r="V24" s="729"/>
      <c r="W24" s="729"/>
      <c r="X24" s="729"/>
      <c r="Y24" s="729"/>
      <c r="Z24" s="729"/>
    </row>
    <row r="25" spans="1:26">
      <c r="A25" s="729"/>
      <c r="B25" s="689" t="s">
        <v>327</v>
      </c>
      <c r="C25" s="684">
        <f>(Inputs!H155+(Inputs!H109-Inputs!G109)+(Inputs!H113-Inputs!G113)+(Inputs!H112-Inputs!G112)-(Inputs!H96-Inputs!G96)-(Inputs!H94-Inputs!G94)-(Inputs!H97-Inputs!G97))/1000000</f>
        <v>-86.361829999999998</v>
      </c>
      <c r="D25" s="684">
        <f>-(Inputs!H101-Inputs!G101)/1000000</f>
        <v>-7.7929810000000002</v>
      </c>
      <c r="E25" s="684">
        <f>(SUM('Consolidado '!H6:J7)-SUM('Consolidado '!H9:J9,'Consolidado '!H11:J13,'Consolidado '!H15:J15))*'Consolidado '!K4/1000000</f>
        <v>-105.7933368666026</v>
      </c>
      <c r="F25" s="686">
        <f t="shared" si="0"/>
        <v>-199.9481478666026</v>
      </c>
      <c r="G25" s="686">
        <f t="shared" si="1"/>
        <v>199.9481478666026</v>
      </c>
      <c r="H25" s="684">
        <f>MAX(0,-('Informe Accionista'!G129/1000000+D25))</f>
        <v>0</v>
      </c>
      <c r="I25" s="684">
        <f>(Inputs!H93-Inputs!G93)/1000000</f>
        <v>-112.934816</v>
      </c>
      <c r="J25" s="690" t="s">
        <v>1023</v>
      </c>
      <c r="K25" s="691"/>
      <c r="L25" s="729"/>
      <c r="M25" s="729"/>
      <c r="N25" s="729"/>
      <c r="O25" s="729"/>
      <c r="P25" s="729"/>
      <c r="Q25" s="729"/>
      <c r="R25" s="729"/>
      <c r="S25" s="729"/>
      <c r="T25" s="729"/>
      <c r="U25" s="729"/>
      <c r="V25" s="729"/>
      <c r="W25" s="729"/>
      <c r="X25" s="729"/>
      <c r="Y25" s="729"/>
      <c r="Z25" s="729"/>
    </row>
    <row r="26" spans="1:26">
      <c r="A26" s="729"/>
      <c r="B26" s="689" t="s">
        <v>328</v>
      </c>
      <c r="C26" s="684">
        <f>(Inputs!I155+(Inputs!I109-Inputs!H109)+(Inputs!I113-Inputs!H113)+(Inputs!I112-Inputs!H112)-(Inputs!I96-Inputs!H96)-(Inputs!I94-Inputs!H94)-(Inputs!I97-Inputs!H97))/1000000</f>
        <v>-112.212461</v>
      </c>
      <c r="D26" s="684">
        <f>-(Inputs!I101-Inputs!H101)/1000000</f>
        <v>0</v>
      </c>
      <c r="E26" s="686">
        <f>J47</f>
        <v>-81.203975852457617</v>
      </c>
      <c r="F26" s="686">
        <f t="shared" si="0"/>
        <v>-193.41643685245762</v>
      </c>
      <c r="G26" s="686">
        <f t="shared" si="1"/>
        <v>193.41643685245762</v>
      </c>
      <c r="H26" s="684">
        <f>MAX(0,-(('Informe Accionista'!H129/1000000)+D26))</f>
        <v>0</v>
      </c>
      <c r="I26" s="684">
        <f>(Inputs!I93-Inputs!H93)/1000000+E26</f>
        <v>-210.58495885245759</v>
      </c>
      <c r="J26" s="690" t="s">
        <v>1011</v>
      </c>
      <c r="K26" s="691"/>
      <c r="L26" s="729"/>
      <c r="M26" s="729"/>
      <c r="N26" s="729"/>
      <c r="O26" s="729"/>
      <c r="P26" s="729"/>
      <c r="Q26" s="729"/>
      <c r="R26" s="729"/>
      <c r="S26" s="729"/>
      <c r="T26" s="729"/>
      <c r="U26" s="729"/>
      <c r="V26" s="729"/>
      <c r="W26" s="729"/>
      <c r="X26" s="729"/>
      <c r="Y26" s="729"/>
      <c r="Z26" s="729"/>
    </row>
    <row r="27" spans="1:26">
      <c r="A27" s="729"/>
      <c r="B27" s="689" t="s">
        <v>329</v>
      </c>
      <c r="C27" s="684">
        <f>(Inputs!J155+(Inputs!J109-Inputs!I109)+(Inputs!J113-Inputs!I113)+(Inputs!J112-Inputs!I112)-(Inputs!J96-Inputs!I96)-(Inputs!J94-Inputs!I94)-(Inputs!J97-Inputs!I97))/1000000</f>
        <v>37.553514999999997</v>
      </c>
      <c r="D27" s="684">
        <f>-(Inputs!J101-Inputs!I101)/1000000</f>
        <v>0</v>
      </c>
      <c r="E27" s="692">
        <v>0</v>
      </c>
      <c r="F27" s="686">
        <f>SUM(C27:E27)</f>
        <v>37.553514999999997</v>
      </c>
      <c r="G27" s="686">
        <f>MAX(0,-F27)</f>
        <v>0</v>
      </c>
      <c r="H27" s="685"/>
      <c r="I27" s="684">
        <f>(Inputs!J93-Inputs!I93)/1000000+E27</f>
        <v>58.825564</v>
      </c>
      <c r="J27" s="690" t="s">
        <v>1156</v>
      </c>
      <c r="K27" s="691"/>
      <c r="L27" s="729"/>
      <c r="M27" s="729"/>
      <c r="N27" s="729"/>
      <c r="O27" s="729"/>
      <c r="P27" s="729"/>
      <c r="Q27" s="729"/>
      <c r="R27" s="729"/>
      <c r="S27" s="729"/>
      <c r="T27" s="729"/>
      <c r="U27" s="729"/>
      <c r="V27" s="729"/>
      <c r="W27" s="729"/>
      <c r="X27" s="729"/>
      <c r="Y27" s="729"/>
      <c r="Z27" s="729"/>
    </row>
    <row r="28" spans="1:26">
      <c r="A28" s="729"/>
      <c r="B28" s="661" t="s">
        <v>1157</v>
      </c>
      <c r="C28" s="662">
        <f>SUM(C21:C27)</f>
        <v>-32.215190633333343</v>
      </c>
      <c r="D28" s="662">
        <f>SUM(D21:D27)</f>
        <v>-3236.998062366667</v>
      </c>
      <c r="E28" s="662">
        <f>SUM(E21:E27)</f>
        <v>-341.56350646087583</v>
      </c>
      <c r="F28" s="662">
        <f>SUM(F21:F27)</f>
        <v>-3610.7767594608758</v>
      </c>
      <c r="G28" s="662">
        <f>SUM(G21:G27)</f>
        <v>3945.8758844608756</v>
      </c>
      <c r="H28" s="662">
        <f>SUM(H21:H27)</f>
        <v>3231.9998453666667</v>
      </c>
      <c r="I28" s="662">
        <f>SUM(I21:I27)</f>
        <v>-4002.5135968524573</v>
      </c>
      <c r="J28" s="693" t="s">
        <v>883</v>
      </c>
      <c r="K28" s="694"/>
      <c r="L28" s="729"/>
      <c r="M28" s="729"/>
      <c r="N28" s="729"/>
      <c r="O28" s="729"/>
      <c r="P28" s="729"/>
      <c r="Q28" s="729"/>
      <c r="R28" s="729"/>
      <c r="S28" s="729"/>
      <c r="T28" s="729"/>
      <c r="U28" s="729"/>
      <c r="V28" s="729"/>
      <c r="W28" s="729"/>
      <c r="X28" s="729"/>
      <c r="Y28" s="729"/>
      <c r="Z28" s="729"/>
    </row>
    <row r="29" spans="1:26">
      <c r="A29" s="729"/>
      <c r="B29" s="661" t="s">
        <v>1158</v>
      </c>
      <c r="C29" s="662">
        <f>AVERAGE(C25:C27)</f>
        <v>-53.673592000000006</v>
      </c>
      <c r="D29" s="662">
        <f>AVERAGE(D25:D27)</f>
        <v>-2.5976603333333332</v>
      </c>
      <c r="E29" s="662">
        <f>AVERAGE(E25:E27)</f>
        <v>-62.33243757302008</v>
      </c>
      <c r="F29" s="662">
        <f>AVERAGE(F25:F27)</f>
        <v>-118.6036899063534</v>
      </c>
      <c r="G29" s="662">
        <f>AVERAGE(G25:G27)</f>
        <v>131.12152823968674</v>
      </c>
      <c r="H29" s="662">
        <f>AVERAGE(H25:H27)</f>
        <v>0</v>
      </c>
      <c r="I29" s="662">
        <f>AVERAGE(I25:I27)</f>
        <v>-88.231403617485867</v>
      </c>
      <c r="J29" s="693" t="s">
        <v>884</v>
      </c>
      <c r="K29" s="694"/>
      <c r="L29" s="729"/>
      <c r="M29" s="729"/>
      <c r="N29" s="729"/>
      <c r="O29" s="729"/>
      <c r="P29" s="729"/>
      <c r="Q29" s="729"/>
      <c r="R29" s="729"/>
      <c r="S29" s="729"/>
      <c r="T29" s="729"/>
      <c r="U29" s="729"/>
      <c r="V29" s="729"/>
      <c r="W29" s="729"/>
      <c r="X29" s="729"/>
      <c r="Y29" s="729"/>
      <c r="Z29" s="729"/>
    </row>
    <row r="30" spans="1:26">
      <c r="A30" s="729"/>
      <c r="B30" s="673"/>
      <c r="C30" s="673"/>
      <c r="D30" s="673"/>
      <c r="E30" s="673"/>
      <c r="F30" s="673"/>
      <c r="G30" s="673"/>
      <c r="H30" s="673"/>
      <c r="I30" s="673"/>
      <c r="J30" s="673"/>
      <c r="K30" s="674"/>
      <c r="L30" s="729"/>
      <c r="M30" s="729"/>
      <c r="N30" s="729"/>
      <c r="O30" s="729"/>
      <c r="P30" s="729"/>
      <c r="Q30" s="729"/>
      <c r="R30" s="729"/>
      <c r="S30" s="729"/>
      <c r="T30" s="729"/>
      <c r="U30" s="729"/>
      <c r="V30" s="729"/>
      <c r="W30" s="729"/>
      <c r="X30" s="729"/>
      <c r="Y30" s="729"/>
      <c r="Z30" s="729"/>
    </row>
    <row r="31" spans="1:26">
      <c r="A31" s="729"/>
      <c r="B31" s="464" t="s">
        <v>1182</v>
      </c>
      <c r="C31" s="464"/>
      <c r="D31" s="464"/>
      <c r="E31" s="464"/>
      <c r="F31" s="464"/>
      <c r="G31" s="464"/>
      <c r="H31" s="464"/>
      <c r="I31" s="464"/>
      <c r="J31" s="464"/>
      <c r="K31" s="464"/>
      <c r="L31" s="729"/>
      <c r="M31" s="729"/>
      <c r="N31" s="729"/>
      <c r="O31" s="729"/>
      <c r="P31" s="729"/>
      <c r="Q31" s="729"/>
      <c r="R31" s="729"/>
      <c r="S31" s="729"/>
      <c r="T31" s="729"/>
      <c r="U31" s="729"/>
      <c r="V31" s="729"/>
      <c r="W31" s="729"/>
      <c r="X31" s="729"/>
      <c r="Y31" s="729"/>
      <c r="Z31" s="729"/>
    </row>
    <row r="32" spans="1:26" ht="30" customHeight="1">
      <c r="A32" s="729"/>
      <c r="B32" s="466" t="s">
        <v>371</v>
      </c>
      <c r="C32" s="465" t="s">
        <v>810</v>
      </c>
      <c r="D32" s="465" t="s">
        <v>811</v>
      </c>
      <c r="E32" s="465" t="s">
        <v>812</v>
      </c>
      <c r="F32" s="465" t="s">
        <v>819</v>
      </c>
      <c r="G32" s="465" t="s">
        <v>813</v>
      </c>
      <c r="H32" s="465" t="s">
        <v>814</v>
      </c>
      <c r="I32" s="465" t="s">
        <v>815</v>
      </c>
      <c r="J32" s="461"/>
      <c r="K32" s="461"/>
      <c r="L32" s="729"/>
      <c r="M32" s="729"/>
      <c r="N32" s="729"/>
      <c r="O32" s="729"/>
      <c r="P32" s="729"/>
      <c r="Q32" s="729"/>
      <c r="R32" s="729"/>
      <c r="S32" s="729"/>
      <c r="T32" s="729"/>
      <c r="U32" s="729"/>
      <c r="V32" s="729"/>
      <c r="W32" s="729"/>
      <c r="X32" s="729"/>
      <c r="Y32" s="729"/>
      <c r="Z32" s="729"/>
    </row>
    <row r="33" spans="1:26">
      <c r="A33" s="729"/>
      <c r="B33" s="695" t="s">
        <v>209</v>
      </c>
      <c r="C33" s="696">
        <v>0.186</v>
      </c>
      <c r="D33" s="697">
        <f>'Informe Accionista'!C122/Inputs!$C$27/1000000</f>
        <v>0.1659207861788618</v>
      </c>
      <c r="E33" s="698">
        <f>D33-C33</f>
        <v>-2.0079213821138198E-2</v>
      </c>
      <c r="F33" s="699">
        <f>IF(C33=0,"N/A",D33/C33)</f>
        <v>0.89204723752076243</v>
      </c>
      <c r="G33" s="700">
        <f>C33*Inputs!$C$27</f>
        <v>686.34</v>
      </c>
      <c r="H33" s="700">
        <f>'Informe Accionista'!C122/1000000</f>
        <v>612.24770100000001</v>
      </c>
      <c r="I33" s="701">
        <f>H33-G33</f>
        <v>-74.092299000000025</v>
      </c>
      <c r="J33" s="674"/>
      <c r="K33" s="674"/>
      <c r="L33" s="729"/>
      <c r="M33" s="729"/>
      <c r="N33" s="729"/>
      <c r="O33" s="729"/>
      <c r="P33" s="729"/>
      <c r="Q33" s="729"/>
      <c r="R33" s="729"/>
      <c r="S33" s="729"/>
      <c r="T33" s="729"/>
      <c r="U33" s="729"/>
      <c r="V33" s="729"/>
      <c r="W33" s="729"/>
      <c r="X33" s="729"/>
      <c r="Y33" s="729"/>
      <c r="Z33" s="729"/>
    </row>
    <row r="34" spans="1:26">
      <c r="A34" s="729"/>
      <c r="B34" s="695" t="s">
        <v>324</v>
      </c>
      <c r="C34" s="696">
        <v>0.35399999999999998</v>
      </c>
      <c r="D34" s="697">
        <f>'Informe Accionista'!D122/Inputs!$C$27/1000000</f>
        <v>0.20168513197831978</v>
      </c>
      <c r="E34" s="698">
        <f>D34-C34</f>
        <v>-0.15231486802168021</v>
      </c>
      <c r="F34" s="699">
        <f>IF(C34=0,"N/A",D34/C34)</f>
        <v>0.5697320112381915</v>
      </c>
      <c r="G34" s="700">
        <f>C34*Inputs!$C$27</f>
        <v>1306.26</v>
      </c>
      <c r="H34" s="700">
        <f>'Informe Accionista'!D122/1000000</f>
        <v>744.21813699999996</v>
      </c>
      <c r="I34" s="701">
        <f>H34-G34</f>
        <v>-562.04186300000003</v>
      </c>
      <c r="J34" s="674"/>
      <c r="K34" s="674"/>
      <c r="L34" s="729"/>
      <c r="M34" s="729"/>
      <c r="N34" s="729"/>
      <c r="O34" s="729"/>
      <c r="P34" s="729"/>
      <c r="Q34" s="729"/>
      <c r="R34" s="729"/>
      <c r="S34" s="729"/>
      <c r="T34" s="729"/>
      <c r="U34" s="729"/>
      <c r="V34" s="729"/>
      <c r="W34" s="729"/>
      <c r="X34" s="729"/>
      <c r="Y34" s="729"/>
      <c r="Z34" s="729"/>
    </row>
    <row r="35" spans="1:26">
      <c r="A35" s="729"/>
      <c r="B35" s="695" t="s">
        <v>325</v>
      </c>
      <c r="C35" s="696">
        <v>0.39600000000000002</v>
      </c>
      <c r="D35" s="697">
        <f>'Informe Accionista'!E122/Inputs!$C$27/1000000</f>
        <v>0.2132902945799458</v>
      </c>
      <c r="E35" s="698">
        <f>D35-C35</f>
        <v>-0.18270970542005421</v>
      </c>
      <c r="F35" s="699">
        <f>IF(C35=0,"N/A",D35/C35)</f>
        <v>0.53861185499986308</v>
      </c>
      <c r="G35" s="700">
        <f>C35*Inputs!$C$27</f>
        <v>1461.24</v>
      </c>
      <c r="H35" s="700">
        <f>'Informe Accionista'!E122/1000000</f>
        <v>787.04118700000004</v>
      </c>
      <c r="I35" s="701">
        <f>H35-G35</f>
        <v>-674.19881299999997</v>
      </c>
      <c r="J35" s="674"/>
      <c r="K35" s="674"/>
      <c r="L35" s="729"/>
      <c r="M35" s="729"/>
      <c r="N35" s="729"/>
      <c r="O35" s="729"/>
      <c r="P35" s="729"/>
      <c r="Q35" s="729"/>
      <c r="R35" s="729"/>
      <c r="S35" s="729"/>
      <c r="T35" s="729"/>
      <c r="U35" s="729"/>
      <c r="V35" s="729"/>
      <c r="W35" s="729"/>
      <c r="X35" s="729"/>
      <c r="Y35" s="729"/>
      <c r="Z35" s="729"/>
    </row>
    <row r="36" spans="1:26" ht="15" thickBot="1">
      <c r="A36" s="729"/>
      <c r="B36" s="702" t="s">
        <v>326</v>
      </c>
      <c r="C36" s="703">
        <v>0.35899999999999999</v>
      </c>
      <c r="D36" s="704">
        <f>'Informe Accionista'!F122/Inputs!$C$27/1000000</f>
        <v>0.20348717127371274</v>
      </c>
      <c r="E36" s="705">
        <f>D36-C36</f>
        <v>-0.15551282872628724</v>
      </c>
      <c r="F36" s="706">
        <f>IF(C36=0,"N/A",D36/C36)</f>
        <v>0.56681663307440877</v>
      </c>
      <c r="G36" s="707">
        <f>C36*Inputs!$C$27</f>
        <v>1324.71</v>
      </c>
      <c r="H36" s="707">
        <f>'Informe Accionista'!F122/1000000</f>
        <v>750.867662</v>
      </c>
      <c r="I36" s="708">
        <f>H36-G36</f>
        <v>-573.84233800000004</v>
      </c>
      <c r="J36" s="674"/>
      <c r="K36" s="674"/>
      <c r="L36" s="729"/>
      <c r="M36" s="729"/>
      <c r="N36" s="729"/>
      <c r="O36" s="729"/>
      <c r="P36" s="729"/>
      <c r="Q36" s="729"/>
      <c r="R36" s="729"/>
      <c r="S36" s="729"/>
      <c r="T36" s="729"/>
      <c r="U36" s="729"/>
      <c r="V36" s="729"/>
      <c r="W36" s="729"/>
      <c r="X36" s="729"/>
      <c r="Y36" s="729"/>
      <c r="Z36" s="729"/>
    </row>
    <row r="37" spans="1:26">
      <c r="A37" s="729"/>
      <c r="B37" s="709" t="s">
        <v>327</v>
      </c>
      <c r="C37" s="710">
        <v>0.40300000000000002</v>
      </c>
      <c r="D37" s="711">
        <f>'Informe Accionista'!G122/Inputs!$C$27/1000000</f>
        <v>0.22398773604336045</v>
      </c>
      <c r="E37" s="712">
        <f>D37-C37</f>
        <v>-0.17901226395663958</v>
      </c>
      <c r="F37" s="713">
        <f>IF(C37=0,"N/A",D37/C37)</f>
        <v>0.55580083385449242</v>
      </c>
      <c r="G37" s="681">
        <f>C37*Inputs!$C$27</f>
        <v>1487.0700000000002</v>
      </c>
      <c r="H37" s="681">
        <f>'Informe Accionista'!G122/1000000</f>
        <v>826.51474599999995</v>
      </c>
      <c r="I37" s="714">
        <f>H37-G37</f>
        <v>-660.55525400000022</v>
      </c>
      <c r="J37" s="674"/>
      <c r="K37" s="674"/>
      <c r="L37" s="729"/>
      <c r="M37" s="729"/>
      <c r="N37" s="729"/>
      <c r="O37" s="729"/>
      <c r="P37" s="729"/>
      <c r="Q37" s="729"/>
      <c r="R37" s="729"/>
      <c r="S37" s="729"/>
      <c r="T37" s="729"/>
      <c r="U37" s="729"/>
      <c r="V37" s="729"/>
      <c r="W37" s="729"/>
      <c r="X37" s="729"/>
      <c r="Y37" s="729"/>
      <c r="Z37" s="729"/>
    </row>
    <row r="38" spans="1:26">
      <c r="A38" s="729"/>
      <c r="B38" s="709" t="s">
        <v>328</v>
      </c>
      <c r="C38" s="711">
        <f>'Informe Accionista'!H65/1000000</f>
        <v>0.37555899999999998</v>
      </c>
      <c r="D38" s="711">
        <f>'Informe Accionista'!H122/Inputs!$C$27/1000000</f>
        <v>0.20364588455284552</v>
      </c>
      <c r="E38" s="712">
        <f>D38-C38</f>
        <v>-0.17191311544715446</v>
      </c>
      <c r="F38" s="713">
        <f>IF(C38=0,"N/A",D38/C38)</f>
        <v>0.54224738204342204</v>
      </c>
      <c r="G38" s="681">
        <f>C38*Inputs!$C$27</f>
        <v>1385.8127099999999</v>
      </c>
      <c r="H38" s="681">
        <f>'Informe Accionista'!H122/1000000</f>
        <v>751.45331399999998</v>
      </c>
      <c r="I38" s="714">
        <f>H38-G38</f>
        <v>-634.35939599999995</v>
      </c>
      <c r="J38" s="674"/>
      <c r="K38" s="674"/>
      <c r="L38" s="729"/>
      <c r="M38" s="729"/>
      <c r="N38" s="729"/>
      <c r="O38" s="729"/>
      <c r="P38" s="729"/>
      <c r="Q38" s="729"/>
      <c r="R38" s="729"/>
      <c r="S38" s="729"/>
      <c r="T38" s="729"/>
      <c r="U38" s="729"/>
      <c r="V38" s="729"/>
      <c r="W38" s="729"/>
      <c r="X38" s="729"/>
      <c r="Y38" s="729"/>
      <c r="Z38" s="729"/>
    </row>
    <row r="39" spans="1:26" ht="15" thickBot="1">
      <c r="A39" s="729"/>
      <c r="B39" s="709" t="s">
        <v>329</v>
      </c>
      <c r="C39" s="711">
        <f>'Informe Accionista'!I65/1000000</f>
        <v>0.38808500000000001</v>
      </c>
      <c r="D39" s="711">
        <f>'Modelo Base'!L51/Inputs!$C$27/1000000</f>
        <v>0.18425218211382116</v>
      </c>
      <c r="E39" s="712">
        <f>D39-C39</f>
        <v>-0.20383281788617885</v>
      </c>
      <c r="F39" s="713">
        <f>IF(C39=0,"N/A",D39/C39)</f>
        <v>0.47477274853143292</v>
      </c>
      <c r="G39" s="681">
        <f>C39*Inputs!$C$27</f>
        <v>1432.0336500000001</v>
      </c>
      <c r="H39" s="681">
        <f>'Modelo Base'!L51/1000000</f>
        <v>679.89055199999996</v>
      </c>
      <c r="I39" s="714">
        <f>H39-G39</f>
        <v>-752.14309800000012</v>
      </c>
      <c r="J39" s="674"/>
      <c r="K39" s="674"/>
      <c r="L39" s="729"/>
      <c r="M39" s="729"/>
      <c r="N39" s="729"/>
      <c r="O39" s="729"/>
      <c r="P39" s="729"/>
      <c r="Q39" s="729"/>
      <c r="R39" s="729"/>
      <c r="S39" s="729"/>
      <c r="T39" s="729"/>
      <c r="U39" s="729"/>
      <c r="V39" s="729"/>
      <c r="W39" s="729"/>
      <c r="X39" s="729"/>
      <c r="Y39" s="729"/>
      <c r="Z39" s="729"/>
    </row>
    <row r="40" spans="1:26">
      <c r="A40" s="729"/>
      <c r="B40" s="715" t="s">
        <v>1170</v>
      </c>
      <c r="C40" s="716">
        <f>SUM(C33:C39)</f>
        <v>2.4616439999999997</v>
      </c>
      <c r="D40" s="716">
        <f>SUM(D33:D39)</f>
        <v>1.3962691867208672</v>
      </c>
      <c r="E40" s="716">
        <f>D40-C40</f>
        <v>-1.0653748132791325</v>
      </c>
      <c r="F40" s="717">
        <f>IF(C40=0,"N/A",D40/C40)</f>
        <v>0.56721003797497416</v>
      </c>
      <c r="G40" s="718">
        <f>SUM(G33:G39)</f>
        <v>9083.4663600000003</v>
      </c>
      <c r="H40" s="718">
        <f>SUM(H33:H39)</f>
        <v>5152.2332989999995</v>
      </c>
      <c r="I40" s="718">
        <f>H40-G40</f>
        <v>-3931.2330610000008</v>
      </c>
      <c r="J40" s="715"/>
      <c r="K40" s="715"/>
      <c r="L40" s="729"/>
      <c r="M40" s="729"/>
      <c r="N40" s="729"/>
      <c r="O40" s="729"/>
      <c r="P40" s="729"/>
      <c r="Q40" s="729"/>
      <c r="R40" s="729"/>
      <c r="S40" s="729"/>
      <c r="T40" s="729"/>
      <c r="U40" s="729"/>
      <c r="V40" s="729"/>
      <c r="W40" s="729"/>
      <c r="X40" s="729"/>
      <c r="Y40" s="729"/>
      <c r="Z40" s="729"/>
    </row>
    <row r="41" spans="1:26">
      <c r="A41" s="729"/>
      <c r="B41" s="674"/>
      <c r="C41" s="674"/>
      <c r="D41" s="674"/>
      <c r="E41" s="674"/>
      <c r="F41" s="674"/>
      <c r="G41" s="674"/>
      <c r="H41" s="674"/>
      <c r="I41" s="719"/>
      <c r="J41" s="674"/>
      <c r="K41" s="674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29"/>
      <c r="Y41" s="729"/>
      <c r="Z41" s="729"/>
    </row>
    <row r="42" spans="1:26">
      <c r="A42" s="729"/>
      <c r="B42" s="134" t="s">
        <v>1159</v>
      </c>
      <c r="C42" s="135"/>
      <c r="D42" s="135"/>
      <c r="E42" s="674"/>
      <c r="F42" s="134" t="s">
        <v>999</v>
      </c>
      <c r="G42" s="674"/>
      <c r="H42" s="674"/>
      <c r="I42" s="674"/>
      <c r="J42" s="674"/>
      <c r="K42" s="674"/>
      <c r="L42" s="729"/>
      <c r="M42" s="729"/>
      <c r="N42" s="729"/>
      <c r="O42" s="729"/>
      <c r="P42" s="729"/>
      <c r="Q42" s="729"/>
      <c r="R42" s="729"/>
      <c r="S42" s="729"/>
      <c r="T42" s="729"/>
      <c r="U42" s="729"/>
      <c r="V42" s="729"/>
      <c r="W42" s="729"/>
      <c r="X42" s="729"/>
      <c r="Y42" s="729"/>
      <c r="Z42" s="729"/>
    </row>
    <row r="43" spans="1:26" ht="30" customHeight="1">
      <c r="A43" s="729"/>
      <c r="B43" s="467" t="s">
        <v>210</v>
      </c>
      <c r="C43" s="461" t="s">
        <v>673</v>
      </c>
      <c r="D43" s="461" t="s">
        <v>677</v>
      </c>
      <c r="E43" s="461"/>
      <c r="F43" s="461" t="s">
        <v>1000</v>
      </c>
      <c r="G43" s="461" t="s">
        <v>1008</v>
      </c>
      <c r="H43" s="461" t="s">
        <v>1009</v>
      </c>
      <c r="I43" s="461" t="s">
        <v>1001</v>
      </c>
      <c r="J43" s="461" t="s">
        <v>1002</v>
      </c>
      <c r="K43" s="461"/>
      <c r="L43" s="729"/>
      <c r="M43" s="729"/>
      <c r="N43" s="729"/>
      <c r="O43" s="729"/>
      <c r="P43" s="729"/>
      <c r="Q43" s="729"/>
      <c r="R43" s="729"/>
      <c r="S43" s="729"/>
      <c r="T43" s="729"/>
      <c r="U43" s="729"/>
      <c r="V43" s="729"/>
      <c r="W43" s="729"/>
      <c r="X43" s="729"/>
      <c r="Y43" s="729"/>
      <c r="Z43" s="729"/>
    </row>
    <row r="44" spans="1:26">
      <c r="A44" s="729"/>
      <c r="B44" s="674" t="s">
        <v>1160</v>
      </c>
      <c r="C44" s="681">
        <f>Inputs!I93/1000000</f>
        <v>115.441362</v>
      </c>
      <c r="D44" s="674"/>
      <c r="E44" s="674"/>
      <c r="F44" s="674" t="s">
        <v>971</v>
      </c>
      <c r="G44" s="681">
        <f>SUM('Consolidado '!M6:M7)</f>
        <v>5664.45</v>
      </c>
      <c r="H44" s="681">
        <f>-SUM('Consolidado '!M9,'Consolidado '!M11:M13,'Consolidado '!M15)</f>
        <v>-27968.27</v>
      </c>
      <c r="I44" s="714">
        <f>SUM(G44:H44)</f>
        <v>-22303.82</v>
      </c>
      <c r="J44" s="714">
        <f>I44*$J$49/1000000</f>
        <v>-78.18087395836659</v>
      </c>
      <c r="K44" s="674"/>
      <c r="L44" s="729"/>
      <c r="M44" s="729"/>
      <c r="N44" s="729"/>
      <c r="O44" s="729"/>
      <c r="P44" s="729"/>
      <c r="Q44" s="729"/>
      <c r="R44" s="729"/>
      <c r="S44" s="729"/>
      <c r="T44" s="729"/>
      <c r="U44" s="729"/>
      <c r="V44" s="729"/>
      <c r="W44" s="729"/>
      <c r="X44" s="729"/>
      <c r="Y44" s="729"/>
      <c r="Z44" s="729"/>
    </row>
    <row r="45" spans="1:26">
      <c r="A45" s="729"/>
      <c r="B45" s="674" t="s">
        <v>1161</v>
      </c>
      <c r="C45" s="681">
        <f>Inputs!J155/1000000</f>
        <v>24.707052000000001</v>
      </c>
      <c r="D45" s="674" t="s">
        <v>1166</v>
      </c>
      <c r="E45" s="674"/>
      <c r="F45" s="674" t="s">
        <v>1003</v>
      </c>
      <c r="G45" s="681">
        <f>SUM('Consolidado '!N6:N7)</f>
        <v>1821.5124816446382</v>
      </c>
      <c r="H45" s="681">
        <f>-SUM('Consolidado '!N9,'Consolidado '!N11:N13,'Consolidado '!N15)</f>
        <v>-11.967694566813496</v>
      </c>
      <c r="I45" s="714">
        <f>SUM(G45:H45)</f>
        <v>1809.5447870778248</v>
      </c>
      <c r="J45" s="714">
        <f>I45*$J$49/1000000</f>
        <v>6.3429400398923015</v>
      </c>
      <c r="K45" s="674"/>
      <c r="L45" s="729"/>
      <c r="M45" s="729"/>
      <c r="N45" s="729"/>
      <c r="O45" s="729"/>
      <c r="P45" s="729"/>
      <c r="Q45" s="729"/>
      <c r="R45" s="729"/>
      <c r="S45" s="729"/>
      <c r="T45" s="729"/>
      <c r="U45" s="729"/>
      <c r="V45" s="729"/>
      <c r="W45" s="729"/>
      <c r="X45" s="729"/>
      <c r="Y45" s="729"/>
      <c r="Z45" s="729"/>
    </row>
    <row r="46" spans="1:26">
      <c r="A46" s="729"/>
      <c r="B46" s="674" t="s">
        <v>885</v>
      </c>
      <c r="C46" s="681">
        <f>-(Inputs!J96-Inputs!I96)/1000000</f>
        <v>110.973187</v>
      </c>
      <c r="D46" s="674" t="s">
        <v>1162</v>
      </c>
      <c r="E46" s="674"/>
      <c r="F46" s="674" t="s">
        <v>1004</v>
      </c>
      <c r="G46" s="681">
        <f>SUM('Consolidado '!O6:O7)</f>
        <v>0</v>
      </c>
      <c r="H46" s="681">
        <f>-SUM('Consolidado '!O9,'Consolidado '!O11:O13,'Consolidado '!O15)</f>
        <v>-2671.99</v>
      </c>
      <c r="I46" s="714">
        <f>SUM(G46:H46)</f>
        <v>-2671.99</v>
      </c>
      <c r="J46" s="714">
        <f>I46*$J$49/1000000</f>
        <v>-9.3660419339833219</v>
      </c>
      <c r="K46" s="674"/>
      <c r="L46" s="729"/>
      <c r="M46" s="729"/>
      <c r="N46" s="729"/>
      <c r="O46" s="729"/>
      <c r="P46" s="729"/>
      <c r="Q46" s="729"/>
      <c r="R46" s="729"/>
      <c r="S46" s="729"/>
      <c r="T46" s="729"/>
      <c r="U46" s="729"/>
      <c r="V46" s="729"/>
      <c r="W46" s="729"/>
      <c r="X46" s="729"/>
      <c r="Y46" s="729"/>
      <c r="Z46" s="729"/>
    </row>
    <row r="47" spans="1:26" ht="15" thickBot="1">
      <c r="A47" s="729"/>
      <c r="B47" s="674" t="s">
        <v>886</v>
      </c>
      <c r="C47" s="681">
        <f>-(Inputs!J97-Inputs!I97)/1000000</f>
        <v>-31.840709</v>
      </c>
      <c r="D47" s="674"/>
      <c r="E47" s="674"/>
      <c r="F47" s="678" t="s">
        <v>1005</v>
      </c>
      <c r="G47" s="674"/>
      <c r="H47" s="674"/>
      <c r="I47" s="720">
        <f>SUM(I44:I46)</f>
        <v>-23166.265212922175</v>
      </c>
      <c r="J47" s="720">
        <f>SUM(J44:J46)</f>
        <v>-81.203975852457617</v>
      </c>
      <c r="K47" s="674"/>
      <c r="L47" s="729"/>
      <c r="M47" s="729"/>
      <c r="N47" s="729"/>
      <c r="O47" s="729"/>
      <c r="P47" s="729"/>
      <c r="Q47" s="729"/>
      <c r="R47" s="729"/>
      <c r="S47" s="729"/>
      <c r="T47" s="729"/>
      <c r="U47" s="729"/>
      <c r="V47" s="729"/>
      <c r="W47" s="729"/>
      <c r="X47" s="729"/>
      <c r="Y47" s="729"/>
      <c r="Z47" s="729"/>
    </row>
    <row r="48" spans="1:26">
      <c r="A48" s="729"/>
      <c r="B48" s="674" t="s">
        <v>887</v>
      </c>
      <c r="C48" s="681">
        <f>(Inputs!J109-Inputs!I109)/1000000</f>
        <v>-79.630601999999996</v>
      </c>
      <c r="D48" s="674"/>
      <c r="E48" s="674"/>
      <c r="F48" s="674"/>
      <c r="G48" s="674"/>
      <c r="H48" s="674"/>
      <c r="I48" s="674"/>
      <c r="J48" s="674"/>
      <c r="K48" s="674"/>
      <c r="L48" s="729"/>
      <c r="M48" s="729"/>
      <c r="N48" s="729"/>
      <c r="O48" s="729"/>
      <c r="P48" s="729"/>
      <c r="Q48" s="729"/>
      <c r="R48" s="729"/>
      <c r="S48" s="729"/>
      <c r="T48" s="729"/>
      <c r="U48" s="729"/>
      <c r="V48" s="729"/>
      <c r="W48" s="729"/>
      <c r="X48" s="729"/>
      <c r="Y48" s="729"/>
      <c r="Z48" s="729"/>
    </row>
    <row r="49" spans="1:26">
      <c r="A49" s="729"/>
      <c r="B49" s="674" t="s">
        <v>888</v>
      </c>
      <c r="C49" s="681">
        <f>(Inputs!J112-Inputs!I112)/1000000</f>
        <v>-4.0960210000000004</v>
      </c>
      <c r="D49" s="674"/>
      <c r="E49" s="674"/>
      <c r="F49" s="674" t="s">
        <v>1006</v>
      </c>
      <c r="G49" s="674"/>
      <c r="H49" s="674"/>
      <c r="I49" s="674"/>
      <c r="J49" s="721">
        <f>'Consolidado '!P4</f>
        <v>3505.2683333333298</v>
      </c>
      <c r="K49" s="674"/>
      <c r="L49" s="729"/>
      <c r="M49" s="729"/>
      <c r="N49" s="729"/>
      <c r="O49" s="729"/>
      <c r="P49" s="729"/>
      <c r="Q49" s="729"/>
      <c r="R49" s="729"/>
      <c r="S49" s="729"/>
      <c r="T49" s="729"/>
      <c r="U49" s="729"/>
      <c r="V49" s="729"/>
      <c r="W49" s="729"/>
      <c r="X49" s="729"/>
      <c r="Y49" s="729"/>
      <c r="Z49" s="729"/>
    </row>
    <row r="50" spans="1:26">
      <c r="A50" s="729"/>
      <c r="B50" s="674" t="s">
        <v>889</v>
      </c>
      <c r="C50" s="681">
        <f>(Inputs!J113-Inputs!I113)/1000000</f>
        <v>18.141309</v>
      </c>
      <c r="D50" s="674" t="s">
        <v>1163</v>
      </c>
      <c r="E50" s="674"/>
      <c r="F50" s="674" t="s">
        <v>1007</v>
      </c>
      <c r="G50" s="674" t="s">
        <v>1010</v>
      </c>
      <c r="H50" s="674"/>
      <c r="I50" s="674"/>
      <c r="J50" s="674"/>
      <c r="K50" s="674"/>
      <c r="L50" s="729"/>
      <c r="M50" s="729"/>
      <c r="N50" s="729"/>
      <c r="O50" s="729"/>
      <c r="P50" s="729"/>
      <c r="Q50" s="729"/>
      <c r="R50" s="729"/>
      <c r="S50" s="729"/>
      <c r="T50" s="729"/>
      <c r="U50" s="729"/>
      <c r="V50" s="729"/>
      <c r="W50" s="729"/>
      <c r="X50" s="729"/>
      <c r="Y50" s="729"/>
      <c r="Z50" s="729"/>
    </row>
    <row r="51" spans="1:26">
      <c r="A51" s="729"/>
      <c r="B51" s="722" t="s">
        <v>1143</v>
      </c>
      <c r="C51" s="723">
        <f>SUM(C45:C50)</f>
        <v>38.254216</v>
      </c>
      <c r="D51" s="724"/>
      <c r="E51" s="724"/>
      <c r="F51" s="724"/>
      <c r="G51" s="724"/>
      <c r="H51" s="724"/>
      <c r="I51" s="724"/>
      <c r="J51" s="724"/>
      <c r="K51" s="724"/>
      <c r="L51" s="729"/>
      <c r="M51" s="729"/>
      <c r="N51" s="729"/>
      <c r="O51" s="729"/>
      <c r="P51" s="729"/>
      <c r="Q51" s="729"/>
      <c r="R51" s="729"/>
      <c r="S51" s="729"/>
      <c r="T51" s="729"/>
      <c r="U51" s="729"/>
      <c r="V51" s="729"/>
      <c r="W51" s="729"/>
      <c r="X51" s="729"/>
      <c r="Y51" s="729"/>
      <c r="Z51" s="729"/>
    </row>
    <row r="52" spans="1:26">
      <c r="A52" s="729"/>
      <c r="B52" s="674" t="s">
        <v>890</v>
      </c>
      <c r="C52" s="681">
        <f>-(Inputs!J94-Inputs!I94)/1000000</f>
        <v>-0.70070100000000002</v>
      </c>
      <c r="D52" s="674" t="s">
        <v>891</v>
      </c>
      <c r="E52" s="674"/>
      <c r="F52" s="674"/>
      <c r="G52" s="674"/>
      <c r="H52" s="674"/>
      <c r="I52" s="674"/>
      <c r="J52" s="674"/>
      <c r="K52" s="674"/>
      <c r="L52" s="729"/>
      <c r="M52" s="729"/>
      <c r="N52" s="729"/>
      <c r="O52" s="729"/>
      <c r="P52" s="729"/>
      <c r="Q52" s="729"/>
      <c r="R52" s="729"/>
      <c r="S52" s="729"/>
      <c r="T52" s="729"/>
      <c r="U52" s="729"/>
      <c r="V52" s="729"/>
      <c r="W52" s="729"/>
      <c r="X52" s="729"/>
      <c r="Y52" s="729"/>
      <c r="Z52" s="729"/>
    </row>
    <row r="53" spans="1:26">
      <c r="A53" s="729"/>
      <c r="B53" s="674" t="s">
        <v>892</v>
      </c>
      <c r="C53" s="681">
        <f>-(Inputs!J101-Inputs!I101)/1000000</f>
        <v>0</v>
      </c>
      <c r="D53" s="674"/>
      <c r="E53" s="674"/>
      <c r="F53" s="674"/>
      <c r="G53" s="674"/>
      <c r="H53" s="674"/>
      <c r="I53" s="674"/>
      <c r="J53" s="674"/>
      <c r="K53" s="674"/>
      <c r="L53" s="729"/>
      <c r="M53" s="729"/>
      <c r="N53" s="729"/>
      <c r="O53" s="729"/>
      <c r="P53" s="729"/>
      <c r="Q53" s="729"/>
      <c r="R53" s="729"/>
      <c r="S53" s="729"/>
      <c r="T53" s="729"/>
      <c r="U53" s="729"/>
      <c r="V53" s="729"/>
      <c r="W53" s="729"/>
      <c r="X53" s="729"/>
      <c r="Y53" s="729"/>
      <c r="Z53" s="729"/>
    </row>
    <row r="54" spans="1:26">
      <c r="A54" s="729"/>
      <c r="B54" s="674" t="s">
        <v>893</v>
      </c>
      <c r="C54" s="681">
        <f>(Inputs!J108-Inputs!I108)/1000000</f>
        <v>21.051248000000001</v>
      </c>
      <c r="D54" s="674"/>
      <c r="E54" s="674"/>
      <c r="F54" s="674"/>
      <c r="G54" s="674"/>
      <c r="H54" s="674"/>
      <c r="I54" s="674"/>
      <c r="J54" s="674"/>
      <c r="K54" s="674"/>
      <c r="L54" s="729"/>
      <c r="M54" s="729"/>
      <c r="N54" s="729"/>
      <c r="O54" s="729"/>
      <c r="P54" s="729"/>
      <c r="Q54" s="729"/>
      <c r="R54" s="729"/>
      <c r="S54" s="729"/>
      <c r="T54" s="729"/>
      <c r="U54" s="729"/>
      <c r="V54" s="729"/>
      <c r="W54" s="729"/>
      <c r="X54" s="729"/>
      <c r="Y54" s="729"/>
      <c r="Z54" s="729"/>
    </row>
    <row r="55" spans="1:26">
      <c r="A55" s="729"/>
      <c r="B55" s="674" t="s">
        <v>894</v>
      </c>
      <c r="C55" s="681">
        <f>(Inputs!J116-Inputs!I116)/1000000</f>
        <v>0.2208</v>
      </c>
      <c r="D55" s="674"/>
      <c r="E55" s="674"/>
      <c r="F55" s="674"/>
      <c r="G55" s="674"/>
      <c r="H55" s="674"/>
      <c r="I55" s="674"/>
      <c r="J55" s="674"/>
      <c r="K55" s="674"/>
      <c r="L55" s="729"/>
      <c r="M55" s="729"/>
      <c r="N55" s="729"/>
      <c r="O55" s="729"/>
      <c r="P55" s="729"/>
      <c r="Q55" s="729"/>
      <c r="R55" s="729"/>
      <c r="S55" s="729"/>
      <c r="T55" s="729"/>
      <c r="U55" s="729"/>
      <c r="V55" s="729"/>
      <c r="W55" s="729"/>
      <c r="X55" s="729"/>
      <c r="Y55" s="729"/>
      <c r="Z55" s="729"/>
    </row>
    <row r="56" spans="1:26">
      <c r="A56" s="729"/>
      <c r="B56" s="725" t="s">
        <v>1164</v>
      </c>
      <c r="C56" s="723">
        <f>C44+C51+SUM(C52:C55)</f>
        <v>174.26692500000001</v>
      </c>
      <c r="D56" s="724"/>
      <c r="E56" s="724"/>
      <c r="F56" s="724"/>
      <c r="G56" s="724"/>
      <c r="H56" s="724"/>
      <c r="I56" s="724"/>
      <c r="J56" s="724"/>
      <c r="K56" s="724"/>
      <c r="L56" s="729"/>
      <c r="M56" s="729"/>
      <c r="N56" s="729"/>
      <c r="O56" s="729"/>
      <c r="P56" s="729"/>
      <c r="Q56" s="729"/>
      <c r="R56" s="729"/>
      <c r="S56" s="729"/>
      <c r="T56" s="729"/>
      <c r="U56" s="729"/>
      <c r="V56" s="729"/>
      <c r="W56" s="729"/>
      <c r="X56" s="729"/>
      <c r="Y56" s="729"/>
      <c r="Z56" s="729"/>
    </row>
    <row r="57" spans="1:26">
      <c r="A57" s="729"/>
      <c r="B57" s="674" t="s">
        <v>1165</v>
      </c>
      <c r="C57" s="681">
        <f>Inputs!J93/1000000</f>
        <v>174.26692600000001</v>
      </c>
      <c r="D57" s="674"/>
      <c r="E57" s="674"/>
      <c r="F57" s="674"/>
      <c r="G57" s="674"/>
      <c r="H57" s="674"/>
      <c r="I57" s="674"/>
      <c r="J57" s="674"/>
      <c r="K57" s="674"/>
      <c r="L57" s="729"/>
      <c r="M57" s="729"/>
      <c r="N57" s="729"/>
      <c r="O57" s="729"/>
      <c r="P57" s="729"/>
      <c r="Q57" s="729"/>
      <c r="R57" s="729"/>
      <c r="S57" s="729"/>
      <c r="T57" s="729"/>
      <c r="U57" s="729"/>
      <c r="V57" s="729"/>
      <c r="W57" s="729"/>
      <c r="X57" s="729"/>
      <c r="Y57" s="729"/>
      <c r="Z57" s="729"/>
    </row>
    <row r="58" spans="1:26">
      <c r="A58" s="729"/>
      <c r="B58" s="674" t="s">
        <v>911</v>
      </c>
      <c r="C58" s="714">
        <f>C56-C57</f>
        <v>-9.9999999747524271E-7</v>
      </c>
      <c r="D58" s="208" t="str">
        <f>IF(ABS(C58)&lt;=0.000005,"OK","REVISAR")</f>
        <v>OK</v>
      </c>
      <c r="E58" s="674"/>
      <c r="F58" s="674"/>
      <c r="G58" s="674"/>
      <c r="H58" s="674"/>
      <c r="I58" s="674"/>
      <c r="J58" s="674"/>
      <c r="K58" s="674"/>
      <c r="L58" s="729"/>
      <c r="M58" s="729"/>
      <c r="N58" s="729"/>
      <c r="O58" s="729"/>
      <c r="P58" s="729"/>
      <c r="Q58" s="729"/>
      <c r="R58" s="729"/>
      <c r="S58" s="729"/>
      <c r="T58" s="729"/>
      <c r="U58" s="729"/>
      <c r="V58" s="729"/>
      <c r="W58" s="729"/>
      <c r="X58" s="729"/>
      <c r="Y58" s="729"/>
      <c r="Z58" s="729"/>
    </row>
    <row r="59" spans="1:26">
      <c r="A59" s="729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729"/>
      <c r="M59" s="729"/>
      <c r="N59" s="729"/>
      <c r="O59" s="729"/>
      <c r="P59" s="729"/>
      <c r="Q59" s="729"/>
      <c r="R59" s="729"/>
      <c r="S59" s="729"/>
      <c r="T59" s="729"/>
      <c r="U59" s="729"/>
      <c r="V59" s="729"/>
      <c r="W59" s="729"/>
      <c r="X59" s="729"/>
      <c r="Y59" s="729"/>
      <c r="Z59" s="729"/>
    </row>
    <row r="60" spans="1:26">
      <c r="A60" s="729"/>
      <c r="B60" s="138" t="s">
        <v>998</v>
      </c>
      <c r="C60" s="310">
        <f>C57-C44</f>
        <v>58.825564000000014</v>
      </c>
      <c r="D60" s="674"/>
      <c r="E60" s="674"/>
      <c r="F60" s="674"/>
      <c r="G60" s="674"/>
      <c r="H60" s="674"/>
      <c r="I60" s="674"/>
      <c r="J60" s="674"/>
      <c r="K60" s="674"/>
      <c r="L60" s="729"/>
      <c r="M60" s="729"/>
      <c r="N60" s="729"/>
      <c r="O60" s="729"/>
      <c r="P60" s="729"/>
      <c r="Q60" s="729"/>
      <c r="R60" s="729"/>
      <c r="S60" s="729"/>
      <c r="T60" s="729"/>
      <c r="U60" s="729"/>
      <c r="V60" s="729"/>
      <c r="W60" s="729"/>
      <c r="X60" s="729"/>
      <c r="Y60" s="729"/>
      <c r="Z60" s="729"/>
    </row>
    <row r="61" spans="1:26">
      <c r="A61" s="729"/>
      <c r="B61" s="674"/>
      <c r="C61" s="674"/>
      <c r="D61" s="674"/>
      <c r="E61" s="674"/>
      <c r="F61" s="674"/>
      <c r="G61" s="674"/>
      <c r="H61" s="674"/>
      <c r="I61" s="674"/>
      <c r="J61" s="674"/>
      <c r="K61" s="674"/>
      <c r="L61" s="729"/>
      <c r="M61" s="729"/>
      <c r="N61" s="729"/>
      <c r="O61" s="729"/>
      <c r="P61" s="729"/>
      <c r="Q61" s="729"/>
      <c r="R61" s="729"/>
      <c r="S61" s="729"/>
      <c r="T61" s="729"/>
      <c r="U61" s="729"/>
      <c r="V61" s="729"/>
      <c r="W61" s="729"/>
      <c r="X61" s="729"/>
      <c r="Y61" s="729"/>
      <c r="Z61" s="729"/>
    </row>
    <row r="62" spans="1:26">
      <c r="A62" s="729"/>
      <c r="B62" s="464" t="s">
        <v>895</v>
      </c>
      <c r="C62" s="464"/>
      <c r="D62" s="464"/>
      <c r="E62" s="464"/>
      <c r="F62" s="464"/>
      <c r="G62" s="464"/>
      <c r="H62" s="464"/>
      <c r="I62" s="464"/>
      <c r="J62" s="464"/>
      <c r="K62" s="464"/>
      <c r="L62" s="729"/>
      <c r="M62" s="729"/>
      <c r="N62" s="729"/>
      <c r="O62" s="729"/>
      <c r="P62" s="729"/>
      <c r="Q62" s="729"/>
      <c r="R62" s="729"/>
      <c r="S62" s="729"/>
      <c r="T62" s="729"/>
      <c r="U62" s="729"/>
      <c r="V62" s="729"/>
      <c r="W62" s="729"/>
      <c r="X62" s="729"/>
      <c r="Y62" s="729"/>
      <c r="Z62" s="729"/>
    </row>
    <row r="63" spans="1:26">
      <c r="A63" s="729"/>
      <c r="B63" s="682" t="s">
        <v>1167</v>
      </c>
      <c r="C63" s="682"/>
      <c r="D63" s="682"/>
      <c r="E63" s="682"/>
      <c r="F63" s="682"/>
      <c r="G63" s="682"/>
      <c r="H63" s="682"/>
      <c r="I63" s="682"/>
      <c r="J63" s="682"/>
      <c r="K63" s="682"/>
      <c r="L63" s="729"/>
      <c r="M63" s="729"/>
      <c r="N63" s="729"/>
      <c r="O63" s="729"/>
      <c r="P63" s="729"/>
      <c r="Q63" s="729"/>
      <c r="R63" s="729"/>
      <c r="S63" s="729"/>
      <c r="T63" s="729"/>
      <c r="U63" s="729"/>
      <c r="V63" s="729"/>
      <c r="W63" s="729"/>
      <c r="X63" s="729"/>
      <c r="Y63" s="729"/>
      <c r="Z63" s="729"/>
    </row>
    <row r="64" spans="1:26">
      <c r="A64" s="729"/>
      <c r="B64" s="674" t="s">
        <v>1168</v>
      </c>
      <c r="C64" s="726">
        <f>'Modelo Base'!L51/1000000</f>
        <v>679.89055199999996</v>
      </c>
      <c r="D64" s="674"/>
      <c r="E64" s="674"/>
      <c r="F64" s="674"/>
      <c r="G64" s="674"/>
      <c r="H64" s="674"/>
      <c r="I64" s="674"/>
      <c r="J64" s="674"/>
      <c r="K64" s="674"/>
      <c r="L64" s="729"/>
      <c r="M64" s="729"/>
      <c r="N64" s="729"/>
      <c r="O64" s="729"/>
      <c r="P64" s="729"/>
      <c r="Q64" s="729"/>
      <c r="R64" s="729"/>
      <c r="S64" s="729"/>
      <c r="T64" s="729"/>
      <c r="U64" s="729"/>
      <c r="V64" s="729"/>
      <c r="W64" s="729"/>
      <c r="X64" s="729"/>
      <c r="Y64" s="729"/>
      <c r="Z64" s="729"/>
    </row>
    <row r="65" spans="1:26">
      <c r="A65" s="729"/>
      <c r="B65" s="674" t="s">
        <v>896</v>
      </c>
      <c r="C65" s="726">
        <f>Inputs!J96/1000000</f>
        <v>1688.457915</v>
      </c>
      <c r="D65" s="674"/>
      <c r="E65" s="674"/>
      <c r="F65" s="674"/>
      <c r="G65" s="674"/>
      <c r="H65" s="674"/>
      <c r="I65" s="674"/>
      <c r="J65" s="674"/>
      <c r="K65" s="674"/>
      <c r="L65" s="729"/>
      <c r="M65" s="729"/>
      <c r="N65" s="729"/>
      <c r="O65" s="729"/>
      <c r="P65" s="729"/>
      <c r="Q65" s="729"/>
      <c r="R65" s="729"/>
      <c r="S65" s="729"/>
      <c r="T65" s="729"/>
      <c r="U65" s="729"/>
      <c r="V65" s="729"/>
      <c r="W65" s="729"/>
      <c r="X65" s="729"/>
      <c r="Y65" s="729"/>
      <c r="Z65" s="729"/>
    </row>
    <row r="66" spans="1:26">
      <c r="A66" s="729"/>
      <c r="B66" s="674" t="s">
        <v>897</v>
      </c>
      <c r="C66" s="726">
        <f>Inputs!J96/'Modelo Base'!L51*30</f>
        <v>74.502781809505123</v>
      </c>
      <c r="D66" s="674"/>
      <c r="E66" s="674"/>
      <c r="F66" s="674"/>
      <c r="G66" s="674"/>
      <c r="H66" s="674"/>
      <c r="I66" s="674"/>
      <c r="J66" s="674"/>
      <c r="K66" s="674"/>
      <c r="L66" s="729"/>
      <c r="M66" s="729"/>
      <c r="N66" s="729"/>
      <c r="O66" s="729"/>
      <c r="P66" s="729"/>
      <c r="Q66" s="729"/>
      <c r="R66" s="729"/>
      <c r="S66" s="729"/>
      <c r="T66" s="729"/>
      <c r="U66" s="729"/>
      <c r="V66" s="729"/>
      <c r="W66" s="729"/>
      <c r="X66" s="729"/>
      <c r="Y66" s="729"/>
      <c r="Z66" s="729"/>
    </row>
    <row r="67" spans="1:26">
      <c r="A67" s="729"/>
      <c r="B67" s="674" t="s">
        <v>898</v>
      </c>
      <c r="C67" s="726">
        <f>Inputs!J93/1000000</f>
        <v>174.26692600000001</v>
      </c>
      <c r="D67" s="674"/>
      <c r="E67" s="674"/>
      <c r="F67" s="674"/>
      <c r="G67" s="674"/>
      <c r="H67" s="674"/>
      <c r="I67" s="674"/>
      <c r="J67" s="674"/>
      <c r="K67" s="674"/>
      <c r="L67" s="729"/>
      <c r="M67" s="729"/>
      <c r="N67" s="729"/>
      <c r="O67" s="729"/>
      <c r="P67" s="729"/>
      <c r="Q67" s="729"/>
      <c r="R67" s="729"/>
      <c r="S67" s="729"/>
      <c r="T67" s="729"/>
      <c r="U67" s="729"/>
      <c r="V67" s="729"/>
      <c r="W67" s="729"/>
      <c r="X67" s="729"/>
      <c r="Y67" s="729"/>
      <c r="Z67" s="729"/>
    </row>
    <row r="68" spans="1:26">
      <c r="A68" s="729"/>
      <c r="B68" s="674" t="s">
        <v>466</v>
      </c>
      <c r="C68" s="726">
        <f>'Modelo Base'!E32/1000000</f>
        <v>231.459</v>
      </c>
      <c r="D68" s="674"/>
      <c r="E68" s="674"/>
      <c r="F68" s="674"/>
      <c r="G68" s="674"/>
      <c r="H68" s="674"/>
      <c r="I68" s="674"/>
      <c r="J68" s="674"/>
      <c r="K68" s="674"/>
      <c r="L68" s="729"/>
      <c r="M68" s="729"/>
      <c r="N68" s="729"/>
      <c r="O68" s="729"/>
      <c r="P68" s="729"/>
      <c r="Q68" s="729"/>
      <c r="R68" s="729"/>
      <c r="S68" s="729"/>
      <c r="T68" s="729"/>
      <c r="U68" s="729"/>
      <c r="V68" s="729"/>
      <c r="W68" s="729"/>
      <c r="X68" s="729"/>
      <c r="Y68" s="729"/>
      <c r="Z68" s="729"/>
    </row>
    <row r="69" spans="1:26">
      <c r="A69" s="729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729"/>
      <c r="M69" s="729"/>
      <c r="N69" s="729"/>
      <c r="O69" s="729"/>
      <c r="P69" s="729"/>
      <c r="Q69" s="729"/>
      <c r="R69" s="729"/>
      <c r="S69" s="729"/>
      <c r="T69" s="729"/>
      <c r="U69" s="729"/>
      <c r="V69" s="729"/>
      <c r="W69" s="729"/>
      <c r="X69" s="729"/>
      <c r="Y69" s="729"/>
      <c r="Z69" s="729"/>
    </row>
    <row r="70" spans="1:26" ht="30" customHeight="1">
      <c r="A70" s="729"/>
      <c r="B70" s="467" t="s">
        <v>899</v>
      </c>
      <c r="C70" s="461" t="s">
        <v>900</v>
      </c>
      <c r="D70" s="461" t="s">
        <v>901</v>
      </c>
      <c r="E70" s="461" t="s">
        <v>902</v>
      </c>
      <c r="F70" s="461" t="s">
        <v>903</v>
      </c>
      <c r="G70" s="461"/>
      <c r="H70" s="461"/>
      <c r="I70" s="461"/>
      <c r="J70" s="461"/>
      <c r="K70" s="461"/>
      <c r="L70" s="729"/>
      <c r="M70" s="729"/>
      <c r="N70" s="729"/>
      <c r="O70" s="729"/>
      <c r="P70" s="729"/>
      <c r="Q70" s="729"/>
      <c r="R70" s="729"/>
      <c r="S70" s="729"/>
      <c r="T70" s="729"/>
      <c r="U70" s="729"/>
      <c r="V70" s="729"/>
      <c r="W70" s="729"/>
      <c r="X70" s="729"/>
      <c r="Y70" s="729"/>
      <c r="Z70" s="729"/>
    </row>
    <row r="71" spans="1:26">
      <c r="A71" s="729"/>
      <c r="B71" s="727">
        <v>50</v>
      </c>
      <c r="C71" s="728">
        <f t="shared" ref="C71:C76" si="2">$C$64*B71/30</f>
        <v>1133.15092</v>
      </c>
      <c r="D71" s="714">
        <f t="shared" ref="D71:D76" si="3">$C$65-C71</f>
        <v>555.30699499999992</v>
      </c>
      <c r="E71" s="714">
        <f t="shared" ref="E71:E76" si="4">$C$67+D71</f>
        <v>729.57392099999993</v>
      </c>
      <c r="F71" s="674" t="str">
        <f t="shared" ref="F71:F76" si="5">IF(E71&gt;=$C$68,"OK","Bajo mínimo")</f>
        <v>OK</v>
      </c>
      <c r="G71" s="674"/>
      <c r="H71" s="674"/>
      <c r="I71" s="674"/>
      <c r="J71" s="674"/>
      <c r="K71" s="674"/>
      <c r="L71" s="729"/>
      <c r="M71" s="729"/>
      <c r="N71" s="729"/>
      <c r="O71" s="729"/>
      <c r="P71" s="729"/>
      <c r="Q71" s="729"/>
      <c r="R71" s="729"/>
      <c r="S71" s="729"/>
      <c r="T71" s="729"/>
      <c r="U71" s="729"/>
      <c r="V71" s="729"/>
      <c r="W71" s="729"/>
      <c r="X71" s="729"/>
      <c r="Y71" s="729"/>
      <c r="Z71" s="729"/>
    </row>
    <row r="72" spans="1:26">
      <c r="A72" s="729"/>
      <c r="B72" s="727">
        <v>60</v>
      </c>
      <c r="C72" s="728">
        <f t="shared" si="2"/>
        <v>1359.7811039999999</v>
      </c>
      <c r="D72" s="714">
        <f t="shared" si="3"/>
        <v>328.67681100000004</v>
      </c>
      <c r="E72" s="714">
        <f t="shared" si="4"/>
        <v>502.94373700000006</v>
      </c>
      <c r="F72" s="674" t="str">
        <f t="shared" si="5"/>
        <v>OK</v>
      </c>
      <c r="G72" s="678" t="s">
        <v>1012</v>
      </c>
      <c r="H72" s="674" t="s">
        <v>1013</v>
      </c>
      <c r="I72" s="674"/>
      <c r="J72" s="674"/>
      <c r="K72" s="674"/>
      <c r="L72" s="729"/>
      <c r="M72" s="729"/>
      <c r="N72" s="729"/>
      <c r="O72" s="729"/>
      <c r="P72" s="729"/>
      <c r="Q72" s="729"/>
      <c r="R72" s="729"/>
      <c r="S72" s="729"/>
      <c r="T72" s="729"/>
      <c r="U72" s="729"/>
      <c r="V72" s="729"/>
      <c r="W72" s="729"/>
      <c r="X72" s="729"/>
      <c r="Y72" s="729"/>
      <c r="Z72" s="729"/>
    </row>
    <row r="73" spans="1:26">
      <c r="A73" s="729"/>
      <c r="B73" s="311">
        <f>$C$66</f>
        <v>74.502781809505123</v>
      </c>
      <c r="C73" s="728">
        <f t="shared" si="2"/>
        <v>1688.4579149999997</v>
      </c>
      <c r="D73" s="714">
        <f t="shared" si="3"/>
        <v>0</v>
      </c>
      <c r="E73" s="714">
        <f t="shared" si="4"/>
        <v>174.26692600000001</v>
      </c>
      <c r="F73" s="674" t="str">
        <f t="shared" si="5"/>
        <v>Bajo mínimo</v>
      </c>
      <c r="G73" s="674"/>
      <c r="H73" s="674"/>
      <c r="I73" s="674"/>
      <c r="J73" s="674"/>
      <c r="K73" s="674"/>
      <c r="L73" s="729"/>
      <c r="M73" s="729"/>
      <c r="N73" s="729"/>
      <c r="O73" s="729"/>
      <c r="P73" s="729"/>
      <c r="Q73" s="729"/>
      <c r="R73" s="729"/>
      <c r="S73" s="729"/>
      <c r="T73" s="729"/>
      <c r="U73" s="729"/>
      <c r="V73" s="729"/>
      <c r="W73" s="729"/>
      <c r="X73" s="729"/>
      <c r="Y73" s="729"/>
      <c r="Z73" s="729"/>
    </row>
    <row r="74" spans="1:26">
      <c r="A74" s="729"/>
      <c r="B74" s="727">
        <v>80</v>
      </c>
      <c r="C74" s="728">
        <f t="shared" si="2"/>
        <v>1813.0414719999999</v>
      </c>
      <c r="D74" s="714">
        <f t="shared" si="3"/>
        <v>-124.58355699999993</v>
      </c>
      <c r="E74" s="714">
        <f t="shared" si="4"/>
        <v>49.683369000000084</v>
      </c>
      <c r="F74" s="674" t="str">
        <f t="shared" si="5"/>
        <v>Bajo mínimo</v>
      </c>
      <c r="G74" s="674"/>
      <c r="H74" s="674"/>
      <c r="I74" s="674"/>
      <c r="J74" s="674"/>
      <c r="K74" s="674"/>
      <c r="L74" s="729"/>
      <c r="M74" s="729"/>
      <c r="N74" s="729"/>
      <c r="O74" s="729"/>
      <c r="P74" s="729"/>
      <c r="Q74" s="729"/>
      <c r="R74" s="729"/>
      <c r="S74" s="729"/>
      <c r="T74" s="729"/>
      <c r="U74" s="729"/>
      <c r="V74" s="729"/>
      <c r="W74" s="729"/>
      <c r="X74" s="729"/>
      <c r="Y74" s="729"/>
      <c r="Z74" s="729"/>
    </row>
    <row r="75" spans="1:26">
      <c r="A75" s="729"/>
      <c r="B75" s="727">
        <v>90</v>
      </c>
      <c r="C75" s="728">
        <f t="shared" si="2"/>
        <v>2039.6716559999998</v>
      </c>
      <c r="D75" s="714">
        <f t="shared" si="3"/>
        <v>-351.2137409999998</v>
      </c>
      <c r="E75" s="714">
        <f t="shared" si="4"/>
        <v>-176.94681499999979</v>
      </c>
      <c r="F75" s="674" t="str">
        <f t="shared" si="5"/>
        <v>Bajo mínimo</v>
      </c>
      <c r="G75" s="674"/>
      <c r="H75" s="674"/>
      <c r="I75" s="674"/>
      <c r="J75" s="674"/>
      <c r="K75" s="674"/>
      <c r="L75" s="729"/>
      <c r="M75" s="729"/>
      <c r="N75" s="729"/>
      <c r="O75" s="729"/>
      <c r="P75" s="729"/>
      <c r="Q75" s="729"/>
      <c r="R75" s="729"/>
      <c r="S75" s="729"/>
      <c r="T75" s="729"/>
      <c r="U75" s="729"/>
      <c r="V75" s="729"/>
      <c r="W75" s="729"/>
      <c r="X75" s="729"/>
      <c r="Y75" s="729"/>
      <c r="Z75" s="729"/>
    </row>
    <row r="76" spans="1:26">
      <c r="A76" s="729"/>
      <c r="B76" s="727">
        <v>100</v>
      </c>
      <c r="C76" s="728">
        <f t="shared" si="2"/>
        <v>2266.3018400000001</v>
      </c>
      <c r="D76" s="714">
        <f t="shared" si="3"/>
        <v>-577.84392500000013</v>
      </c>
      <c r="E76" s="714">
        <f t="shared" si="4"/>
        <v>-403.57699900000011</v>
      </c>
      <c r="F76" s="674" t="str">
        <f t="shared" si="5"/>
        <v>Bajo mínimo</v>
      </c>
      <c r="G76" s="674"/>
      <c r="H76" s="674"/>
      <c r="I76" s="674"/>
      <c r="J76" s="674"/>
      <c r="K76" s="674"/>
      <c r="L76" s="729"/>
      <c r="M76" s="729"/>
      <c r="N76" s="729"/>
      <c r="O76" s="729"/>
      <c r="P76" s="729"/>
      <c r="Q76" s="729"/>
      <c r="R76" s="729"/>
      <c r="S76" s="729"/>
      <c r="T76" s="729"/>
      <c r="U76" s="729"/>
      <c r="V76" s="729"/>
      <c r="W76" s="729"/>
      <c r="X76" s="729"/>
      <c r="Y76" s="729"/>
      <c r="Z76" s="729"/>
    </row>
    <row r="77" spans="1:26">
      <c r="A77" s="729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729"/>
      <c r="M77" s="729"/>
      <c r="N77" s="729"/>
      <c r="O77" s="729"/>
      <c r="P77" s="729"/>
      <c r="Q77" s="729"/>
      <c r="R77" s="729"/>
      <c r="S77" s="729"/>
      <c r="T77" s="729"/>
      <c r="U77" s="729"/>
      <c r="V77" s="729"/>
      <c r="W77" s="729"/>
      <c r="X77" s="729"/>
      <c r="Y77" s="729"/>
      <c r="Z77" s="729"/>
    </row>
    <row r="78" spans="1:26">
      <c r="A78" s="729"/>
      <c r="B78" s="464" t="s">
        <v>904</v>
      </c>
      <c r="C78" s="464"/>
      <c r="D78" s="464"/>
      <c r="E78" s="464"/>
      <c r="F78" s="464"/>
      <c r="G78" s="464"/>
      <c r="H78" s="464"/>
      <c r="I78" s="464"/>
      <c r="J78" s="464"/>
      <c r="K78" s="464"/>
      <c r="L78" s="729"/>
      <c r="M78" s="729"/>
      <c r="N78" s="729"/>
      <c r="O78" s="729"/>
      <c r="P78" s="729"/>
      <c r="Q78" s="729"/>
      <c r="R78" s="729"/>
      <c r="S78" s="729"/>
      <c r="T78" s="729"/>
      <c r="U78" s="729"/>
      <c r="V78" s="729"/>
      <c r="W78" s="729"/>
      <c r="X78" s="729"/>
      <c r="Y78" s="729"/>
      <c r="Z78" s="729"/>
    </row>
    <row r="79" spans="1:26">
      <c r="A79" s="729"/>
      <c r="B79" s="682" t="s">
        <v>1169</v>
      </c>
      <c r="C79" s="682"/>
      <c r="D79" s="682"/>
      <c r="E79" s="682"/>
      <c r="F79" s="682"/>
      <c r="G79" s="682"/>
      <c r="H79" s="682"/>
      <c r="I79" s="682"/>
      <c r="J79" s="682"/>
      <c r="K79" s="682"/>
      <c r="L79" s="729"/>
      <c r="M79" s="729"/>
      <c r="N79" s="729"/>
      <c r="O79" s="729"/>
      <c r="P79" s="729"/>
      <c r="Q79" s="729"/>
      <c r="R79" s="729"/>
      <c r="S79" s="729"/>
      <c r="T79" s="729"/>
      <c r="U79" s="729"/>
      <c r="V79" s="729"/>
      <c r="W79" s="729"/>
      <c r="X79" s="729"/>
      <c r="Y79" s="729"/>
      <c r="Z79" s="729"/>
    </row>
    <row r="80" spans="1:26">
      <c r="A80" s="729"/>
      <c r="B80" s="674" t="s">
        <v>905</v>
      </c>
      <c r="C80" s="726">
        <f>Inputs!J97/1000000</f>
        <v>3529.6970449999999</v>
      </c>
      <c r="D80" s="674"/>
      <c r="E80" s="674"/>
      <c r="F80" s="674"/>
      <c r="G80" s="674"/>
      <c r="H80" s="674"/>
      <c r="I80" s="674"/>
      <c r="J80" s="674"/>
      <c r="K80" s="674"/>
      <c r="L80" s="729"/>
      <c r="M80" s="729"/>
      <c r="N80" s="729"/>
      <c r="O80" s="729"/>
      <c r="P80" s="729"/>
      <c r="Q80" s="729"/>
      <c r="R80" s="729"/>
      <c r="S80" s="729"/>
      <c r="T80" s="729"/>
      <c r="U80" s="729"/>
      <c r="V80" s="729"/>
      <c r="W80" s="729"/>
      <c r="X80" s="729"/>
      <c r="Y80" s="729"/>
      <c r="Z80" s="729"/>
    </row>
    <row r="81" spans="1:26" ht="30" customHeight="1">
      <c r="A81" s="729"/>
      <c r="B81" s="467" t="s">
        <v>906</v>
      </c>
      <c r="C81" s="461" t="s">
        <v>901</v>
      </c>
      <c r="D81" s="461" t="s">
        <v>902</v>
      </c>
      <c r="E81" s="461" t="s">
        <v>903</v>
      </c>
      <c r="F81" s="461"/>
      <c r="G81" s="461"/>
      <c r="H81" s="461"/>
      <c r="I81" s="461"/>
      <c r="J81" s="461"/>
      <c r="K81" s="461"/>
      <c r="L81" s="729"/>
      <c r="M81" s="729"/>
      <c r="N81" s="729"/>
      <c r="O81" s="729"/>
      <c r="P81" s="729"/>
      <c r="Q81" s="729"/>
      <c r="R81" s="729"/>
      <c r="S81" s="729"/>
      <c r="T81" s="729"/>
      <c r="U81" s="729"/>
      <c r="V81" s="729"/>
      <c r="W81" s="729"/>
      <c r="X81" s="729"/>
      <c r="Y81" s="729"/>
      <c r="Z81" s="729"/>
    </row>
    <row r="82" spans="1:26">
      <c r="A82" s="729"/>
      <c r="B82" s="379">
        <v>0.1</v>
      </c>
      <c r="C82" s="728">
        <f>$C$80*B82</f>
        <v>352.96970450000003</v>
      </c>
      <c r="D82" s="714">
        <f>$C$67+C82</f>
        <v>527.23663050000005</v>
      </c>
      <c r="E82" s="674" t="str">
        <f>IF(D82&gt;=$C$68,"OK","Bajo mínimo")</f>
        <v>OK</v>
      </c>
      <c r="F82" s="674"/>
      <c r="G82" s="674"/>
      <c r="H82" s="674"/>
      <c r="I82" s="674"/>
      <c r="J82" s="674"/>
      <c r="K82" s="674"/>
      <c r="L82" s="729"/>
      <c r="M82" s="729"/>
      <c r="N82" s="729"/>
      <c r="O82" s="729"/>
      <c r="P82" s="729"/>
      <c r="Q82" s="729"/>
      <c r="R82" s="729"/>
      <c r="S82" s="729"/>
      <c r="T82" s="729"/>
      <c r="U82" s="729"/>
      <c r="V82" s="729"/>
      <c r="W82" s="729"/>
      <c r="X82" s="729"/>
      <c r="Y82" s="729"/>
      <c r="Z82" s="729"/>
    </row>
    <row r="83" spans="1:26">
      <c r="A83" s="729"/>
      <c r="B83" s="379">
        <v>0.25</v>
      </c>
      <c r="C83" s="728">
        <f>$C$80*B83</f>
        <v>882.42426124999997</v>
      </c>
      <c r="D83" s="714">
        <f>$C$67+C83</f>
        <v>1056.69118725</v>
      </c>
      <c r="E83" s="674" t="str">
        <f>IF(D83&gt;=$C$68,"OK","Bajo mínimo")</f>
        <v>OK</v>
      </c>
      <c r="F83" s="674"/>
      <c r="G83" s="674"/>
      <c r="H83" s="674"/>
      <c r="I83" s="674"/>
      <c r="J83" s="674"/>
      <c r="K83" s="674"/>
      <c r="L83" s="729"/>
      <c r="M83" s="729"/>
      <c r="N83" s="729"/>
      <c r="O83" s="729"/>
      <c r="P83" s="729"/>
      <c r="Q83" s="729"/>
      <c r="R83" s="729"/>
      <c r="S83" s="729"/>
      <c r="T83" s="729"/>
      <c r="U83" s="729"/>
      <c r="V83" s="729"/>
      <c r="W83" s="729"/>
      <c r="X83" s="729"/>
      <c r="Y83" s="729"/>
      <c r="Z83" s="729"/>
    </row>
    <row r="84" spans="1:26">
      <c r="A84" s="729"/>
      <c r="B84" s="379">
        <v>0.5</v>
      </c>
      <c r="C84" s="728">
        <f>$C$80*B84</f>
        <v>1764.8485224999999</v>
      </c>
      <c r="D84" s="714">
        <f>$C$67+C84</f>
        <v>1939.1154485</v>
      </c>
      <c r="E84" s="674" t="str">
        <f>IF(D84&gt;=$C$68,"OK","Bajo mínimo")</f>
        <v>OK</v>
      </c>
      <c r="F84" s="674"/>
      <c r="G84" s="674"/>
      <c r="H84" s="674"/>
      <c r="I84" s="674"/>
      <c r="J84" s="674"/>
      <c r="K84" s="674"/>
      <c r="L84" s="729"/>
      <c r="M84" s="729"/>
      <c r="N84" s="729"/>
      <c r="O84" s="729"/>
      <c r="P84" s="729"/>
      <c r="Q84" s="729"/>
      <c r="R84" s="729"/>
      <c r="S84" s="729"/>
      <c r="T84" s="729"/>
      <c r="U84" s="729"/>
      <c r="V84" s="729"/>
      <c r="W84" s="729"/>
      <c r="X84" s="729"/>
      <c r="Y84" s="729"/>
      <c r="Z84" s="729"/>
    </row>
    <row r="85" spans="1:26">
      <c r="A85" s="729"/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729"/>
      <c r="M85" s="729"/>
      <c r="N85" s="729"/>
      <c r="O85" s="729"/>
      <c r="P85" s="729"/>
      <c r="Q85" s="729"/>
      <c r="R85" s="729"/>
      <c r="S85" s="729"/>
      <c r="T85" s="729"/>
      <c r="U85" s="729"/>
      <c r="V85" s="729"/>
      <c r="W85" s="729"/>
      <c r="X85" s="729"/>
      <c r="Y85" s="729"/>
      <c r="Z85" s="729"/>
    </row>
    <row r="86" spans="1:26" ht="15" thickBot="1">
      <c r="A86" s="729"/>
      <c r="B86" s="468" t="s">
        <v>1015</v>
      </c>
      <c r="C86" s="468"/>
      <c r="D86" s="468"/>
      <c r="E86" s="468"/>
      <c r="F86" s="468"/>
      <c r="G86" s="468"/>
      <c r="H86" s="464"/>
      <c r="I86" s="464"/>
      <c r="J86" s="464"/>
      <c r="K86" s="464"/>
      <c r="L86" s="729"/>
      <c r="M86" s="729"/>
      <c r="N86" s="729"/>
      <c r="O86" s="729"/>
      <c r="P86" s="729"/>
      <c r="Q86" s="729"/>
      <c r="R86" s="729"/>
      <c r="S86" s="729"/>
      <c r="T86" s="729"/>
      <c r="U86" s="729"/>
      <c r="V86" s="729"/>
      <c r="W86" s="729"/>
      <c r="X86" s="729"/>
      <c r="Y86" s="729"/>
      <c r="Z86" s="729"/>
    </row>
    <row r="87" spans="1:26" ht="15" thickTop="1">
      <c r="A87" s="729"/>
      <c r="B87" s="682" t="s">
        <v>1171</v>
      </c>
      <c r="C87" s="682"/>
      <c r="D87" s="682"/>
      <c r="E87" s="682"/>
      <c r="F87" s="682"/>
      <c r="G87" s="682"/>
      <c r="H87" s="682"/>
      <c r="I87" s="682"/>
      <c r="J87" s="682"/>
      <c r="K87" s="682"/>
      <c r="L87" s="729"/>
      <c r="M87" s="729"/>
      <c r="N87" s="729"/>
      <c r="O87" s="729"/>
      <c r="P87" s="729"/>
      <c r="Q87" s="729"/>
      <c r="R87" s="729"/>
      <c r="S87" s="729"/>
      <c r="T87" s="729"/>
      <c r="U87" s="729"/>
      <c r="V87" s="729"/>
      <c r="W87" s="729"/>
      <c r="X87" s="729"/>
      <c r="Y87" s="729"/>
      <c r="Z87" s="729"/>
    </row>
    <row r="88" spans="1:26">
      <c r="A88" s="729"/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729"/>
      <c r="M88" s="729"/>
      <c r="N88" s="729"/>
      <c r="O88" s="729"/>
      <c r="P88" s="729"/>
      <c r="Q88" s="729"/>
      <c r="R88" s="729"/>
      <c r="S88" s="729"/>
      <c r="T88" s="729"/>
      <c r="U88" s="729"/>
      <c r="V88" s="729"/>
      <c r="W88" s="729"/>
      <c r="X88" s="729"/>
      <c r="Y88" s="729"/>
      <c r="Z88" s="729"/>
    </row>
    <row r="89" spans="1:26">
      <c r="A89" s="729"/>
      <c r="B89" s="139" t="s">
        <v>676</v>
      </c>
      <c r="C89" s="139" t="s">
        <v>34</v>
      </c>
      <c r="D89" s="139" t="s">
        <v>736</v>
      </c>
      <c r="E89" s="139" t="s">
        <v>913</v>
      </c>
      <c r="F89" s="139"/>
      <c r="G89" s="139"/>
      <c r="H89" s="674"/>
      <c r="I89" s="674"/>
      <c r="J89" s="674"/>
      <c r="K89" s="674"/>
      <c r="L89" s="729"/>
      <c r="M89" s="729"/>
      <c r="N89" s="729"/>
      <c r="O89" s="729"/>
      <c r="P89" s="729"/>
      <c r="Q89" s="729"/>
      <c r="R89" s="729"/>
      <c r="S89" s="729"/>
      <c r="T89" s="729"/>
      <c r="U89" s="729"/>
      <c r="V89" s="729"/>
      <c r="W89" s="729"/>
      <c r="X89" s="729"/>
      <c r="Y89" s="729"/>
      <c r="Z89" s="729"/>
    </row>
    <row r="90" spans="1:26">
      <c r="A90" s="729"/>
      <c r="B90" s="674" t="s">
        <v>914</v>
      </c>
      <c r="C90" s="312">
        <f>Inputs!J93/1000000</f>
        <v>174.26692600000001</v>
      </c>
      <c r="D90" s="674" t="s">
        <v>673</v>
      </c>
      <c r="E90" s="674" t="s">
        <v>1177</v>
      </c>
      <c r="F90" s="674"/>
      <c r="G90" s="674"/>
      <c r="H90" s="674"/>
      <c r="I90" s="674"/>
      <c r="J90" s="674"/>
      <c r="K90" s="674"/>
      <c r="L90" s="729"/>
      <c r="M90" s="729"/>
      <c r="N90" s="729"/>
      <c r="O90" s="729"/>
      <c r="P90" s="729"/>
      <c r="Q90" s="729"/>
      <c r="R90" s="729"/>
      <c r="S90" s="729"/>
      <c r="T90" s="729"/>
      <c r="U90" s="729"/>
      <c r="V90" s="729"/>
      <c r="W90" s="729"/>
      <c r="X90" s="729"/>
      <c r="Y90" s="729"/>
      <c r="Z90" s="729"/>
    </row>
    <row r="91" spans="1:26">
      <c r="A91" s="729"/>
      <c r="B91" s="674" t="s">
        <v>912</v>
      </c>
      <c r="C91" s="313">
        <v>365.31599999999997</v>
      </c>
      <c r="D91" s="674" t="s">
        <v>816</v>
      </c>
      <c r="E91" s="674" t="s">
        <v>919</v>
      </c>
      <c r="F91" s="674"/>
      <c r="G91" s="674"/>
      <c r="H91" s="674"/>
      <c r="I91" s="674"/>
      <c r="J91" s="674"/>
      <c r="K91" s="674"/>
      <c r="L91" s="729"/>
      <c r="M91" s="729"/>
      <c r="N91" s="729"/>
      <c r="O91" s="729"/>
      <c r="P91" s="729"/>
      <c r="Q91" s="729"/>
      <c r="R91" s="729"/>
      <c r="S91" s="729"/>
      <c r="T91" s="729"/>
      <c r="U91" s="729"/>
      <c r="V91" s="729"/>
      <c r="W91" s="729"/>
      <c r="X91" s="729"/>
      <c r="Y91" s="729"/>
      <c r="Z91" s="729"/>
    </row>
    <row r="92" spans="1:26" ht="15" thickBot="1">
      <c r="A92" s="729"/>
      <c r="B92" s="674" t="s">
        <v>920</v>
      </c>
      <c r="C92" s="314">
        <v>3248.87</v>
      </c>
      <c r="D92" s="674" t="s">
        <v>921</v>
      </c>
      <c r="E92" s="674" t="s">
        <v>922</v>
      </c>
      <c r="F92" s="674"/>
      <c r="G92" s="674"/>
      <c r="H92" s="674"/>
      <c r="I92" s="674"/>
      <c r="J92" s="674"/>
      <c r="K92" s="674"/>
      <c r="L92" s="729"/>
      <c r="M92" s="729"/>
      <c r="N92" s="729"/>
      <c r="O92" s="729"/>
      <c r="P92" s="729"/>
      <c r="Q92" s="729"/>
      <c r="R92" s="729"/>
      <c r="S92" s="729"/>
      <c r="T92" s="729"/>
      <c r="U92" s="729"/>
      <c r="V92" s="729"/>
      <c r="W92" s="729"/>
      <c r="X92" s="729"/>
      <c r="Y92" s="729"/>
      <c r="Z92" s="729"/>
    </row>
    <row r="93" spans="1:26" ht="15" thickBot="1">
      <c r="A93" s="729"/>
      <c r="B93" s="141" t="s">
        <v>915</v>
      </c>
      <c r="C93" s="21">
        <f>C91*C92/1000</f>
        <v>1186.8641929199998</v>
      </c>
      <c r="D93" s="141" t="s">
        <v>673</v>
      </c>
      <c r="E93" s="141" t="s">
        <v>916</v>
      </c>
      <c r="F93" s="141"/>
      <c r="G93" s="141"/>
      <c r="H93" s="674"/>
      <c r="I93" s="674"/>
      <c r="J93" s="674"/>
      <c r="K93" s="674"/>
      <c r="L93" s="729"/>
      <c r="M93" s="729"/>
      <c r="N93" s="729"/>
      <c r="O93" s="729"/>
      <c r="P93" s="729"/>
      <c r="Q93" s="729"/>
      <c r="R93" s="729"/>
      <c r="S93" s="729"/>
      <c r="T93" s="729"/>
      <c r="U93" s="729"/>
      <c r="V93" s="729"/>
      <c r="W93" s="729"/>
      <c r="X93" s="729"/>
      <c r="Y93" s="729"/>
      <c r="Z93" s="729"/>
    </row>
    <row r="94" spans="1:26" ht="15" thickBot="1">
      <c r="A94" s="729"/>
      <c r="B94" s="142" t="s">
        <v>1016</v>
      </c>
      <c r="C94" s="22">
        <f>SUM(C90,C93)</f>
        <v>1361.1311189199998</v>
      </c>
      <c r="D94" s="142" t="s">
        <v>673</v>
      </c>
      <c r="E94" s="142" t="str">
        <f>"Liquidez consolidada disponible de COP "&amp;TEXT(C94,"#,##0.0")&amp;"MM; equivale a USD "&amp;TEXT(C94*1000/C92,"#,##0.0")&amp;"k."</f>
        <v>Liquidez consolidada disponible de COP 1,361.1MM; equivale a USD 419.0k.</v>
      </c>
      <c r="F94" s="142"/>
      <c r="G94" s="142"/>
      <c r="H94" s="674"/>
      <c r="I94" s="674"/>
      <c r="J94" s="674"/>
      <c r="K94" s="674"/>
      <c r="L94" s="729"/>
      <c r="M94" s="729"/>
      <c r="N94" s="729"/>
      <c r="O94" s="729"/>
      <c r="P94" s="729"/>
      <c r="Q94" s="729"/>
      <c r="R94" s="729"/>
      <c r="S94" s="729"/>
      <c r="T94" s="729"/>
      <c r="U94" s="729"/>
      <c r="V94" s="729"/>
      <c r="W94" s="729"/>
      <c r="X94" s="729"/>
      <c r="Y94" s="729"/>
      <c r="Z94" s="729"/>
    </row>
    <row r="95" spans="1:26">
      <c r="A95" s="729"/>
      <c r="B95" s="674" t="s">
        <v>1172</v>
      </c>
      <c r="C95" s="20">
        <f>MAX(0,-I27)</f>
        <v>0</v>
      </c>
      <c r="D95" s="674" t="s">
        <v>673</v>
      </c>
      <c r="E95" s="674" t="s">
        <v>1178</v>
      </c>
      <c r="F95" s="674"/>
      <c r="G95" s="674"/>
      <c r="H95" s="674"/>
      <c r="I95" s="674"/>
      <c r="J95" s="674"/>
      <c r="K95" s="674"/>
      <c r="L95" s="729"/>
      <c r="M95" s="729"/>
      <c r="N95" s="729"/>
      <c r="O95" s="729"/>
      <c r="P95" s="729"/>
      <c r="Q95" s="729"/>
      <c r="R95" s="729"/>
      <c r="S95" s="729"/>
      <c r="T95" s="729"/>
      <c r="U95" s="729"/>
      <c r="V95" s="729"/>
      <c r="W95" s="729"/>
      <c r="X95" s="729"/>
      <c r="Y95" s="729"/>
      <c r="Z95" s="729"/>
    </row>
    <row r="96" spans="1:26">
      <c r="A96" s="729"/>
      <c r="B96" s="674" t="s">
        <v>1173</v>
      </c>
      <c r="C96" s="20">
        <f>G27</f>
        <v>0</v>
      </c>
      <c r="D96" s="674" t="s">
        <v>809</v>
      </c>
      <c r="E96" s="674" t="s">
        <v>1179</v>
      </c>
      <c r="F96" s="674"/>
      <c r="G96" s="674"/>
      <c r="H96" s="674"/>
      <c r="I96" s="674"/>
      <c r="J96" s="674"/>
      <c r="K96" s="674"/>
      <c r="L96" s="729"/>
      <c r="M96" s="729"/>
      <c r="N96" s="729"/>
      <c r="O96" s="729"/>
      <c r="P96" s="729"/>
      <c r="Q96" s="729"/>
      <c r="R96" s="729"/>
      <c r="S96" s="729"/>
      <c r="T96" s="729"/>
      <c r="U96" s="729"/>
      <c r="V96" s="729"/>
      <c r="W96" s="729"/>
      <c r="X96" s="729"/>
      <c r="Y96" s="729"/>
      <c r="Z96" s="729"/>
    </row>
    <row r="97" spans="1:26">
      <c r="A97" s="729"/>
      <c r="B97" s="674" t="s">
        <v>1174</v>
      </c>
      <c r="C97" s="23" t="str">
        <f>IF(C96&lt;=0,"N/A",C94/C96)</f>
        <v>N/A</v>
      </c>
      <c r="D97" s="674" t="s">
        <v>364</v>
      </c>
      <c r="E97" s="674" t="s">
        <v>1180</v>
      </c>
      <c r="F97" s="674"/>
      <c r="G97" s="674"/>
      <c r="H97" s="674"/>
      <c r="I97" s="674"/>
      <c r="J97" s="674"/>
      <c r="K97" s="674"/>
      <c r="L97" s="729"/>
      <c r="M97" s="729"/>
      <c r="N97" s="729"/>
      <c r="O97" s="729"/>
      <c r="P97" s="729"/>
      <c r="Q97" s="729"/>
      <c r="R97" s="729"/>
      <c r="S97" s="729"/>
      <c r="T97" s="729"/>
      <c r="U97" s="729"/>
      <c r="V97" s="729"/>
      <c r="W97" s="729"/>
      <c r="X97" s="729"/>
      <c r="Y97" s="729"/>
      <c r="Z97" s="729"/>
    </row>
    <row r="98" spans="1:26">
      <c r="A98" s="729"/>
      <c r="B98" s="674" t="s">
        <v>1175</v>
      </c>
      <c r="C98" s="143">
        <f>IF(AVERAGE(G25:G27)&lt;=0,"N/A",C94/AVERAGE(G25:G27))</f>
        <v>10.38068376103646</v>
      </c>
      <c r="D98" s="674" t="s">
        <v>364</v>
      </c>
      <c r="E98" s="674" t="s">
        <v>1181</v>
      </c>
      <c r="F98" s="674"/>
      <c r="G98" s="674"/>
      <c r="H98" s="674"/>
      <c r="I98" s="674"/>
      <c r="J98" s="674"/>
      <c r="K98" s="674"/>
      <c r="L98" s="729"/>
      <c r="M98" s="729"/>
      <c r="N98" s="729"/>
      <c r="O98" s="729"/>
      <c r="P98" s="729"/>
      <c r="Q98" s="729"/>
      <c r="R98" s="729"/>
      <c r="S98" s="729"/>
      <c r="T98" s="729"/>
      <c r="U98" s="729"/>
      <c r="V98" s="729"/>
      <c r="W98" s="729"/>
      <c r="X98" s="729"/>
      <c r="Y98" s="729"/>
      <c r="Z98" s="729"/>
    </row>
    <row r="99" spans="1:26" ht="15" thickBot="1">
      <c r="A99" s="729"/>
      <c r="B99" s="674" t="s">
        <v>1176</v>
      </c>
      <c r="C99" s="143">
        <f>IF(AVERAGE(G21:G27)&lt;=0,"N/A",C94/AVERAGE(G21:G27))</f>
        <v>2.414652186593496</v>
      </c>
      <c r="D99" s="674" t="s">
        <v>364</v>
      </c>
      <c r="E99" s="674" t="s">
        <v>917</v>
      </c>
      <c r="F99" s="674"/>
      <c r="G99" s="674"/>
      <c r="H99" s="674"/>
      <c r="I99" s="674"/>
      <c r="J99" s="674"/>
      <c r="K99" s="674"/>
      <c r="L99" s="729"/>
      <c r="M99" s="729"/>
      <c r="N99" s="729"/>
      <c r="O99" s="729"/>
      <c r="P99" s="729"/>
      <c r="Q99" s="729"/>
      <c r="R99" s="729"/>
      <c r="S99" s="729"/>
      <c r="T99" s="729"/>
      <c r="U99" s="729"/>
      <c r="V99" s="729"/>
      <c r="W99" s="729"/>
      <c r="X99" s="729"/>
      <c r="Y99" s="729"/>
      <c r="Z99" s="729"/>
    </row>
    <row r="100" spans="1:26" ht="15" thickBot="1">
      <c r="A100" s="729"/>
      <c r="B100" s="144" t="s">
        <v>918</v>
      </c>
      <c r="C100" s="663" t="str">
        <f>"La compañía cuenta con COP "&amp;TEXT(C94,"#,##0.0")&amp;"MM de caja total consolidada. "&amp;IF(C96&lt;=0,"En julio no hubo quema de caja: el saldo aumentó COP "&amp;TEXT(I27,"#,##0.0")&amp;"MM, por lo que el runway al ritmo del mes no aplica. ","Al ritmo consolidado de julio la cobertura es de "&amp;TEXT(C97,"0.0")&amp;" meses. ")&amp;"Con el burn promedio May-Jul el runway es de "&amp;TEXT(C98,"0.0")&amp;" meses y con el promedio Ene-Jul de "&amp;TEXT(C99,"0.0")&amp;" meses."</f>
        <v>La compañía cuenta con COP 1,361.1MM de caja total consolidada. En julio no hubo quema de caja: el saldo aumentó COP 58.8MM, por lo que el runway al ritmo del mes no aplica. Con el burn promedio May-Jul el runway es de 10.4 meses y con el promedio Ene-Jul de 2.4 meses.</v>
      </c>
      <c r="D100" s="663"/>
      <c r="E100" s="663"/>
      <c r="F100" s="144"/>
      <c r="G100" s="144"/>
      <c r="H100" s="674"/>
      <c r="I100" s="674"/>
      <c r="J100" s="674"/>
      <c r="K100" s="674"/>
      <c r="L100" s="729"/>
      <c r="M100" s="729"/>
      <c r="N100" s="729"/>
      <c r="O100" s="729"/>
      <c r="P100" s="729"/>
      <c r="Q100" s="729"/>
      <c r="R100" s="729"/>
      <c r="S100" s="729"/>
      <c r="T100" s="729"/>
      <c r="U100" s="729"/>
      <c r="V100" s="729"/>
      <c r="W100" s="729"/>
      <c r="X100" s="729"/>
      <c r="Y100" s="729"/>
      <c r="Z100" s="729"/>
    </row>
    <row r="101" spans="1:26">
      <c r="A101" s="729"/>
      <c r="B101" s="674" t="s">
        <v>1017</v>
      </c>
      <c r="C101" s="677">
        <f>C95-C96</f>
        <v>0</v>
      </c>
      <c r="D101" s="674" t="s">
        <v>673</v>
      </c>
      <c r="E101" s="674" t="s">
        <v>1018</v>
      </c>
      <c r="F101" s="674"/>
      <c r="G101" s="674"/>
      <c r="H101" s="674"/>
      <c r="I101" s="674"/>
      <c r="J101" s="674"/>
      <c r="K101" s="674"/>
      <c r="L101" s="729"/>
      <c r="M101" s="729"/>
      <c r="N101" s="729"/>
      <c r="O101" s="729"/>
      <c r="P101" s="729"/>
      <c r="Q101" s="729"/>
      <c r="R101" s="729"/>
      <c r="S101" s="729"/>
      <c r="T101" s="729"/>
      <c r="U101" s="729"/>
      <c r="V101" s="729"/>
      <c r="W101" s="729"/>
      <c r="X101" s="729"/>
      <c r="Y101" s="729"/>
      <c r="Z101" s="729"/>
    </row>
    <row r="102" spans="1:26" ht="15" thickBot="1">
      <c r="A102" s="729"/>
      <c r="B102" s="468" t="s">
        <v>1183</v>
      </c>
      <c r="C102" s="468"/>
      <c r="D102" s="468"/>
      <c r="E102" s="468"/>
      <c r="F102" s="468"/>
      <c r="G102" s="468"/>
      <c r="H102" s="464"/>
      <c r="I102" s="464"/>
      <c r="J102" s="464"/>
      <c r="K102" s="464"/>
      <c r="L102" s="729"/>
      <c r="M102" s="729"/>
      <c r="N102" s="729"/>
      <c r="O102" s="729"/>
      <c r="P102" s="729"/>
      <c r="Q102" s="729"/>
      <c r="R102" s="729"/>
      <c r="S102" s="729"/>
      <c r="T102" s="729"/>
      <c r="U102" s="729"/>
      <c r="V102" s="729"/>
      <c r="W102" s="729"/>
      <c r="X102" s="729"/>
      <c r="Y102" s="729"/>
      <c r="Z102" s="729"/>
    </row>
    <row r="103" spans="1:26" ht="15" thickTop="1">
      <c r="A103" s="729"/>
      <c r="B103" s="682" t="str">
        <f>"El presupuesto anual del modelo suma USD "&amp;TEXT(SUM('Modelo Base'!F281:Q281)/1000000,"0.00")&amp;"MM (aprox. USD 3.9MM). La proyección parte de la caja total consolidada de COP "&amp;TEXT($C$94,"#,##0.0")&amp;"MM."</f>
        <v>El presupuesto anual del modelo suma USD 3.78MM (aprox. USD 3.9MM). La proyección parte de la caja total consolidada de COP 1,361.1MM.</v>
      </c>
      <c r="C103" s="682"/>
      <c r="D103" s="682"/>
      <c r="E103" s="682"/>
      <c r="F103" s="682"/>
      <c r="G103" s="682"/>
      <c r="H103" s="682"/>
      <c r="I103" s="682"/>
      <c r="J103" s="682"/>
      <c r="K103" s="682"/>
      <c r="L103" s="729"/>
      <c r="M103" s="729"/>
      <c r="N103" s="729"/>
      <c r="O103" s="729"/>
      <c r="P103" s="729"/>
      <c r="Q103" s="729"/>
      <c r="R103" s="729"/>
      <c r="S103" s="729"/>
      <c r="T103" s="729"/>
      <c r="U103" s="729"/>
      <c r="V103" s="729"/>
      <c r="W103" s="729"/>
      <c r="X103" s="729"/>
      <c r="Y103" s="729"/>
      <c r="Z103" s="729"/>
    </row>
    <row r="104" spans="1:26">
      <c r="A104" s="729"/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729"/>
      <c r="M104" s="729"/>
      <c r="N104" s="729"/>
      <c r="O104" s="729"/>
      <c r="P104" s="729"/>
      <c r="Q104" s="729"/>
      <c r="R104" s="729"/>
      <c r="S104" s="729"/>
      <c r="T104" s="729"/>
      <c r="U104" s="729"/>
      <c r="V104" s="729"/>
      <c r="W104" s="729"/>
      <c r="X104" s="729"/>
      <c r="Y104" s="729"/>
      <c r="Z104" s="729"/>
    </row>
    <row r="105" spans="1:26" ht="30" customHeight="1">
      <c r="A105" s="729"/>
      <c r="B105" s="469" t="s">
        <v>371</v>
      </c>
      <c r="C105" s="460" t="s">
        <v>923</v>
      </c>
      <c r="D105" s="460" t="s">
        <v>924</v>
      </c>
      <c r="E105" s="460" t="s">
        <v>925</v>
      </c>
      <c r="F105" s="460" t="s">
        <v>926</v>
      </c>
      <c r="G105" s="461"/>
      <c r="H105" s="461"/>
      <c r="I105" s="461"/>
      <c r="J105" s="461"/>
      <c r="K105" s="461"/>
      <c r="L105" s="729"/>
      <c r="M105" s="729"/>
      <c r="N105" s="729"/>
      <c r="O105" s="729"/>
      <c r="P105" s="729"/>
      <c r="Q105" s="729"/>
      <c r="R105" s="729"/>
      <c r="S105" s="729"/>
      <c r="T105" s="729"/>
      <c r="U105" s="729"/>
      <c r="V105" s="729"/>
      <c r="W105" s="729"/>
      <c r="X105" s="729"/>
      <c r="Y105" s="729"/>
      <c r="Z105" s="729"/>
    </row>
    <row r="106" spans="1:26">
      <c r="A106" s="729"/>
      <c r="B106" s="674" t="str">
        <f>'Modelo Base'!M279</f>
        <v>Ago-26</v>
      </c>
      <c r="C106" s="312">
        <f>'Modelo Base'!M281/1000</f>
        <v>426.45692992644217</v>
      </c>
      <c r="D106" s="312">
        <f>'Modelo Base'!M179/1000000</f>
        <v>-1792.2622521575399</v>
      </c>
      <c r="E106" s="20">
        <f>$C$94+D106</f>
        <v>-431.1311332375401</v>
      </c>
      <c r="F106" s="674" t="str">
        <f>IF(E106&lt;0,"Déficit","Caja positiva")&amp;" — el salto de capital de trabajo del presupuesto (CxC a "&amp;TEXT('Modelo Base'!$E$27,"0")&amp;" días sobre ingresos muy superiores a los reales) concentra el consumo en agosto."</f>
        <v>Déficit — el salto de capital de trabajo del presupuesto (CxC a 84 días sobre ingresos muy superiores a los reales) concentra el consumo en agosto.</v>
      </c>
      <c r="G106" s="674"/>
      <c r="H106" s="674"/>
      <c r="I106" s="674"/>
      <c r="J106" s="674"/>
      <c r="K106" s="674"/>
      <c r="L106" s="729"/>
      <c r="M106" s="729"/>
      <c r="N106" s="729"/>
      <c r="O106" s="729"/>
      <c r="P106" s="729"/>
      <c r="Q106" s="729"/>
      <c r="R106" s="729"/>
      <c r="S106" s="729"/>
      <c r="T106" s="729"/>
      <c r="U106" s="729"/>
      <c r="V106" s="729"/>
      <c r="W106" s="729"/>
      <c r="X106" s="729"/>
      <c r="Y106" s="729"/>
      <c r="Z106" s="729"/>
    </row>
    <row r="107" spans="1:26">
      <c r="A107" s="729"/>
      <c r="B107" s="674" t="str">
        <f>'Modelo Base'!N279</f>
        <v>Sep-26</v>
      </c>
      <c r="C107" s="312">
        <f>'Modelo Base'!N281/1000</f>
        <v>451.23073945025163</v>
      </c>
      <c r="D107" s="312">
        <f>'Modelo Base'!N179/1000000</f>
        <v>313.51644844770618</v>
      </c>
      <c r="E107" s="315">
        <f>E106+D107</f>
        <v>-117.61468478983392</v>
      </c>
      <c r="F107" s="674" t="str">
        <f>IF(E107&lt;0,"Déficit","Caja positiva")&amp;" — el flujo mensual proyectado vuelve a ser positivo."</f>
        <v>Déficit — el flujo mensual proyectado vuelve a ser positivo.</v>
      </c>
      <c r="G107" s="674"/>
      <c r="H107" s="674"/>
      <c r="I107" s="674"/>
      <c r="J107" s="674"/>
      <c r="K107" s="674"/>
      <c r="L107" s="729"/>
      <c r="M107" s="729"/>
      <c r="N107" s="729"/>
      <c r="O107" s="729"/>
      <c r="P107" s="729"/>
      <c r="Q107" s="729"/>
      <c r="R107" s="729"/>
      <c r="S107" s="729"/>
      <c r="T107" s="729"/>
      <c r="U107" s="729"/>
      <c r="V107" s="729"/>
      <c r="W107" s="729"/>
      <c r="X107" s="729"/>
      <c r="Y107" s="729"/>
      <c r="Z107" s="729"/>
    </row>
    <row r="108" spans="1:26">
      <c r="A108" s="729"/>
      <c r="B108" s="674" t="str">
        <f>'Modelo Base'!O279</f>
        <v>Oct-26</v>
      </c>
      <c r="C108" s="312">
        <f>'Modelo Base'!O281/1000</f>
        <v>476.00454897406121</v>
      </c>
      <c r="D108" s="312">
        <f>'Modelo Base'!O179/1000000</f>
        <v>372.95704521845221</v>
      </c>
      <c r="E108" s="315">
        <f>E107+D108</f>
        <v>255.34236042861829</v>
      </c>
      <c r="F108" s="674" t="str">
        <f>IF(E108&lt;0,"Déficit","Caja positiva")&amp;" — la recuperación operativa recompone la liquidez."</f>
        <v>Caja positiva — la recuperación operativa recompone la liquidez.</v>
      </c>
      <c r="G108" s="674"/>
      <c r="H108" s="674"/>
      <c r="I108" s="674"/>
      <c r="J108" s="674"/>
      <c r="K108" s="674"/>
      <c r="L108" s="729"/>
      <c r="M108" s="729"/>
      <c r="N108" s="729"/>
      <c r="O108" s="729"/>
      <c r="P108" s="729"/>
      <c r="Q108" s="729"/>
      <c r="R108" s="729"/>
      <c r="S108" s="729"/>
      <c r="T108" s="729"/>
      <c r="U108" s="729"/>
      <c r="V108" s="729"/>
      <c r="W108" s="729"/>
      <c r="X108" s="729"/>
      <c r="Y108" s="729"/>
      <c r="Z108" s="729"/>
    </row>
    <row r="109" spans="1:26">
      <c r="A109" s="729"/>
      <c r="B109" s="674" t="str">
        <f>'Modelo Base'!P279</f>
        <v>Nov-26</v>
      </c>
      <c r="C109" s="312">
        <f>'Modelo Base'!P281/1000</f>
        <v>500.77835849787073</v>
      </c>
      <c r="D109" s="312">
        <f>'Modelo Base'!P179/1000000</f>
        <v>432.97063001206607</v>
      </c>
      <c r="E109" s="20">
        <f>E108+D109</f>
        <v>688.31299044068442</v>
      </c>
      <c r="F109" s="674" t="str">
        <f>IF(E109&lt;0,"Déficit","Caja positiva")&amp;" — continúa la generación de caja presupuestada."</f>
        <v>Caja positiva — continúa la generación de caja presupuestada.</v>
      </c>
      <c r="G109" s="674"/>
      <c r="H109" s="674"/>
      <c r="I109" s="674"/>
      <c r="J109" s="674"/>
      <c r="K109" s="674"/>
      <c r="L109" s="729"/>
      <c r="M109" s="729"/>
      <c r="N109" s="729"/>
      <c r="O109" s="729"/>
      <c r="P109" s="729"/>
      <c r="Q109" s="729"/>
      <c r="R109" s="729"/>
      <c r="S109" s="729"/>
      <c r="T109" s="729"/>
      <c r="U109" s="729"/>
      <c r="V109" s="729"/>
      <c r="W109" s="729"/>
      <c r="X109" s="729"/>
      <c r="Y109" s="729"/>
      <c r="Z109" s="729"/>
    </row>
    <row r="110" spans="1:26">
      <c r="A110" s="729"/>
      <c r="B110" s="674" t="str">
        <f>'Modelo Base'!Q279</f>
        <v>Dic-26</v>
      </c>
      <c r="C110" s="312">
        <f>'Modelo Base'!Q281/1000</f>
        <v>525.55216802168025</v>
      </c>
      <c r="D110" s="312">
        <f>'Modelo Base'!Q179/1000000</f>
        <v>480.91036015483434</v>
      </c>
      <c r="E110" s="20">
        <f>E109+D110</f>
        <v>1169.2233505955187</v>
      </c>
      <c r="F110" s="674" t="str">
        <f>IF(E110&lt;0,"Déficit","Caja positiva")&amp;" — cierre de año proyectado."</f>
        <v>Caja positiva — cierre de año proyectado.</v>
      </c>
      <c r="G110" s="674"/>
      <c r="H110" s="674"/>
      <c r="I110" s="674"/>
      <c r="J110" s="674"/>
      <c r="K110" s="674"/>
      <c r="L110" s="729"/>
      <c r="M110" s="729"/>
      <c r="N110" s="729"/>
      <c r="O110" s="729"/>
      <c r="P110" s="729"/>
      <c r="Q110" s="729"/>
      <c r="R110" s="729"/>
      <c r="S110" s="729"/>
      <c r="T110" s="729"/>
      <c r="U110" s="729"/>
      <c r="V110" s="729"/>
      <c r="W110" s="729"/>
      <c r="X110" s="729"/>
      <c r="Y110" s="729"/>
      <c r="Z110" s="729"/>
    </row>
    <row r="111" spans="1:26">
      <c r="A111" s="729"/>
      <c r="B111" s="674"/>
      <c r="C111" s="20"/>
      <c r="D111" s="20"/>
      <c r="E111" s="20"/>
      <c r="F111" s="674"/>
      <c r="G111" s="674"/>
      <c r="H111" s="674"/>
      <c r="I111" s="674"/>
      <c r="J111" s="674"/>
      <c r="K111" s="674"/>
      <c r="L111" s="729"/>
      <c r="M111" s="729"/>
      <c r="N111" s="729"/>
      <c r="O111" s="729"/>
      <c r="P111" s="729"/>
      <c r="Q111" s="729"/>
      <c r="R111" s="729"/>
      <c r="S111" s="729"/>
      <c r="T111" s="729"/>
      <c r="U111" s="729"/>
      <c r="V111" s="729"/>
      <c r="W111" s="729"/>
      <c r="X111" s="729"/>
      <c r="Y111" s="729"/>
      <c r="Z111" s="729"/>
    </row>
    <row r="112" spans="1:26">
      <c r="A112" s="729"/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729"/>
      <c r="M112" s="729"/>
      <c r="N112" s="729"/>
      <c r="O112" s="729"/>
      <c r="P112" s="729"/>
      <c r="Q112" s="729"/>
      <c r="R112" s="729"/>
      <c r="S112" s="729"/>
      <c r="T112" s="729"/>
      <c r="U112" s="729"/>
      <c r="V112" s="729"/>
      <c r="W112" s="729"/>
      <c r="X112" s="729"/>
      <c r="Y112" s="729"/>
      <c r="Z112" s="729"/>
    </row>
    <row r="113" spans="1:26">
      <c r="A113" s="729"/>
      <c r="B113" s="674" t="s">
        <v>927</v>
      </c>
      <c r="C113" s="316">
        <f>SUM('Modelo Base'!F281:Q281)/1000000</f>
        <v>3.7762919315911736</v>
      </c>
      <c r="D113" s="674" t="s">
        <v>928</v>
      </c>
      <c r="E113" s="674" t="s">
        <v>929</v>
      </c>
      <c r="F113" s="674"/>
      <c r="G113" s="674"/>
      <c r="H113" s="674"/>
      <c r="I113" s="674"/>
      <c r="J113" s="674"/>
      <c r="K113" s="674"/>
      <c r="L113" s="729"/>
      <c r="M113" s="729"/>
      <c r="N113" s="729"/>
      <c r="O113" s="729"/>
      <c r="P113" s="729"/>
      <c r="Q113" s="729"/>
      <c r="R113" s="729"/>
      <c r="S113" s="729"/>
      <c r="T113" s="729"/>
      <c r="U113" s="729"/>
      <c r="V113" s="729"/>
      <c r="W113" s="729"/>
      <c r="X113" s="729"/>
      <c r="Y113" s="729"/>
      <c r="Z113" s="729"/>
    </row>
    <row r="114" spans="1:26">
      <c r="A114" s="729"/>
      <c r="B114" s="674" t="s">
        <v>1184</v>
      </c>
      <c r="C114" s="140">
        <f>SUM(C106:C110)/1000</f>
        <v>2.3800227448703057</v>
      </c>
      <c r="D114" s="674" t="s">
        <v>928</v>
      </c>
      <c r="E114" s="674" t="s">
        <v>930</v>
      </c>
      <c r="F114" s="674"/>
      <c r="G114" s="674"/>
      <c r="H114" s="674"/>
      <c r="I114" s="674"/>
      <c r="J114" s="674"/>
      <c r="K114" s="674"/>
      <c r="L114" s="729"/>
      <c r="M114" s="729"/>
      <c r="N114" s="729"/>
      <c r="O114" s="729"/>
      <c r="P114" s="729"/>
      <c r="Q114" s="729"/>
      <c r="R114" s="729"/>
      <c r="S114" s="729"/>
      <c r="T114" s="729"/>
      <c r="U114" s="729"/>
      <c r="V114" s="729"/>
      <c r="W114" s="729"/>
      <c r="X114" s="729"/>
      <c r="Y114" s="729"/>
      <c r="Z114" s="729"/>
    </row>
    <row r="115" spans="1:26" ht="15" thickBot="1">
      <c r="A115" s="729"/>
      <c r="B115" s="674" t="s">
        <v>931</v>
      </c>
      <c r="C115" s="143">
        <f>IF(E106&lt;0,$C$94/ABS(D106),IF(E107&lt;0,1+E106/ABS(D107),5))</f>
        <v>0.75944863386006101</v>
      </c>
      <c r="D115" s="674" t="s">
        <v>364</v>
      </c>
      <c r="E115" s="674" t="s">
        <v>1185</v>
      </c>
      <c r="F115" s="674"/>
      <c r="G115" s="674"/>
      <c r="H115" s="674"/>
      <c r="I115" s="674"/>
      <c r="J115" s="674"/>
      <c r="K115" s="674"/>
      <c r="L115" s="729"/>
      <c r="M115" s="729"/>
      <c r="N115" s="729"/>
      <c r="O115" s="729"/>
      <c r="P115" s="729"/>
      <c r="Q115" s="729"/>
      <c r="R115" s="729"/>
      <c r="S115" s="729"/>
      <c r="T115" s="729"/>
      <c r="U115" s="729"/>
      <c r="V115" s="729"/>
      <c r="W115" s="729"/>
      <c r="X115" s="729"/>
      <c r="Y115" s="729"/>
      <c r="Z115" s="729"/>
    </row>
    <row r="116" spans="1:26" ht="15" thickBot="1">
      <c r="A116" s="729"/>
      <c r="B116" s="145" t="s">
        <v>932</v>
      </c>
      <c r="C116" s="24">
        <f>MAX(0,-MIN(E106:E110))</f>
        <v>431.1311332375401</v>
      </c>
      <c r="D116" s="145" t="s">
        <v>673</v>
      </c>
      <c r="E116" s="145" t="s">
        <v>933</v>
      </c>
      <c r="F116" s="674"/>
      <c r="G116" s="674"/>
      <c r="H116" s="674"/>
      <c r="I116" s="674"/>
      <c r="J116" s="674"/>
      <c r="K116" s="674"/>
      <c r="L116" s="729"/>
      <c r="M116" s="729"/>
      <c r="N116" s="729"/>
      <c r="O116" s="729"/>
      <c r="P116" s="729"/>
      <c r="Q116" s="729"/>
      <c r="R116" s="729"/>
      <c r="S116" s="729"/>
      <c r="T116" s="729"/>
      <c r="U116" s="729"/>
      <c r="V116" s="729"/>
      <c r="W116" s="729"/>
      <c r="X116" s="729"/>
      <c r="Y116" s="729"/>
      <c r="Z116" s="729"/>
    </row>
    <row r="117" spans="1:26" ht="15" thickBot="1">
      <c r="A117" s="729"/>
      <c r="B117" s="146" t="s">
        <v>934</v>
      </c>
      <c r="C117" s="25">
        <f>E110</f>
        <v>1169.2233505955187</v>
      </c>
      <c r="D117" s="146" t="s">
        <v>673</v>
      </c>
      <c r="E117" s="146" t="s">
        <v>935</v>
      </c>
      <c r="F117" s="674"/>
      <c r="G117" s="674"/>
      <c r="H117" s="674"/>
      <c r="I117" s="674"/>
      <c r="J117" s="674"/>
      <c r="K117" s="674"/>
      <c r="L117" s="729"/>
      <c r="M117" s="729"/>
      <c r="N117" s="729"/>
      <c r="O117" s="729"/>
      <c r="P117" s="729"/>
      <c r="Q117" s="729"/>
      <c r="R117" s="729"/>
      <c r="S117" s="729"/>
      <c r="T117" s="729"/>
      <c r="U117" s="729"/>
      <c r="V117" s="729"/>
      <c r="W117" s="729"/>
      <c r="X117" s="729"/>
      <c r="Y117" s="729"/>
      <c r="Z117" s="729"/>
    </row>
    <row r="118" spans="1:26" ht="15" thickBot="1">
      <c r="A118" s="729"/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729"/>
      <c r="M118" s="729"/>
      <c r="N118" s="729"/>
      <c r="O118" s="729"/>
      <c r="P118" s="729"/>
      <c r="Q118" s="729"/>
      <c r="R118" s="729"/>
      <c r="S118" s="729"/>
      <c r="T118" s="729"/>
      <c r="U118" s="729"/>
      <c r="V118" s="729"/>
      <c r="W118" s="729"/>
      <c r="X118" s="729"/>
      <c r="Y118" s="729"/>
      <c r="Z118" s="729"/>
    </row>
    <row r="119" spans="1:26" ht="15" thickBot="1">
      <c r="A119" s="729"/>
      <c r="B119" s="144" t="s">
        <v>936</v>
      </c>
      <c r="C119" s="664" t="str">
        <f>"Con el presupuesto anual de USD "&amp;TEXT(C113,"0.00")&amp;"MM, partiendo de la caja consolidada de julio (COP "&amp;TEXT($C$94,"#,##0.0")&amp;"MM), la proyección muestra un déficit temporal máximo de COP "&amp;TEXT(C116,"#,##0.0")&amp;"MM en "&amp;INDEX($B$106:$B$110,MATCH(MIN($E$106:$E$110),$E$106:$E$110,0))&amp;". El bache se explica por el salto de capital de trabajo del presupuesto; el modelo vuelve a generar caja y cerraría diciembre con COP "&amp;TEXT(C117,"#,##0.0")&amp;"MM."</f>
        <v>Con el presupuesto anual de USD 3.78MM, partiendo de la caja consolidada de julio (COP 1,361.1MM), la proyección muestra un déficit temporal máximo de COP 431.1MM en Ago-26. El bache se explica por el salto de capital de trabajo del presupuesto; el modelo vuelve a generar caja y cerraría diciembre con COP 1,169.2MM.</v>
      </c>
      <c r="D119" s="664"/>
      <c r="E119" s="664"/>
      <c r="F119" s="664"/>
      <c r="G119" s="664"/>
      <c r="H119" s="674"/>
      <c r="I119" s="674"/>
      <c r="J119" s="674"/>
      <c r="K119" s="674"/>
      <c r="L119" s="729"/>
      <c r="M119" s="729"/>
      <c r="N119" s="729"/>
      <c r="O119" s="729"/>
      <c r="P119" s="729"/>
      <c r="Q119" s="729"/>
      <c r="R119" s="729"/>
      <c r="S119" s="729"/>
      <c r="T119" s="729"/>
      <c r="U119" s="729"/>
      <c r="V119" s="729"/>
      <c r="W119" s="729"/>
      <c r="X119" s="729"/>
      <c r="Y119" s="729"/>
      <c r="Z119" s="729"/>
    </row>
    <row r="120" spans="1:26">
      <c r="A120" s="729"/>
      <c r="B120" s="729"/>
      <c r="C120" s="729"/>
      <c r="D120" s="729"/>
      <c r="E120" s="729"/>
      <c r="F120" s="729"/>
      <c r="G120" s="729"/>
      <c r="H120" s="729"/>
      <c r="I120" s="729"/>
      <c r="J120" s="729"/>
      <c r="K120" s="729"/>
      <c r="L120" s="729"/>
      <c r="M120" s="729"/>
      <c r="N120" s="729"/>
      <c r="O120" s="729"/>
      <c r="P120" s="729"/>
      <c r="Q120" s="729"/>
      <c r="R120" s="729"/>
      <c r="S120" s="729"/>
      <c r="T120" s="729"/>
      <c r="U120" s="729"/>
      <c r="V120" s="729"/>
      <c r="W120" s="729"/>
      <c r="X120" s="729"/>
      <c r="Y120" s="729"/>
      <c r="Z120" s="729"/>
    </row>
    <row r="121" spans="1:26">
      <c r="A121" s="729"/>
      <c r="B121" s="729"/>
      <c r="C121" s="729"/>
      <c r="D121" s="729"/>
      <c r="E121" s="729"/>
      <c r="F121" s="729"/>
      <c r="G121" s="729"/>
      <c r="H121" s="729"/>
      <c r="I121" s="729"/>
      <c r="J121" s="729"/>
      <c r="K121" s="729"/>
      <c r="L121" s="729"/>
      <c r="M121" s="729"/>
      <c r="N121" s="729"/>
      <c r="O121" s="729"/>
      <c r="P121" s="729"/>
      <c r="Q121" s="729"/>
      <c r="R121" s="729"/>
      <c r="S121" s="729"/>
      <c r="T121" s="729"/>
      <c r="U121" s="729"/>
      <c r="V121" s="729"/>
      <c r="W121" s="729"/>
      <c r="X121" s="729"/>
      <c r="Y121" s="729"/>
      <c r="Z121" s="729"/>
    </row>
    <row r="122" spans="1:26">
      <c r="A122" s="729"/>
      <c r="B122" s="729"/>
      <c r="C122" s="729"/>
      <c r="D122" s="729"/>
      <c r="E122" s="729"/>
      <c r="F122" s="729"/>
      <c r="G122" s="729"/>
      <c r="H122" s="729"/>
      <c r="I122" s="729"/>
      <c r="J122" s="729"/>
      <c r="K122" s="729"/>
      <c r="L122" s="729"/>
      <c r="M122" s="729"/>
      <c r="N122" s="729"/>
      <c r="O122" s="729"/>
      <c r="P122" s="729"/>
      <c r="Q122" s="729"/>
      <c r="R122" s="729"/>
      <c r="S122" s="729"/>
      <c r="T122" s="729"/>
      <c r="U122" s="729"/>
      <c r="V122" s="729"/>
      <c r="W122" s="729"/>
      <c r="X122" s="729"/>
      <c r="Y122" s="729"/>
      <c r="Z122" s="729"/>
    </row>
    <row r="123" spans="1:26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29"/>
      <c r="P123" s="729"/>
      <c r="Q123" s="729"/>
      <c r="R123" s="729"/>
      <c r="S123" s="729"/>
      <c r="T123" s="729"/>
      <c r="U123" s="729"/>
      <c r="V123" s="729"/>
      <c r="W123" s="729"/>
      <c r="X123" s="729"/>
      <c r="Y123" s="729"/>
      <c r="Z123" s="729"/>
    </row>
    <row r="124" spans="1:26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29"/>
      <c r="P124" s="729"/>
      <c r="Q124" s="729"/>
      <c r="R124" s="729"/>
      <c r="S124" s="729"/>
      <c r="T124" s="729"/>
      <c r="U124" s="729"/>
      <c r="V124" s="729"/>
      <c r="W124" s="729"/>
      <c r="X124" s="729"/>
      <c r="Y124" s="729"/>
      <c r="Z124" s="729"/>
    </row>
    <row r="125" spans="1:26">
      <c r="A125" s="729"/>
      <c r="B125" s="729"/>
      <c r="C125" s="729"/>
      <c r="D125" s="729"/>
      <c r="E125" s="729"/>
      <c r="F125" s="729"/>
      <c r="G125" s="729"/>
      <c r="H125" s="729"/>
      <c r="I125" s="729"/>
      <c r="J125" s="729"/>
      <c r="K125" s="729"/>
      <c r="L125" s="729"/>
      <c r="M125" s="729"/>
      <c r="N125" s="729"/>
      <c r="O125" s="729"/>
      <c r="P125" s="729"/>
      <c r="Q125" s="729"/>
      <c r="R125" s="729"/>
      <c r="S125" s="729"/>
      <c r="T125" s="729"/>
      <c r="U125" s="729"/>
      <c r="V125" s="729"/>
      <c r="W125" s="729"/>
      <c r="X125" s="729"/>
      <c r="Y125" s="729"/>
      <c r="Z125" s="729"/>
    </row>
    <row r="126" spans="1:26">
      <c r="A126" s="729"/>
      <c r="B126" s="729"/>
      <c r="C126" s="729"/>
      <c r="D126" s="729"/>
      <c r="E126" s="729"/>
      <c r="F126" s="729"/>
      <c r="G126" s="729"/>
      <c r="H126" s="729"/>
      <c r="I126" s="729"/>
      <c r="J126" s="729"/>
      <c r="K126" s="729"/>
      <c r="L126" s="729"/>
      <c r="M126" s="729"/>
      <c r="N126" s="729"/>
      <c r="O126" s="729"/>
      <c r="P126" s="729"/>
      <c r="Q126" s="729"/>
      <c r="R126" s="729"/>
      <c r="S126" s="729"/>
      <c r="T126" s="729"/>
      <c r="U126" s="729"/>
      <c r="V126" s="729"/>
      <c r="W126" s="729"/>
      <c r="X126" s="729"/>
      <c r="Y126" s="729"/>
      <c r="Z126" s="729"/>
    </row>
    <row r="127" spans="1:26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29"/>
      <c r="P127" s="729"/>
      <c r="Q127" s="729"/>
      <c r="R127" s="729"/>
      <c r="S127" s="729"/>
      <c r="T127" s="729"/>
      <c r="U127" s="729"/>
      <c r="V127" s="729"/>
      <c r="W127" s="729"/>
      <c r="X127" s="729"/>
      <c r="Y127" s="729"/>
      <c r="Z127" s="729"/>
    </row>
    <row r="128" spans="1:26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29"/>
      <c r="P128" s="729"/>
      <c r="Q128" s="729"/>
      <c r="R128" s="729"/>
      <c r="S128" s="729"/>
      <c r="T128" s="729"/>
      <c r="U128" s="729"/>
      <c r="V128" s="729"/>
      <c r="W128" s="729"/>
      <c r="X128" s="729"/>
      <c r="Y128" s="729"/>
      <c r="Z128" s="729"/>
    </row>
    <row r="129" spans="1:26">
      <c r="A129" s="729"/>
      <c r="B129" s="729"/>
      <c r="C129" s="729"/>
      <c r="D129" s="729"/>
      <c r="E129" s="729"/>
      <c r="F129" s="729"/>
      <c r="G129" s="729"/>
      <c r="H129" s="729"/>
      <c r="I129" s="729"/>
      <c r="J129" s="729"/>
      <c r="K129" s="729"/>
      <c r="L129" s="729"/>
      <c r="M129" s="729"/>
      <c r="N129" s="729"/>
      <c r="O129" s="729"/>
      <c r="P129" s="729"/>
      <c r="Q129" s="729"/>
      <c r="R129" s="729"/>
      <c r="S129" s="729"/>
      <c r="T129" s="729"/>
      <c r="U129" s="729"/>
      <c r="V129" s="729"/>
      <c r="W129" s="729"/>
      <c r="X129" s="729"/>
      <c r="Y129" s="729"/>
      <c r="Z129" s="729"/>
    </row>
    <row r="130" spans="1:26">
      <c r="A130" s="729"/>
      <c r="B130" s="729"/>
      <c r="C130" s="729"/>
      <c r="D130" s="729"/>
      <c r="E130" s="729"/>
      <c r="F130" s="729"/>
      <c r="G130" s="729"/>
      <c r="H130" s="729"/>
      <c r="I130" s="729"/>
      <c r="J130" s="729"/>
      <c r="K130" s="729"/>
      <c r="L130" s="729"/>
      <c r="M130" s="729"/>
      <c r="N130" s="729"/>
      <c r="O130" s="729"/>
      <c r="P130" s="729"/>
      <c r="Q130" s="729"/>
      <c r="R130" s="729"/>
      <c r="S130" s="729"/>
      <c r="T130" s="729"/>
      <c r="U130" s="729"/>
      <c r="V130" s="729"/>
      <c r="W130" s="729"/>
      <c r="X130" s="729"/>
      <c r="Y130" s="729"/>
      <c r="Z130" s="729"/>
    </row>
    <row r="131" spans="1:26">
      <c r="A131" s="729"/>
      <c r="B131" s="729"/>
      <c r="C131" s="729"/>
      <c r="D131" s="729"/>
      <c r="E131" s="729"/>
      <c r="F131" s="729"/>
      <c r="G131" s="729"/>
      <c r="H131" s="729"/>
      <c r="I131" s="729"/>
      <c r="J131" s="729"/>
      <c r="K131" s="729"/>
      <c r="L131" s="729"/>
      <c r="M131" s="729"/>
      <c r="N131" s="729"/>
      <c r="O131" s="729"/>
      <c r="P131" s="729"/>
      <c r="Q131" s="729"/>
      <c r="R131" s="729"/>
      <c r="S131" s="729"/>
      <c r="T131" s="729"/>
      <c r="U131" s="729"/>
      <c r="V131" s="729"/>
      <c r="W131" s="729"/>
      <c r="X131" s="729"/>
      <c r="Y131" s="729"/>
      <c r="Z131" s="729"/>
    </row>
    <row r="132" spans="1:26">
      <c r="A132" s="729"/>
      <c r="B132" s="729"/>
      <c r="C132" s="729"/>
      <c r="D132" s="729"/>
      <c r="E132" s="729"/>
      <c r="F132" s="729"/>
      <c r="G132" s="729"/>
      <c r="H132" s="729"/>
      <c r="I132" s="729"/>
      <c r="J132" s="729"/>
      <c r="K132" s="729"/>
      <c r="L132" s="729"/>
      <c r="M132" s="729"/>
      <c r="N132" s="729"/>
      <c r="O132" s="729"/>
      <c r="P132" s="729"/>
      <c r="Q132" s="729"/>
      <c r="R132" s="729"/>
      <c r="S132" s="729"/>
      <c r="T132" s="729"/>
      <c r="U132" s="729"/>
      <c r="V132" s="729"/>
      <c r="W132" s="729"/>
      <c r="X132" s="729"/>
      <c r="Y132" s="729"/>
      <c r="Z132" s="729"/>
    </row>
    <row r="133" spans="1:26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29"/>
      <c r="P133" s="729"/>
      <c r="Q133" s="729"/>
      <c r="R133" s="729"/>
      <c r="S133" s="729"/>
      <c r="T133" s="729"/>
      <c r="U133" s="729"/>
      <c r="V133" s="729"/>
      <c r="W133" s="729"/>
      <c r="X133" s="729"/>
      <c r="Y133" s="729"/>
      <c r="Z133" s="729"/>
    </row>
    <row r="134" spans="1:26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29"/>
      <c r="P134" s="729"/>
      <c r="Q134" s="729"/>
      <c r="R134" s="729"/>
      <c r="S134" s="729"/>
      <c r="T134" s="729"/>
      <c r="U134" s="729"/>
      <c r="V134" s="729"/>
      <c r="W134" s="729"/>
      <c r="X134" s="729"/>
      <c r="Y134" s="729"/>
      <c r="Z134" s="729"/>
    </row>
    <row r="135" spans="1:26">
      <c r="A135" s="729"/>
      <c r="B135" s="729"/>
      <c r="C135" s="729"/>
      <c r="D135" s="729"/>
      <c r="E135" s="729"/>
      <c r="F135" s="729"/>
      <c r="G135" s="729"/>
      <c r="H135" s="729"/>
      <c r="I135" s="729"/>
      <c r="J135" s="729"/>
      <c r="K135" s="729"/>
      <c r="L135" s="729"/>
      <c r="M135" s="729"/>
      <c r="N135" s="729"/>
      <c r="O135" s="729"/>
      <c r="P135" s="729"/>
      <c r="Q135" s="729"/>
      <c r="R135" s="729"/>
      <c r="S135" s="729"/>
      <c r="T135" s="729"/>
      <c r="U135" s="729"/>
      <c r="V135" s="729"/>
      <c r="W135" s="729"/>
      <c r="X135" s="729"/>
      <c r="Y135" s="729"/>
      <c r="Z135" s="729"/>
    </row>
    <row r="136" spans="1:26">
      <c r="A136" s="729"/>
      <c r="B136" s="729"/>
      <c r="C136" s="729"/>
      <c r="D136" s="729"/>
      <c r="E136" s="729"/>
      <c r="F136" s="729"/>
      <c r="G136" s="729"/>
      <c r="H136" s="729"/>
      <c r="I136" s="729"/>
      <c r="J136" s="729"/>
      <c r="K136" s="729"/>
      <c r="L136" s="729"/>
      <c r="M136" s="729"/>
      <c r="N136" s="729"/>
      <c r="O136" s="729"/>
      <c r="P136" s="729"/>
      <c r="Q136" s="729"/>
      <c r="R136" s="729"/>
      <c r="S136" s="729"/>
      <c r="T136" s="729"/>
      <c r="U136" s="729"/>
      <c r="V136" s="729"/>
      <c r="W136" s="729"/>
      <c r="X136" s="729"/>
      <c r="Y136" s="729"/>
      <c r="Z136" s="729"/>
    </row>
    <row r="137" spans="1:26">
      <c r="A137" s="729"/>
      <c r="B137" s="729"/>
      <c r="C137" s="729"/>
      <c r="D137" s="729"/>
      <c r="E137" s="729"/>
      <c r="F137" s="729"/>
      <c r="G137" s="729"/>
      <c r="H137" s="729"/>
      <c r="I137" s="729"/>
      <c r="J137" s="729"/>
      <c r="K137" s="729"/>
      <c r="L137" s="729"/>
      <c r="M137" s="729"/>
      <c r="N137" s="729"/>
      <c r="O137" s="729"/>
      <c r="P137" s="729"/>
      <c r="Q137" s="729"/>
      <c r="R137" s="729"/>
      <c r="S137" s="729"/>
      <c r="T137" s="729"/>
      <c r="U137" s="729"/>
      <c r="V137" s="729"/>
      <c r="W137" s="729"/>
      <c r="X137" s="729"/>
      <c r="Y137" s="729"/>
      <c r="Z137" s="729"/>
    </row>
    <row r="138" spans="1:26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29"/>
      <c r="P138" s="729"/>
      <c r="Q138" s="729"/>
      <c r="R138" s="729"/>
      <c r="S138" s="729"/>
      <c r="T138" s="729"/>
      <c r="U138" s="729"/>
      <c r="V138" s="729"/>
      <c r="W138" s="729"/>
      <c r="X138" s="729"/>
      <c r="Y138" s="729"/>
      <c r="Z138" s="729"/>
    </row>
    <row r="139" spans="1:26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29"/>
      <c r="P139" s="729"/>
      <c r="Q139" s="729"/>
      <c r="R139" s="729"/>
      <c r="S139" s="729"/>
      <c r="T139" s="729"/>
      <c r="U139" s="729"/>
      <c r="V139" s="729"/>
      <c r="W139" s="729"/>
      <c r="X139" s="729"/>
      <c r="Y139" s="729"/>
      <c r="Z139" s="729"/>
    </row>
    <row r="140" spans="1:26">
      <c r="A140" s="729"/>
      <c r="B140" s="729"/>
      <c r="C140" s="729"/>
      <c r="D140" s="729"/>
      <c r="E140" s="729"/>
      <c r="F140" s="729"/>
      <c r="G140" s="729"/>
      <c r="H140" s="729"/>
      <c r="I140" s="729"/>
      <c r="J140" s="729"/>
      <c r="K140" s="729"/>
      <c r="L140" s="729"/>
      <c r="M140" s="729"/>
      <c r="N140" s="729"/>
      <c r="O140" s="729"/>
      <c r="P140" s="729"/>
      <c r="Q140" s="729"/>
      <c r="R140" s="729"/>
      <c r="S140" s="729"/>
      <c r="T140" s="729"/>
      <c r="U140" s="729"/>
      <c r="V140" s="729"/>
      <c r="W140" s="729"/>
      <c r="X140" s="729"/>
      <c r="Y140" s="729"/>
      <c r="Z140" s="729"/>
    </row>
    <row r="141" spans="1:26">
      <c r="A141" s="729"/>
      <c r="B141" s="729"/>
      <c r="C141" s="729"/>
      <c r="D141" s="729"/>
      <c r="E141" s="729"/>
      <c r="F141" s="729"/>
      <c r="G141" s="729"/>
      <c r="H141" s="729"/>
      <c r="I141" s="729"/>
      <c r="J141" s="729"/>
      <c r="K141" s="729"/>
      <c r="L141" s="729"/>
      <c r="M141" s="729"/>
      <c r="N141" s="729"/>
      <c r="O141" s="729"/>
      <c r="P141" s="729"/>
      <c r="Q141" s="729"/>
      <c r="R141" s="729"/>
      <c r="S141" s="729"/>
      <c r="T141" s="729"/>
      <c r="U141" s="729"/>
      <c r="V141" s="729"/>
      <c r="W141" s="729"/>
      <c r="X141" s="729"/>
      <c r="Y141" s="729"/>
      <c r="Z141" s="729"/>
    </row>
    <row r="142" spans="1:26">
      <c r="A142" s="729"/>
      <c r="B142" s="729"/>
      <c r="C142" s="729"/>
      <c r="D142" s="729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29"/>
      <c r="P142" s="729"/>
      <c r="Q142" s="729"/>
      <c r="R142" s="729"/>
      <c r="S142" s="729"/>
      <c r="T142" s="729"/>
      <c r="U142" s="729"/>
      <c r="V142" s="729"/>
      <c r="W142" s="729"/>
      <c r="X142" s="729"/>
      <c r="Y142" s="729"/>
      <c r="Z142" s="729"/>
    </row>
    <row r="143" spans="1:26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29"/>
      <c r="P143" s="729"/>
      <c r="Q143" s="729"/>
      <c r="R143" s="729"/>
      <c r="S143" s="729"/>
      <c r="T143" s="729"/>
      <c r="U143" s="729"/>
      <c r="V143" s="729"/>
      <c r="W143" s="729"/>
      <c r="X143" s="729"/>
      <c r="Y143" s="729"/>
      <c r="Z143" s="729"/>
    </row>
    <row r="144" spans="1:26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29"/>
      <c r="P144" s="729"/>
      <c r="Q144" s="729"/>
      <c r="R144" s="729"/>
      <c r="S144" s="729"/>
      <c r="T144" s="729"/>
      <c r="U144" s="729"/>
      <c r="V144" s="729"/>
      <c r="W144" s="729"/>
      <c r="X144" s="729"/>
      <c r="Y144" s="729"/>
      <c r="Z144" s="729"/>
    </row>
    <row r="145" spans="1:26">
      <c r="A145" s="729"/>
      <c r="B145" s="729"/>
      <c r="C145" s="729"/>
      <c r="D145" s="729"/>
      <c r="E145" s="729"/>
      <c r="F145" s="729"/>
      <c r="G145" s="729"/>
      <c r="H145" s="729"/>
      <c r="I145" s="729"/>
      <c r="J145" s="729"/>
      <c r="K145" s="729"/>
      <c r="L145" s="729"/>
      <c r="M145" s="729"/>
      <c r="N145" s="729"/>
      <c r="O145" s="729"/>
      <c r="P145" s="729"/>
      <c r="Q145" s="729"/>
      <c r="R145" s="729"/>
      <c r="S145" s="729"/>
      <c r="T145" s="729"/>
      <c r="U145" s="729"/>
      <c r="V145" s="729"/>
      <c r="W145" s="729"/>
      <c r="X145" s="729"/>
      <c r="Y145" s="729"/>
      <c r="Z145" s="729"/>
    </row>
    <row r="146" spans="1:26">
      <c r="A146" s="729"/>
      <c r="B146" s="729"/>
      <c r="C146" s="729"/>
      <c r="D146" s="729"/>
      <c r="E146" s="729"/>
      <c r="F146" s="729"/>
      <c r="G146" s="729"/>
      <c r="H146" s="729"/>
      <c r="I146" s="729"/>
      <c r="J146" s="729"/>
      <c r="K146" s="729"/>
      <c r="L146" s="729"/>
      <c r="M146" s="729"/>
      <c r="N146" s="729"/>
      <c r="O146" s="729"/>
      <c r="P146" s="729"/>
      <c r="Q146" s="729"/>
      <c r="R146" s="729"/>
      <c r="S146" s="729"/>
      <c r="T146" s="729"/>
      <c r="U146" s="729"/>
      <c r="V146" s="729"/>
      <c r="W146" s="729"/>
      <c r="X146" s="729"/>
      <c r="Y146" s="729"/>
      <c r="Z146" s="729"/>
    </row>
    <row r="147" spans="1:26">
      <c r="A147" s="729"/>
      <c r="B147" s="729"/>
      <c r="C147" s="729"/>
      <c r="D147" s="729"/>
      <c r="E147" s="729"/>
      <c r="F147" s="729"/>
      <c r="G147" s="729"/>
      <c r="H147" s="729"/>
      <c r="I147" s="729"/>
      <c r="J147" s="729"/>
      <c r="K147" s="729"/>
      <c r="L147" s="729"/>
      <c r="M147" s="729"/>
      <c r="N147" s="729"/>
      <c r="O147" s="729"/>
      <c r="P147" s="729"/>
      <c r="Q147" s="729"/>
      <c r="R147" s="729"/>
      <c r="S147" s="729"/>
      <c r="T147" s="729"/>
      <c r="U147" s="729"/>
      <c r="V147" s="729"/>
      <c r="W147" s="729"/>
      <c r="X147" s="729"/>
      <c r="Y147" s="729"/>
      <c r="Z147" s="729"/>
    </row>
    <row r="148" spans="1:26">
      <c r="A148" s="729"/>
      <c r="B148" s="729"/>
      <c r="C148" s="729"/>
      <c r="D148" s="729"/>
      <c r="E148" s="729"/>
      <c r="F148" s="729"/>
      <c r="G148" s="729"/>
      <c r="H148" s="729"/>
      <c r="I148" s="729"/>
      <c r="J148" s="729"/>
      <c r="K148" s="729"/>
      <c r="L148" s="729"/>
      <c r="M148" s="729"/>
      <c r="N148" s="729"/>
      <c r="O148" s="729"/>
      <c r="P148" s="729"/>
      <c r="Q148" s="729"/>
      <c r="R148" s="729"/>
      <c r="S148" s="729"/>
      <c r="T148" s="729"/>
      <c r="U148" s="729"/>
      <c r="V148" s="729"/>
      <c r="W148" s="729"/>
      <c r="X148" s="729"/>
      <c r="Y148" s="729"/>
      <c r="Z148" s="729"/>
    </row>
    <row r="149" spans="1:26">
      <c r="A149" s="729"/>
      <c r="B149" s="729"/>
      <c r="C149" s="729"/>
      <c r="D149" s="729"/>
      <c r="E149" s="729"/>
      <c r="F149" s="729"/>
      <c r="G149" s="729"/>
      <c r="H149" s="729"/>
      <c r="I149" s="729"/>
      <c r="J149" s="729"/>
      <c r="K149" s="729"/>
      <c r="L149" s="729"/>
      <c r="M149" s="729"/>
      <c r="N149" s="729"/>
      <c r="O149" s="729"/>
      <c r="P149" s="729"/>
      <c r="Q149" s="729"/>
      <c r="R149" s="729"/>
      <c r="S149" s="729"/>
      <c r="T149" s="729"/>
      <c r="U149" s="729"/>
      <c r="V149" s="729"/>
      <c r="W149" s="729"/>
      <c r="X149" s="729"/>
      <c r="Y149" s="729"/>
      <c r="Z149" s="729"/>
    </row>
    <row r="150" spans="1:26">
      <c r="A150" s="729"/>
      <c r="B150" s="729"/>
      <c r="C150" s="729"/>
      <c r="D150" s="729"/>
      <c r="E150" s="729"/>
      <c r="F150" s="729"/>
      <c r="G150" s="729"/>
      <c r="H150" s="729"/>
      <c r="I150" s="729"/>
      <c r="J150" s="729"/>
      <c r="K150" s="729"/>
      <c r="L150" s="729"/>
      <c r="M150" s="729"/>
      <c r="N150" s="729"/>
      <c r="O150" s="729"/>
      <c r="P150" s="729"/>
      <c r="Q150" s="729"/>
      <c r="R150" s="729"/>
      <c r="S150" s="729"/>
      <c r="T150" s="729"/>
      <c r="U150" s="729"/>
      <c r="V150" s="729"/>
      <c r="W150" s="729"/>
      <c r="X150" s="729"/>
      <c r="Y150" s="729"/>
      <c r="Z150" s="729"/>
    </row>
    <row r="151" spans="1:26">
      <c r="A151" s="729"/>
      <c r="B151" s="729"/>
      <c r="C151" s="729"/>
      <c r="D151" s="729"/>
      <c r="E151" s="729"/>
      <c r="F151" s="729"/>
      <c r="G151" s="729"/>
      <c r="H151" s="729"/>
      <c r="I151" s="729"/>
      <c r="J151" s="729"/>
      <c r="K151" s="729"/>
      <c r="L151" s="729"/>
      <c r="M151" s="729"/>
      <c r="N151" s="729"/>
      <c r="O151" s="729"/>
      <c r="P151" s="729"/>
      <c r="Q151" s="729"/>
      <c r="R151" s="729"/>
      <c r="S151" s="729"/>
      <c r="T151" s="729"/>
      <c r="U151" s="729"/>
      <c r="V151" s="729"/>
      <c r="W151" s="729"/>
      <c r="X151" s="729"/>
      <c r="Y151" s="729"/>
      <c r="Z151" s="729"/>
    </row>
    <row r="152" spans="1:26">
      <c r="A152" s="729"/>
      <c r="B152" s="729"/>
      <c r="C152" s="729"/>
      <c r="D152" s="729"/>
      <c r="E152" s="729"/>
      <c r="F152" s="729"/>
      <c r="G152" s="729"/>
      <c r="H152" s="729"/>
      <c r="I152" s="729"/>
      <c r="J152" s="729"/>
      <c r="K152" s="729"/>
      <c r="L152" s="729"/>
      <c r="M152" s="729"/>
      <c r="N152" s="729"/>
      <c r="O152" s="729"/>
      <c r="P152" s="729"/>
      <c r="Q152" s="729"/>
      <c r="R152" s="729"/>
      <c r="S152" s="729"/>
      <c r="T152" s="729"/>
      <c r="U152" s="729"/>
      <c r="V152" s="729"/>
      <c r="W152" s="729"/>
      <c r="X152" s="729"/>
      <c r="Y152" s="729"/>
      <c r="Z152" s="729"/>
    </row>
    <row r="153" spans="1:26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29"/>
      <c r="P153" s="729"/>
      <c r="Q153" s="729"/>
      <c r="R153" s="729"/>
      <c r="S153" s="729"/>
      <c r="T153" s="729"/>
      <c r="U153" s="729"/>
      <c r="V153" s="729"/>
      <c r="W153" s="729"/>
      <c r="X153" s="729"/>
      <c r="Y153" s="729"/>
      <c r="Z153" s="729"/>
    </row>
    <row r="154" spans="1:26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29"/>
      <c r="P154" s="729"/>
      <c r="Q154" s="729"/>
      <c r="R154" s="729"/>
      <c r="S154" s="729"/>
      <c r="T154" s="729"/>
      <c r="U154" s="729"/>
      <c r="V154" s="729"/>
      <c r="W154" s="729"/>
      <c r="X154" s="729"/>
      <c r="Y154" s="729"/>
      <c r="Z154" s="729"/>
    </row>
    <row r="155" spans="1:26">
      <c r="A155" s="729"/>
      <c r="B155" s="729"/>
      <c r="C155" s="729"/>
      <c r="D155" s="729"/>
      <c r="E155" s="729"/>
      <c r="F155" s="729"/>
      <c r="G155" s="729"/>
      <c r="H155" s="729"/>
      <c r="I155" s="729"/>
      <c r="J155" s="729"/>
      <c r="K155" s="729"/>
      <c r="L155" s="729"/>
      <c r="M155" s="729"/>
      <c r="N155" s="729"/>
      <c r="O155" s="729"/>
      <c r="P155" s="729"/>
      <c r="Q155" s="729"/>
      <c r="R155" s="729"/>
      <c r="S155" s="729"/>
      <c r="T155" s="729"/>
      <c r="U155" s="729"/>
      <c r="V155" s="729"/>
      <c r="W155" s="729"/>
      <c r="X155" s="729"/>
      <c r="Y155" s="729"/>
      <c r="Z155" s="729"/>
    </row>
    <row r="156" spans="1:26">
      <c r="A156" s="729"/>
      <c r="B156" s="729"/>
      <c r="C156" s="729"/>
      <c r="D156" s="729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29"/>
      <c r="P156" s="729"/>
      <c r="Q156" s="729"/>
      <c r="R156" s="729"/>
      <c r="S156" s="729"/>
      <c r="T156" s="729"/>
      <c r="U156" s="729"/>
      <c r="V156" s="729"/>
      <c r="W156" s="729"/>
      <c r="X156" s="729"/>
      <c r="Y156" s="729"/>
      <c r="Z156" s="729"/>
    </row>
    <row r="157" spans="1:26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29"/>
      <c r="P157" s="729"/>
      <c r="Q157" s="729"/>
      <c r="R157" s="729"/>
      <c r="S157" s="729"/>
      <c r="T157" s="729"/>
      <c r="U157" s="729"/>
      <c r="V157" s="729"/>
      <c r="W157" s="729"/>
      <c r="X157" s="729"/>
      <c r="Y157" s="729"/>
      <c r="Z157" s="729"/>
    </row>
    <row r="158" spans="1:26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29"/>
      <c r="P158" s="729"/>
      <c r="Q158" s="729"/>
      <c r="R158" s="729"/>
      <c r="S158" s="729"/>
      <c r="T158" s="729"/>
      <c r="U158" s="729"/>
      <c r="V158" s="729"/>
      <c r="W158" s="729"/>
      <c r="X158" s="729"/>
      <c r="Y158" s="729"/>
      <c r="Z158" s="729"/>
    </row>
    <row r="159" spans="1:26">
      <c r="A159" s="729"/>
      <c r="B159" s="729"/>
      <c r="C159" s="729"/>
      <c r="D159" s="729"/>
      <c r="E159" s="729"/>
      <c r="F159" s="729"/>
      <c r="G159" s="729"/>
      <c r="H159" s="729"/>
      <c r="I159" s="729"/>
      <c r="J159" s="729"/>
      <c r="K159" s="729"/>
      <c r="L159" s="729"/>
      <c r="M159" s="729"/>
      <c r="N159" s="729"/>
      <c r="O159" s="729"/>
      <c r="P159" s="729"/>
      <c r="Q159" s="729"/>
      <c r="R159" s="729"/>
      <c r="S159" s="729"/>
      <c r="T159" s="729"/>
      <c r="U159" s="729"/>
      <c r="V159" s="729"/>
      <c r="W159" s="729"/>
      <c r="X159" s="729"/>
      <c r="Y159" s="729"/>
      <c r="Z159" s="729"/>
    </row>
    <row r="160" spans="1:26">
      <c r="A160" s="729"/>
      <c r="B160" s="729"/>
      <c r="C160" s="729"/>
      <c r="D160" s="729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29"/>
      <c r="P160" s="729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</row>
    <row r="161" spans="1:26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M161" s="729"/>
      <c r="N161" s="729"/>
      <c r="O161" s="729"/>
      <c r="P161" s="729"/>
      <c r="Q161" s="729"/>
      <c r="R161" s="729"/>
      <c r="S161" s="729"/>
      <c r="T161" s="729"/>
      <c r="U161" s="729"/>
      <c r="V161" s="729"/>
      <c r="W161" s="729"/>
      <c r="X161" s="729"/>
      <c r="Y161" s="729"/>
      <c r="Z161" s="729"/>
    </row>
    <row r="162" spans="1:26">
      <c r="A162" s="729"/>
      <c r="B162" s="729"/>
      <c r="C162" s="729"/>
      <c r="D162" s="729"/>
      <c r="E162" s="729"/>
      <c r="F162" s="729"/>
      <c r="G162" s="729"/>
      <c r="H162" s="729"/>
      <c r="I162" s="729"/>
      <c r="J162" s="729"/>
      <c r="K162" s="729"/>
      <c r="L162" s="729"/>
      <c r="M162" s="729"/>
      <c r="N162" s="729"/>
      <c r="O162" s="729"/>
      <c r="P162" s="729"/>
      <c r="Q162" s="729"/>
      <c r="R162" s="729"/>
      <c r="S162" s="729"/>
      <c r="T162" s="729"/>
      <c r="U162" s="729"/>
      <c r="V162" s="729"/>
      <c r="W162" s="729"/>
      <c r="X162" s="729"/>
      <c r="Y162" s="729"/>
      <c r="Z162" s="729"/>
    </row>
    <row r="163" spans="1:26">
      <c r="A163" s="729"/>
      <c r="B163" s="729"/>
      <c r="C163" s="729"/>
      <c r="D163" s="729"/>
      <c r="E163" s="729"/>
      <c r="F163" s="729"/>
      <c r="G163" s="729"/>
      <c r="H163" s="729"/>
      <c r="I163" s="729"/>
      <c r="J163" s="729"/>
      <c r="K163" s="729"/>
      <c r="L163" s="729"/>
      <c r="M163" s="729"/>
      <c r="N163" s="729"/>
      <c r="O163" s="729"/>
      <c r="P163" s="729"/>
      <c r="Q163" s="729"/>
      <c r="R163" s="729"/>
      <c r="S163" s="729"/>
      <c r="T163" s="729"/>
      <c r="U163" s="729"/>
      <c r="V163" s="729"/>
      <c r="W163" s="729"/>
      <c r="X163" s="729"/>
      <c r="Y163" s="729"/>
      <c r="Z163" s="729"/>
    </row>
    <row r="164" spans="1:26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29"/>
      <c r="P164" s="729"/>
      <c r="Q164" s="729"/>
      <c r="R164" s="729"/>
      <c r="S164" s="729"/>
      <c r="T164" s="729"/>
      <c r="U164" s="729"/>
      <c r="V164" s="729"/>
      <c r="W164" s="729"/>
      <c r="X164" s="729"/>
      <c r="Y164" s="729"/>
      <c r="Z164" s="729"/>
    </row>
    <row r="165" spans="1:26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29"/>
      <c r="P165" s="729"/>
      <c r="Q165" s="729"/>
      <c r="R165" s="729"/>
      <c r="S165" s="729"/>
      <c r="T165" s="729"/>
      <c r="U165" s="729"/>
      <c r="V165" s="729"/>
      <c r="W165" s="729"/>
      <c r="X165" s="729"/>
      <c r="Y165" s="729"/>
      <c r="Z165" s="729"/>
    </row>
    <row r="166" spans="1:26">
      <c r="A166" s="729"/>
      <c r="B166" s="729"/>
      <c r="C166" s="729"/>
      <c r="D166" s="729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29"/>
      <c r="P166" s="729"/>
      <c r="Q166" s="729"/>
      <c r="R166" s="729"/>
      <c r="S166" s="729"/>
      <c r="T166" s="729"/>
      <c r="U166" s="729"/>
      <c r="V166" s="729"/>
      <c r="W166" s="729"/>
      <c r="X166" s="729"/>
      <c r="Y166" s="729"/>
      <c r="Z166" s="729"/>
    </row>
    <row r="167" spans="1:26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9"/>
      <c r="P167" s="729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</row>
    <row r="168" spans="1:26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9"/>
      <c r="P168" s="729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</row>
    <row r="169" spans="1:26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9"/>
      <c r="P169" s="729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</row>
    <row r="170" spans="1:26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9"/>
      <c r="P170" s="729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</row>
    <row r="171" spans="1:26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9"/>
      <c r="P171" s="729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</row>
    <row r="172" spans="1:26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</row>
    <row r="173" spans="1:26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</row>
    <row r="174" spans="1:26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</row>
    <row r="175" spans="1:26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</row>
    <row r="176" spans="1:26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</row>
    <row r="177" spans="1:26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</row>
    <row r="178" spans="1:26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</row>
    <row r="179" spans="1:26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</row>
    <row r="180" spans="1:26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</row>
    <row r="181" spans="1:26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</row>
    <row r="182" spans="1:26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</row>
    <row r="183" spans="1:26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</row>
    <row r="184" spans="1:26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</row>
    <row r="185" spans="1:26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</row>
    <row r="186" spans="1:26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</row>
    <row r="187" spans="1:26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</row>
    <row r="188" spans="1:26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</row>
    <row r="189" spans="1:26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</row>
    <row r="190" spans="1:26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</row>
    <row r="191" spans="1:26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</row>
    <row r="192" spans="1:26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</row>
    <row r="193" spans="1:26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</row>
    <row r="194" spans="1:26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</row>
    <row r="195" spans="1:26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</row>
    <row r="196" spans="1:26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9"/>
      <c r="P196" s="729"/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</row>
    <row r="197" spans="1:26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9"/>
      <c r="P197" s="729"/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</row>
    <row r="198" spans="1:26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9"/>
      <c r="P198" s="729"/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</row>
    <row r="199" spans="1:26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9"/>
      <c r="P199" s="729"/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</row>
    <row r="200" spans="1:26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9"/>
      <c r="P200" s="729"/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</row>
    <row r="201" spans="1:26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9"/>
      <c r="P201" s="729"/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</row>
    <row r="202" spans="1:26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9"/>
      <c r="P202" s="729"/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</row>
    <row r="203" spans="1:26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9"/>
      <c r="P203" s="729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</row>
    <row r="204" spans="1:26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9"/>
      <c r="P204" s="729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</row>
    <row r="205" spans="1:26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9"/>
      <c r="P205" s="729"/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</row>
    <row r="206" spans="1:26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9"/>
      <c r="P206" s="729"/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</row>
    <row r="207" spans="1:26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9"/>
      <c r="P207" s="729"/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</row>
    <row r="208" spans="1:26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9"/>
      <c r="P208" s="729"/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</row>
    <row r="209" spans="1:26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9"/>
      <c r="P209" s="729"/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</row>
    <row r="210" spans="1:26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9"/>
      <c r="P210" s="729"/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</row>
    <row r="211" spans="1:26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9"/>
      <c r="P211" s="729"/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</row>
    <row r="212" spans="1:26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</row>
    <row r="213" spans="1:26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9"/>
      <c r="P213" s="729"/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</row>
    <row r="214" spans="1:26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9"/>
      <c r="P214" s="729"/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</row>
    <row r="215" spans="1:26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9"/>
      <c r="P215" s="729"/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</row>
    <row r="216" spans="1:26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9"/>
      <c r="P216" s="729"/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</row>
    <row r="217" spans="1:26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9"/>
      <c r="P217" s="729"/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</row>
    <row r="218" spans="1:26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9"/>
      <c r="P218" s="729"/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</row>
    <row r="219" spans="1:26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9"/>
      <c r="P219" s="729"/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</row>
    <row r="220" spans="1:26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9"/>
      <c r="P220" s="729"/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</row>
    <row r="221" spans="1:26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9"/>
      <c r="P221" s="729"/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</row>
    <row r="222" spans="1:26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9"/>
      <c r="P222" s="729"/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</row>
    <row r="223" spans="1:26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9"/>
      <c r="P223" s="729"/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</row>
    <row r="224" spans="1:26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9"/>
      <c r="P224" s="729"/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</row>
    <row r="225" spans="1:26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9"/>
      <c r="P225" s="729"/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</row>
    <row r="226" spans="1:26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9"/>
      <c r="P226" s="729"/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</row>
    <row r="227" spans="1:26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</row>
    <row r="228" spans="1:26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9"/>
      <c r="P228" s="729"/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</row>
    <row r="229" spans="1:26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9"/>
      <c r="P229" s="729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</row>
    <row r="230" spans="1:26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9"/>
      <c r="P230" s="729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</row>
    <row r="231" spans="1:26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9"/>
      <c r="P231" s="729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</row>
    <row r="232" spans="1:26">
      <c r="A232" s="729"/>
      <c r="B232" s="729"/>
      <c r="C232" s="729"/>
      <c r="D232" s="729"/>
      <c r="E232" s="729"/>
      <c r="F232" s="729"/>
      <c r="G232" s="729"/>
      <c r="H232" s="729"/>
      <c r="I232" s="729"/>
      <c r="J232" s="729"/>
      <c r="K232" s="729"/>
      <c r="L232" s="729"/>
      <c r="M232" s="729"/>
      <c r="N232" s="729"/>
      <c r="O232" s="729"/>
      <c r="P232" s="729"/>
      <c r="Q232" s="729"/>
      <c r="R232" s="729"/>
      <c r="S232" s="729"/>
      <c r="T232" s="729"/>
      <c r="U232" s="729"/>
      <c r="V232" s="729"/>
      <c r="W232" s="729"/>
      <c r="X232" s="729"/>
      <c r="Y232" s="729"/>
      <c r="Z232" s="729"/>
    </row>
    <row r="233" spans="1:26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29"/>
      <c r="P233" s="729"/>
      <c r="Q233" s="729"/>
      <c r="R233" s="729"/>
      <c r="S233" s="729"/>
      <c r="T233" s="729"/>
      <c r="U233" s="729"/>
      <c r="V233" s="729"/>
      <c r="W233" s="729"/>
      <c r="X233" s="729"/>
      <c r="Y233" s="729"/>
      <c r="Z233" s="729"/>
    </row>
    <row r="234" spans="1:26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29"/>
      <c r="P234" s="729"/>
      <c r="Q234" s="729"/>
      <c r="R234" s="729"/>
      <c r="S234" s="729"/>
      <c r="T234" s="729"/>
      <c r="U234" s="729"/>
      <c r="V234" s="729"/>
      <c r="W234" s="729"/>
      <c r="X234" s="729"/>
      <c r="Y234" s="729"/>
      <c r="Z234" s="729"/>
    </row>
    <row r="235" spans="1:26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29"/>
      <c r="P235" s="729"/>
      <c r="Q235" s="729"/>
      <c r="R235" s="729"/>
      <c r="S235" s="729"/>
      <c r="T235" s="729"/>
      <c r="U235" s="729"/>
      <c r="V235" s="729"/>
      <c r="W235" s="729"/>
      <c r="X235" s="729"/>
      <c r="Y235" s="729"/>
      <c r="Z235" s="729"/>
    </row>
    <row r="236" spans="1:26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29"/>
      <c r="P236" s="729"/>
      <c r="Q236" s="729"/>
      <c r="R236" s="729"/>
      <c r="S236" s="729"/>
      <c r="T236" s="729"/>
      <c r="U236" s="729"/>
      <c r="V236" s="729"/>
      <c r="W236" s="729"/>
      <c r="X236" s="729"/>
      <c r="Y236" s="729"/>
      <c r="Z236" s="729"/>
    </row>
    <row r="237" spans="1:26">
      <c r="A237" s="729"/>
      <c r="B237" s="729"/>
      <c r="C237" s="729"/>
      <c r="D237" s="729"/>
      <c r="E237" s="729"/>
      <c r="F237" s="729"/>
      <c r="G237" s="729"/>
      <c r="H237" s="729"/>
      <c r="I237" s="729"/>
      <c r="J237" s="729"/>
      <c r="K237" s="729"/>
      <c r="L237" s="729"/>
      <c r="M237" s="729"/>
      <c r="N237" s="729"/>
      <c r="O237" s="729"/>
      <c r="P237" s="729"/>
      <c r="Q237" s="729"/>
      <c r="R237" s="729"/>
      <c r="S237" s="729"/>
      <c r="T237" s="729"/>
      <c r="U237" s="729"/>
      <c r="V237" s="729"/>
      <c r="W237" s="729"/>
      <c r="X237" s="729"/>
      <c r="Y237" s="729"/>
      <c r="Z237" s="729"/>
    </row>
    <row r="238" spans="1:26">
      <c r="A238" s="729"/>
      <c r="B238" s="729"/>
      <c r="C238" s="729"/>
      <c r="D238" s="729"/>
      <c r="E238" s="729"/>
      <c r="F238" s="729"/>
      <c r="G238" s="729"/>
      <c r="H238" s="729"/>
      <c r="I238" s="729"/>
      <c r="J238" s="729"/>
      <c r="K238" s="729"/>
      <c r="L238" s="729"/>
      <c r="M238" s="729"/>
      <c r="N238" s="729"/>
      <c r="O238" s="729"/>
      <c r="P238" s="729"/>
      <c r="Q238" s="729"/>
      <c r="R238" s="729"/>
      <c r="S238" s="729"/>
      <c r="T238" s="729"/>
      <c r="U238" s="729"/>
      <c r="V238" s="729"/>
      <c r="W238" s="729"/>
      <c r="X238" s="729"/>
      <c r="Y238" s="729"/>
      <c r="Z238" s="729"/>
    </row>
    <row r="239" spans="1:26">
      <c r="A239" s="729"/>
      <c r="B239" s="729"/>
      <c r="C239" s="729"/>
      <c r="D239" s="729"/>
      <c r="E239" s="729"/>
      <c r="F239" s="729"/>
      <c r="G239" s="729"/>
      <c r="H239" s="729"/>
      <c r="I239" s="729"/>
      <c r="J239" s="729"/>
      <c r="K239" s="729"/>
      <c r="L239" s="729"/>
      <c r="M239" s="729"/>
      <c r="N239" s="729"/>
      <c r="O239" s="729"/>
      <c r="P239" s="729"/>
      <c r="Q239" s="729"/>
      <c r="R239" s="729"/>
      <c r="S239" s="729"/>
      <c r="T239" s="729"/>
      <c r="U239" s="729"/>
      <c r="V239" s="729"/>
      <c r="W239" s="729"/>
      <c r="X239" s="729"/>
      <c r="Y239" s="729"/>
      <c r="Z239" s="729"/>
    </row>
  </sheetData>
  <mergeCells count="10">
    <mergeCell ref="J29:K29"/>
    <mergeCell ref="C100:E100"/>
    <mergeCell ref="C119:G119"/>
    <mergeCell ref="J21:K21"/>
    <mergeCell ref="J22:K22"/>
    <mergeCell ref="J23:K23"/>
    <mergeCell ref="J24:K24"/>
    <mergeCell ref="J28:K28"/>
    <mergeCell ref="B2:J2"/>
    <mergeCell ref="J20:K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9C4B-616E-4ED5-A0D5-B135F1546046}">
  <sheetPr>
    <tabColor rgb="FFA6A6A6"/>
  </sheetPr>
  <dimension ref="A1:BA537"/>
  <sheetViews>
    <sheetView showGridLines="0" topLeftCell="A23" zoomScale="59" workbookViewId="0">
      <pane xSplit="2" topLeftCell="C1" activePane="topRight" state="frozen"/>
      <selection pane="topRight"/>
    </sheetView>
    <sheetView topLeftCell="A74" zoomScale="47" workbookViewId="1"/>
  </sheetViews>
  <sheetFormatPr defaultRowHeight="14.4" outlineLevelRow="1"/>
  <cols>
    <col min="1" max="1" width="63" style="17" customWidth="1"/>
    <col min="2" max="2" width="63" style="6" customWidth="1"/>
    <col min="3" max="35" width="17" style="6" customWidth="1"/>
    <col min="36" max="49" width="13.33203125" style="6" customWidth="1"/>
    <col min="50" max="53" width="15.21875" style="6" customWidth="1"/>
    <col min="54" max="16384" width="8.88671875" style="6"/>
  </cols>
  <sheetData>
    <row r="1" spans="1:53" ht="15" customHeight="1">
      <c r="A1" s="649" t="s">
        <v>821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484"/>
      <c r="R1" s="484"/>
      <c r="S1" s="484"/>
      <c r="T1" s="484"/>
      <c r="U1" s="484"/>
      <c r="V1" s="484"/>
      <c r="W1" s="484"/>
      <c r="X1" s="484"/>
      <c r="Y1" s="484"/>
      <c r="Z1" s="484"/>
      <c r="AA1" s="484"/>
      <c r="AB1" s="484"/>
      <c r="AC1" s="484"/>
      <c r="AD1" s="484"/>
      <c r="AE1" s="484"/>
      <c r="AF1" s="484"/>
      <c r="AG1" s="484"/>
      <c r="AH1" s="484"/>
      <c r="AI1" s="484"/>
      <c r="AJ1" s="1036"/>
      <c r="AK1" s="1036"/>
      <c r="AL1" s="1036"/>
      <c r="AM1" s="1036"/>
      <c r="AN1" s="1036"/>
      <c r="AO1" s="1036"/>
      <c r="AP1" s="1036"/>
      <c r="AQ1" s="1036"/>
      <c r="AR1" s="1036"/>
      <c r="AS1" s="1036"/>
      <c r="AT1" s="1036"/>
      <c r="AU1" s="1036"/>
      <c r="AV1" s="1036"/>
      <c r="AW1" s="1036"/>
      <c r="AX1" s="1036"/>
      <c r="AY1" s="5"/>
      <c r="AZ1" s="5"/>
      <c r="BA1" s="5"/>
    </row>
    <row r="2" spans="1:53" ht="15" customHeight="1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" customHeight="1">
      <c r="A3" s="147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ht="15" customHeight="1">
      <c r="A4" s="147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ht="15" customHeight="1">
      <c r="A5" s="147"/>
      <c r="B5" s="30"/>
      <c r="C5" s="30" t="s">
        <v>822</v>
      </c>
      <c r="D5" s="30"/>
      <c r="E5" s="30"/>
      <c r="F5" s="30"/>
      <c r="G5" s="30"/>
      <c r="H5" s="317">
        <v>5.0999999999999997E-2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9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:53" ht="15" customHeight="1">
      <c r="A6" s="147"/>
      <c r="B6" s="30"/>
      <c r="C6" s="30" t="s">
        <v>823</v>
      </c>
      <c r="D6" s="30"/>
      <c r="E6" s="30"/>
      <c r="F6" s="30"/>
      <c r="G6" s="30"/>
      <c r="H6" s="318">
        <v>4000</v>
      </c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9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:53" ht="15" customHeight="1" thickBot="1">
      <c r="A7" s="650"/>
      <c r="B7" s="651" t="s">
        <v>824</v>
      </c>
      <c r="C7" s="651"/>
      <c r="D7" s="651"/>
      <c r="E7" s="651"/>
      <c r="F7" s="651"/>
      <c r="G7" s="651"/>
      <c r="H7" s="651"/>
      <c r="I7" s="651"/>
      <c r="J7" s="651"/>
      <c r="K7" s="651"/>
      <c r="L7" s="651"/>
      <c r="M7" s="651"/>
      <c r="N7" s="651"/>
      <c r="O7" s="651"/>
      <c r="P7" s="651"/>
      <c r="Q7" s="651"/>
      <c r="R7" s="651"/>
      <c r="S7" s="651"/>
      <c r="T7" s="651"/>
      <c r="U7" s="651"/>
      <c r="V7" s="651"/>
      <c r="W7" s="651"/>
      <c r="X7" s="651"/>
      <c r="Y7" s="651"/>
      <c r="Z7" s="651"/>
      <c r="AA7" s="651"/>
      <c r="AB7" s="651"/>
      <c r="AC7" s="651"/>
      <c r="AD7" s="651"/>
      <c r="AE7" s="651"/>
      <c r="AF7" s="651"/>
      <c r="AG7" s="651"/>
      <c r="AH7" s="651"/>
      <c r="AI7" s="651"/>
      <c r="AJ7" s="1037"/>
      <c r="AK7" s="1038"/>
      <c r="AL7" s="1038"/>
      <c r="AM7" s="1038"/>
      <c r="AN7" s="1038"/>
      <c r="AO7" s="1038"/>
      <c r="AP7" s="1038"/>
      <c r="AQ7" s="1038"/>
      <c r="AR7" s="1038"/>
      <c r="AS7" s="1038"/>
      <c r="AT7" s="1038"/>
      <c r="AU7" s="1038"/>
      <c r="AV7" s="1038"/>
      <c r="AW7" s="1038"/>
      <c r="AX7" s="1038"/>
      <c r="AY7" s="10"/>
      <c r="AZ7" s="10"/>
      <c r="BA7" s="10"/>
    </row>
    <row r="8" spans="1:53" ht="15" customHeight="1">
      <c r="A8" s="147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9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 spans="1:53" ht="15" customHeight="1">
      <c r="A9" s="470"/>
      <c r="B9" s="470"/>
      <c r="C9" s="470"/>
      <c r="D9" s="470"/>
      <c r="E9" s="470"/>
      <c r="F9" s="470"/>
      <c r="G9" s="470"/>
      <c r="H9" s="470"/>
      <c r="I9" s="470"/>
      <c r="J9" s="470"/>
      <c r="K9" s="470"/>
      <c r="L9" s="470"/>
      <c r="M9" s="470"/>
      <c r="N9" s="470"/>
      <c r="O9" s="470"/>
      <c r="P9" s="470"/>
      <c r="Q9" s="470"/>
      <c r="R9" s="470"/>
      <c r="S9" s="471"/>
      <c r="T9" s="470"/>
      <c r="U9" s="472" t="s">
        <v>16</v>
      </c>
      <c r="V9" s="470"/>
      <c r="W9" s="470"/>
      <c r="X9" s="470"/>
      <c r="Y9" s="470"/>
      <c r="Z9" s="470"/>
      <c r="AA9" s="470"/>
      <c r="AB9" s="470"/>
      <c r="AC9" s="470"/>
      <c r="AD9" s="470"/>
      <c r="AE9" s="470"/>
      <c r="AF9" s="470"/>
      <c r="AG9" s="470"/>
      <c r="AH9" s="470"/>
      <c r="AI9" s="470"/>
      <c r="AJ9" s="9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 spans="1:53" ht="30" customHeight="1">
      <c r="A10" s="477" t="s">
        <v>825</v>
      </c>
      <c r="B10" s="473" t="s">
        <v>826</v>
      </c>
      <c r="C10" s="473"/>
      <c r="D10" s="473"/>
      <c r="E10" s="473" t="s">
        <v>827</v>
      </c>
      <c r="F10" s="473"/>
      <c r="G10" s="473" t="s">
        <v>4</v>
      </c>
      <c r="H10" s="473" t="s">
        <v>5</v>
      </c>
      <c r="I10" s="473" t="s">
        <v>6</v>
      </c>
      <c r="J10" s="473" t="s">
        <v>7</v>
      </c>
      <c r="K10" s="473" t="s">
        <v>8</v>
      </c>
      <c r="L10" s="473" t="s">
        <v>9</v>
      </c>
      <c r="M10" s="473" t="s">
        <v>10</v>
      </c>
      <c r="N10" s="473" t="s">
        <v>11</v>
      </c>
      <c r="O10" s="473" t="s">
        <v>12</v>
      </c>
      <c r="P10" s="473" t="s">
        <v>13</v>
      </c>
      <c r="Q10" s="473" t="s">
        <v>14</v>
      </c>
      <c r="R10" s="473" t="s">
        <v>15</v>
      </c>
      <c r="S10" s="474"/>
      <c r="T10" s="475"/>
      <c r="U10" s="473"/>
      <c r="V10" s="476"/>
      <c r="W10" s="476"/>
      <c r="X10" s="476"/>
      <c r="Y10" s="476"/>
      <c r="Z10" s="476"/>
      <c r="AA10" s="476"/>
      <c r="AB10" s="476"/>
      <c r="AC10" s="476"/>
      <c r="AD10" s="476"/>
      <c r="AE10" s="476"/>
      <c r="AF10" s="476"/>
      <c r="AG10" s="476"/>
      <c r="AH10" s="476"/>
      <c r="AI10" s="476"/>
      <c r="AJ10" s="9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 spans="1:53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148"/>
      <c r="T11" s="33"/>
      <c r="U11" s="319">
        <f>SUM(G12:R12)</f>
        <v>18222903999.999989</v>
      </c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9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 spans="1:53" ht="15" customHeight="1">
      <c r="A12" s="28" t="s">
        <v>828</v>
      </c>
      <c r="B12" s="29" t="s">
        <v>829</v>
      </c>
      <c r="C12" s="29"/>
      <c r="D12" s="29"/>
      <c r="E12" s="28" t="s">
        <v>140</v>
      </c>
      <c r="F12" s="28"/>
      <c r="G12" s="320">
        <v>744929610.00183046</v>
      </c>
      <c r="H12" s="320">
        <v>1417283217.2461691</v>
      </c>
      <c r="I12" s="320">
        <v>1584954398.6908257</v>
      </c>
      <c r="J12" s="320">
        <v>1436763004.8671939</v>
      </c>
      <c r="K12" s="320">
        <v>1612320476.1948967</v>
      </c>
      <c r="L12" s="320">
        <v>1502235498.5128272</v>
      </c>
      <c r="M12" s="320">
        <v>1552338111.0296903</v>
      </c>
      <c r="N12" s="320">
        <v>1534357699.7836356</v>
      </c>
      <c r="O12" s="320">
        <v>1697053712.8761859</v>
      </c>
      <c r="P12" s="320">
        <v>1679816121.4463785</v>
      </c>
      <c r="Q12" s="320">
        <v>1692867022.4232883</v>
      </c>
      <c r="R12" s="320">
        <v>1767985126.9270647</v>
      </c>
      <c r="S12" s="148"/>
      <c r="T12" s="33"/>
      <c r="U12" s="27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9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spans="1:53" ht="15" customHeight="1">
      <c r="A13" s="28"/>
      <c r="B13" s="29"/>
      <c r="C13" s="29"/>
      <c r="D13" s="29"/>
      <c r="E13" s="28"/>
      <c r="F13" s="28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148"/>
      <c r="T13" s="33"/>
      <c r="U13" s="319">
        <f>SUM(G14:R14)</f>
        <v>4555725.9999999963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9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 spans="1:53" ht="15" customHeight="1">
      <c r="A14" s="28" t="s">
        <v>828</v>
      </c>
      <c r="B14" s="29" t="s">
        <v>829</v>
      </c>
      <c r="C14" s="29"/>
      <c r="D14" s="29"/>
      <c r="E14" s="28" t="s">
        <v>146</v>
      </c>
      <c r="F14" s="28"/>
      <c r="G14" s="320">
        <v>186232.40250045763</v>
      </c>
      <c r="H14" s="320">
        <v>354320.80431154225</v>
      </c>
      <c r="I14" s="320">
        <v>396238.59967270645</v>
      </c>
      <c r="J14" s="320">
        <v>359190.7512167985</v>
      </c>
      <c r="K14" s="320">
        <v>403080.11904872418</v>
      </c>
      <c r="L14" s="320">
        <v>375558.87462820677</v>
      </c>
      <c r="M14" s="320">
        <v>388084.52775742259</v>
      </c>
      <c r="N14" s="320">
        <v>383589.42494590889</v>
      </c>
      <c r="O14" s="320">
        <v>424263.42821904644</v>
      </c>
      <c r="P14" s="320">
        <v>419954.03036159463</v>
      </c>
      <c r="Q14" s="320">
        <v>423216.75560582208</v>
      </c>
      <c r="R14" s="320">
        <v>441996.28173176618</v>
      </c>
      <c r="S14" s="27"/>
      <c r="T14" s="33"/>
      <c r="U14" s="27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9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 spans="1:53" ht="15" customHeight="1">
      <c r="A15" s="147"/>
      <c r="B15" s="30"/>
      <c r="C15" s="30"/>
      <c r="D15" s="30"/>
      <c r="E15" s="30"/>
      <c r="F15" s="28"/>
      <c r="G15" s="28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30"/>
      <c r="U15" s="27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9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 spans="1:53" ht="15" customHeight="1">
      <c r="A16" s="478"/>
      <c r="B16" s="470"/>
      <c r="C16" s="470"/>
      <c r="D16" s="470"/>
      <c r="E16" s="470"/>
      <c r="F16" s="479" t="s">
        <v>830</v>
      </c>
      <c r="G16" s="479"/>
      <c r="H16" s="480"/>
      <c r="I16" s="480"/>
      <c r="J16" s="480"/>
      <c r="K16" s="480"/>
      <c r="L16" s="480"/>
      <c r="M16" s="480"/>
      <c r="N16" s="480"/>
      <c r="O16" s="480"/>
      <c r="P16" s="480"/>
      <c r="Q16" s="480"/>
      <c r="R16" s="480"/>
      <c r="S16" s="480"/>
      <c r="T16" s="470"/>
      <c r="U16" s="480"/>
      <c r="V16" s="470"/>
      <c r="W16" s="470"/>
      <c r="X16" s="470"/>
      <c r="Y16" s="470"/>
      <c r="Z16" s="470"/>
      <c r="AA16" s="470"/>
      <c r="AB16" s="470"/>
      <c r="AC16" s="470"/>
      <c r="AD16" s="470"/>
      <c r="AE16" s="470"/>
      <c r="AF16" s="470"/>
      <c r="AG16" s="470"/>
      <c r="AH16" s="470"/>
      <c r="AI16" s="470"/>
      <c r="AJ16" s="9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 spans="1:53" ht="15" customHeight="1">
      <c r="A17" s="147"/>
      <c r="B17" s="30"/>
      <c r="C17" s="30"/>
      <c r="D17" s="30" t="s">
        <v>831</v>
      </c>
      <c r="E17" s="30" t="s">
        <v>832</v>
      </c>
      <c r="F17" s="321">
        <f>1/12</f>
        <v>8.3333333333333329E-2</v>
      </c>
      <c r="G17" s="149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30"/>
      <c r="U17" s="27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9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 spans="1:53" ht="15" customHeight="1">
      <c r="A18" s="30"/>
      <c r="B18" s="30"/>
      <c r="C18" s="30"/>
      <c r="D18" s="149"/>
      <c r="E18" s="149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30"/>
      <c r="S18" s="27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14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 spans="1:53" ht="30" customHeight="1">
      <c r="A19" s="483"/>
      <c r="B19" s="476"/>
      <c r="C19" s="476"/>
      <c r="D19" s="481"/>
      <c r="E19" s="481"/>
      <c r="F19" s="482" t="str">
        <f t="shared" ref="F19:Q19" si="0">G10</f>
        <v>2026-01</v>
      </c>
      <c r="G19" s="482" t="str">
        <f t="shared" si="0"/>
        <v>2026-02</v>
      </c>
      <c r="H19" s="482" t="str">
        <f t="shared" si="0"/>
        <v>2026-03</v>
      </c>
      <c r="I19" s="482" t="str">
        <f t="shared" si="0"/>
        <v>2026-04</v>
      </c>
      <c r="J19" s="482" t="str">
        <f t="shared" si="0"/>
        <v>2026-05</v>
      </c>
      <c r="K19" s="482" t="str">
        <f t="shared" si="0"/>
        <v>2026-06</v>
      </c>
      <c r="L19" s="482" t="str">
        <f t="shared" si="0"/>
        <v>2026-07</v>
      </c>
      <c r="M19" s="482" t="str">
        <f t="shared" si="0"/>
        <v>2026-08</v>
      </c>
      <c r="N19" s="482" t="str">
        <f t="shared" si="0"/>
        <v>2026-09</v>
      </c>
      <c r="O19" s="482" t="str">
        <f t="shared" si="0"/>
        <v>2026-10</v>
      </c>
      <c r="P19" s="482" t="str">
        <f t="shared" si="0"/>
        <v>2026-11</v>
      </c>
      <c r="Q19" s="482" t="str">
        <f t="shared" si="0"/>
        <v>2026-12</v>
      </c>
      <c r="R19" s="476"/>
      <c r="S19" s="482" t="str">
        <f>U9</f>
        <v>Total 2026</v>
      </c>
      <c r="T19" s="476"/>
      <c r="U19" s="476"/>
      <c r="V19" s="476"/>
      <c r="W19" s="476"/>
      <c r="X19" s="476"/>
      <c r="Y19" s="476"/>
      <c r="Z19" s="476"/>
      <c r="AA19" s="476"/>
      <c r="AB19" s="476"/>
      <c r="AC19" s="476"/>
      <c r="AD19" s="476"/>
      <c r="AE19" s="476"/>
      <c r="AF19" s="476"/>
      <c r="AG19" s="476"/>
      <c r="AH19" s="476"/>
      <c r="AI19" s="474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 spans="1:53" ht="15" customHeight="1" thickBot="1">
      <c r="A20" s="652" t="s">
        <v>833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2"/>
      <c r="AB20" s="652"/>
      <c r="AC20" s="652"/>
      <c r="AD20" s="652"/>
      <c r="AE20" s="652"/>
      <c r="AF20" s="652"/>
      <c r="AG20" s="652"/>
      <c r="AH20" s="652"/>
      <c r="AI20" s="626"/>
      <c r="AJ20" s="1038"/>
      <c r="AK20" s="1038"/>
      <c r="AL20" s="1038"/>
      <c r="AM20" s="1038"/>
      <c r="AN20" s="1038"/>
      <c r="AO20" s="1038"/>
      <c r="AP20" s="1038"/>
      <c r="AQ20" s="1038"/>
      <c r="AR20" s="1038"/>
      <c r="AS20" s="1038"/>
      <c r="AT20" s="1038"/>
      <c r="AU20" s="1038"/>
      <c r="AV20" s="1038"/>
      <c r="AW20" s="1038"/>
      <c r="AX20" s="1038"/>
      <c r="AY20" s="10"/>
      <c r="AZ20" s="10"/>
      <c r="BA20" s="10"/>
    </row>
    <row r="21" spans="1:53" ht="15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14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 spans="1:53" ht="15" customHeight="1" thickBot="1">
      <c r="A22" s="34" t="s">
        <v>388</v>
      </c>
      <c r="B22" s="34"/>
      <c r="C22" s="34"/>
      <c r="D22" s="34"/>
      <c r="E22" s="34"/>
      <c r="F22" s="322">
        <f t="shared" ref="F22:Q22" si="1">G12</f>
        <v>744929610.00183046</v>
      </c>
      <c r="G22" s="322">
        <f t="shared" si="1"/>
        <v>1417283217.2461691</v>
      </c>
      <c r="H22" s="322">
        <f t="shared" si="1"/>
        <v>1584954398.6908257</v>
      </c>
      <c r="I22" s="322">
        <f t="shared" si="1"/>
        <v>1436763004.8671939</v>
      </c>
      <c r="J22" s="322">
        <f t="shared" si="1"/>
        <v>1612320476.1948967</v>
      </c>
      <c r="K22" s="322">
        <f t="shared" si="1"/>
        <v>1502235498.5128272</v>
      </c>
      <c r="L22" s="322">
        <f t="shared" si="1"/>
        <v>1552338111.0296903</v>
      </c>
      <c r="M22" s="322">
        <f t="shared" si="1"/>
        <v>1534357699.7836356</v>
      </c>
      <c r="N22" s="322">
        <f t="shared" si="1"/>
        <v>1697053712.8761859</v>
      </c>
      <c r="O22" s="322">
        <f t="shared" si="1"/>
        <v>1679816121.4463785</v>
      </c>
      <c r="P22" s="322">
        <f t="shared" si="1"/>
        <v>1692867022.4232883</v>
      </c>
      <c r="Q22" s="322">
        <f t="shared" si="1"/>
        <v>1767985126.9270647</v>
      </c>
      <c r="R22" s="30"/>
      <c r="S22" s="322">
        <f>SUM(F22:Q22)</f>
        <v>18222903999.999989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14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 spans="1:53" ht="1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14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ht="15" customHeight="1">
      <c r="A24" s="470"/>
      <c r="B24" s="470"/>
      <c r="C24" s="470"/>
      <c r="D24" s="470" t="s">
        <v>291</v>
      </c>
      <c r="E24" s="470"/>
      <c r="F24" s="470"/>
      <c r="G24" s="470"/>
      <c r="H24" s="470"/>
      <c r="I24" s="470"/>
      <c r="J24" s="470"/>
      <c r="K24" s="470"/>
      <c r="L24" s="470"/>
      <c r="M24" s="470"/>
      <c r="N24" s="470"/>
      <c r="O24" s="470"/>
      <c r="P24" s="470"/>
      <c r="Q24" s="470"/>
      <c r="R24" s="470"/>
      <c r="S24" s="470"/>
      <c r="T24" s="470"/>
      <c r="U24" s="470"/>
      <c r="V24" s="470"/>
      <c r="W24" s="470"/>
      <c r="X24" s="470"/>
      <c r="Y24" s="470"/>
      <c r="Z24" s="470"/>
      <c r="AA24" s="470"/>
      <c r="AB24" s="470"/>
      <c r="AC24" s="470"/>
      <c r="AD24" s="470"/>
      <c r="AE24" s="470"/>
      <c r="AF24" s="470"/>
      <c r="AG24" s="470"/>
      <c r="AH24" s="470"/>
      <c r="AI24" s="471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ht="15" customHeight="1" thickBot="1">
      <c r="A25" s="34" t="s">
        <v>153</v>
      </c>
      <c r="B25" s="323">
        <v>5086003306.1800003</v>
      </c>
      <c r="C25" s="322">
        <f>B25*(1+$H$5)</f>
        <v>5345389474.7951803</v>
      </c>
      <c r="D25" s="34"/>
      <c r="E25" s="34"/>
      <c r="F25" s="322">
        <f t="shared" ref="F25:Q27" si="2">$C25*$F$17</f>
        <v>445449122.89959836</v>
      </c>
      <c r="G25" s="322">
        <f t="shared" si="2"/>
        <v>445449122.89959836</v>
      </c>
      <c r="H25" s="322">
        <f t="shared" si="2"/>
        <v>445449122.89959836</v>
      </c>
      <c r="I25" s="322">
        <f t="shared" si="2"/>
        <v>445449122.89959836</v>
      </c>
      <c r="J25" s="322">
        <f t="shared" si="2"/>
        <v>445449122.89959836</v>
      </c>
      <c r="K25" s="322">
        <f t="shared" si="2"/>
        <v>445449122.89959836</v>
      </c>
      <c r="L25" s="322">
        <f t="shared" si="2"/>
        <v>445449122.89959836</v>
      </c>
      <c r="M25" s="322">
        <f t="shared" si="2"/>
        <v>445449122.89959836</v>
      </c>
      <c r="N25" s="322">
        <f t="shared" si="2"/>
        <v>445449122.89959836</v>
      </c>
      <c r="O25" s="322">
        <f t="shared" si="2"/>
        <v>445449122.89959836</v>
      </c>
      <c r="P25" s="322">
        <f t="shared" si="2"/>
        <v>445449122.89959836</v>
      </c>
      <c r="Q25" s="322">
        <f t="shared" si="2"/>
        <v>445449122.89959836</v>
      </c>
      <c r="R25" s="30"/>
      <c r="S25" s="322">
        <f>SUM(F25:Q25)</f>
        <v>5345389474.7951784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14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 ht="15" customHeight="1">
      <c r="A26" s="30" t="s">
        <v>834</v>
      </c>
      <c r="B26" s="318">
        <v>3096729028.02</v>
      </c>
      <c r="C26" s="324">
        <f>B26*(1+$H$5)</f>
        <v>3254662208.4490199</v>
      </c>
      <c r="D26" s="31"/>
      <c r="E26" s="31"/>
      <c r="F26" s="324">
        <f t="shared" si="2"/>
        <v>271221850.70408499</v>
      </c>
      <c r="G26" s="324">
        <f t="shared" si="2"/>
        <v>271221850.70408499</v>
      </c>
      <c r="H26" s="324">
        <f t="shared" si="2"/>
        <v>271221850.70408499</v>
      </c>
      <c r="I26" s="324">
        <f t="shared" si="2"/>
        <v>271221850.70408499</v>
      </c>
      <c r="J26" s="324">
        <f t="shared" si="2"/>
        <v>271221850.70408499</v>
      </c>
      <c r="K26" s="324">
        <f t="shared" si="2"/>
        <v>271221850.70408499</v>
      </c>
      <c r="L26" s="324">
        <f t="shared" si="2"/>
        <v>271221850.70408499</v>
      </c>
      <c r="M26" s="324">
        <f t="shared" si="2"/>
        <v>271221850.70408499</v>
      </c>
      <c r="N26" s="324">
        <f t="shared" si="2"/>
        <v>271221850.70408499</v>
      </c>
      <c r="O26" s="324">
        <f t="shared" si="2"/>
        <v>271221850.70408499</v>
      </c>
      <c r="P26" s="324">
        <f t="shared" si="2"/>
        <v>271221850.70408499</v>
      </c>
      <c r="Q26" s="324">
        <f t="shared" si="2"/>
        <v>271221850.70408499</v>
      </c>
      <c r="R26" s="30"/>
      <c r="S26" s="324">
        <f>SUM(F26:Q26)</f>
        <v>3254662208.449019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14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ht="15" customHeight="1">
      <c r="A27" s="30" t="s">
        <v>835</v>
      </c>
      <c r="B27" s="318">
        <v>1989274278.1600001</v>
      </c>
      <c r="C27" s="324">
        <f>B27*(1+$H$5)</f>
        <v>2090727266.3461599</v>
      </c>
      <c r="D27" s="31"/>
      <c r="E27" s="31"/>
      <c r="F27" s="324">
        <f t="shared" si="2"/>
        <v>174227272.19551331</v>
      </c>
      <c r="G27" s="324">
        <f t="shared" si="2"/>
        <v>174227272.19551331</v>
      </c>
      <c r="H27" s="324">
        <f t="shared" si="2"/>
        <v>174227272.19551331</v>
      </c>
      <c r="I27" s="324">
        <f t="shared" si="2"/>
        <v>174227272.19551331</v>
      </c>
      <c r="J27" s="324">
        <f t="shared" si="2"/>
        <v>174227272.19551331</v>
      </c>
      <c r="K27" s="324">
        <f t="shared" si="2"/>
        <v>174227272.19551331</v>
      </c>
      <c r="L27" s="324">
        <f t="shared" si="2"/>
        <v>174227272.19551331</v>
      </c>
      <c r="M27" s="324">
        <f t="shared" si="2"/>
        <v>174227272.19551331</v>
      </c>
      <c r="N27" s="324">
        <f t="shared" si="2"/>
        <v>174227272.19551331</v>
      </c>
      <c r="O27" s="324">
        <f t="shared" si="2"/>
        <v>174227272.19551331</v>
      </c>
      <c r="P27" s="324">
        <f t="shared" si="2"/>
        <v>174227272.19551331</v>
      </c>
      <c r="Q27" s="324">
        <f t="shared" si="2"/>
        <v>174227272.19551331</v>
      </c>
      <c r="R27" s="30"/>
      <c r="S27" s="324">
        <f>SUM(F27:Q27)</f>
        <v>2090727266.3461592</v>
      </c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14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5" customHeight="1">
      <c r="A28" s="30"/>
      <c r="B28" s="30"/>
      <c r="C28" s="30"/>
      <c r="D28" s="31"/>
      <c r="E28" s="31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14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15" customHeight="1" thickBot="1">
      <c r="A29" s="35" t="s">
        <v>389</v>
      </c>
      <c r="B29" s="35"/>
      <c r="C29" s="35"/>
      <c r="D29" s="36"/>
      <c r="E29" s="36"/>
      <c r="F29" s="325">
        <f t="shared" ref="F29:Q29" si="3">F22-F26-F27</f>
        <v>299480487.10223216</v>
      </c>
      <c r="G29" s="325">
        <f t="shared" si="3"/>
        <v>971834094.34657097</v>
      </c>
      <c r="H29" s="325">
        <f t="shared" si="3"/>
        <v>1139505275.7912273</v>
      </c>
      <c r="I29" s="325">
        <f t="shared" si="3"/>
        <v>991313881.96759558</v>
      </c>
      <c r="J29" s="325">
        <f t="shared" si="3"/>
        <v>1166871353.2952986</v>
      </c>
      <c r="K29" s="325">
        <f t="shared" si="3"/>
        <v>1056786375.6132288</v>
      </c>
      <c r="L29" s="325">
        <f t="shared" si="3"/>
        <v>1106888988.1300921</v>
      </c>
      <c r="M29" s="325">
        <f t="shared" si="3"/>
        <v>1088908576.8840375</v>
      </c>
      <c r="N29" s="325">
        <f t="shared" si="3"/>
        <v>1251604589.9765878</v>
      </c>
      <c r="O29" s="325">
        <f t="shared" si="3"/>
        <v>1234366998.5467801</v>
      </c>
      <c r="P29" s="325">
        <f t="shared" si="3"/>
        <v>1247417899.5236902</v>
      </c>
      <c r="Q29" s="325">
        <f t="shared" si="3"/>
        <v>1322536004.0274663</v>
      </c>
      <c r="R29" s="35"/>
      <c r="S29" s="325">
        <f>SUM(F29:Q29)</f>
        <v>12877514525.204803</v>
      </c>
      <c r="T29" s="35"/>
      <c r="U29" s="35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14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15" customHeight="1" thickTop="1">
      <c r="A30" s="37"/>
      <c r="B30" s="37"/>
      <c r="C30" s="37"/>
      <c r="D30" s="38"/>
      <c r="E30" s="38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14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ht="15" customHeight="1">
      <c r="A31" s="30"/>
      <c r="B31" s="30"/>
      <c r="C31" s="30"/>
      <c r="D31" s="31"/>
      <c r="E31" s="31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14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 spans="1:53" ht="15" customHeight="1" thickBot="1">
      <c r="A32" s="34" t="s">
        <v>836</v>
      </c>
      <c r="B32" s="323">
        <v>1532031934.03</v>
      </c>
      <c r="C32" s="322">
        <f>B32*(1+$H$5)</f>
        <v>1610165562.66553</v>
      </c>
      <c r="D32" s="34"/>
      <c r="E32" s="34"/>
      <c r="F32" s="322">
        <f t="shared" ref="F32:Q34" si="4">$C32*$F$17</f>
        <v>134180463.55546083</v>
      </c>
      <c r="G32" s="322">
        <f t="shared" si="4"/>
        <v>134180463.55546083</v>
      </c>
      <c r="H32" s="322">
        <f t="shared" si="4"/>
        <v>134180463.55546083</v>
      </c>
      <c r="I32" s="322">
        <f t="shared" si="4"/>
        <v>134180463.55546083</v>
      </c>
      <c r="J32" s="322">
        <f t="shared" si="4"/>
        <v>134180463.55546083</v>
      </c>
      <c r="K32" s="322">
        <f t="shared" si="4"/>
        <v>134180463.55546083</v>
      </c>
      <c r="L32" s="322">
        <f t="shared" si="4"/>
        <v>134180463.55546083</v>
      </c>
      <c r="M32" s="322">
        <f t="shared" si="4"/>
        <v>134180463.55546083</v>
      </c>
      <c r="N32" s="322">
        <f t="shared" si="4"/>
        <v>134180463.55546083</v>
      </c>
      <c r="O32" s="322">
        <f t="shared" si="4"/>
        <v>134180463.55546083</v>
      </c>
      <c r="P32" s="322">
        <f t="shared" si="4"/>
        <v>134180463.55546083</v>
      </c>
      <c r="Q32" s="322">
        <f t="shared" si="4"/>
        <v>134180463.55546083</v>
      </c>
      <c r="R32" s="30"/>
      <c r="S32" s="322">
        <f t="shared" ref="S32:S45" si="5">SUM(F32:Q32)</f>
        <v>1610165562.6655302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14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ht="15" customHeight="1">
      <c r="A33" s="30" t="s">
        <v>837</v>
      </c>
      <c r="B33" s="318">
        <v>705937048</v>
      </c>
      <c r="C33" s="324">
        <f>B33*(1+$H$5)</f>
        <v>741939837.44799995</v>
      </c>
      <c r="D33" s="317">
        <v>0.46</v>
      </c>
      <c r="E33" s="31"/>
      <c r="F33" s="324">
        <f t="shared" si="4"/>
        <v>61828319.787333325</v>
      </c>
      <c r="G33" s="324">
        <f t="shared" si="4"/>
        <v>61828319.787333325</v>
      </c>
      <c r="H33" s="324">
        <f t="shared" si="4"/>
        <v>61828319.787333325</v>
      </c>
      <c r="I33" s="324">
        <f t="shared" si="4"/>
        <v>61828319.787333325</v>
      </c>
      <c r="J33" s="324">
        <f t="shared" si="4"/>
        <v>61828319.787333325</v>
      </c>
      <c r="K33" s="324">
        <f t="shared" si="4"/>
        <v>61828319.787333325</v>
      </c>
      <c r="L33" s="324">
        <f t="shared" si="4"/>
        <v>61828319.787333325</v>
      </c>
      <c r="M33" s="324">
        <f t="shared" si="4"/>
        <v>61828319.787333325</v>
      </c>
      <c r="N33" s="324">
        <f t="shared" si="4"/>
        <v>61828319.787333325</v>
      </c>
      <c r="O33" s="324">
        <f t="shared" si="4"/>
        <v>61828319.787333325</v>
      </c>
      <c r="P33" s="324">
        <f t="shared" si="4"/>
        <v>61828319.787333325</v>
      </c>
      <c r="Q33" s="324">
        <f t="shared" si="4"/>
        <v>61828319.787333325</v>
      </c>
      <c r="R33" s="30"/>
      <c r="S33" s="324">
        <f t="shared" si="5"/>
        <v>741939837.44799995</v>
      </c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14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 spans="1:53" ht="15" customHeight="1">
      <c r="A34" s="30" t="s">
        <v>838</v>
      </c>
      <c r="B34" s="318">
        <v>826094886.02999997</v>
      </c>
      <c r="C34" s="324">
        <f>B34*(1+$H$5)</f>
        <v>868225725.21752989</v>
      </c>
      <c r="D34" s="31"/>
      <c r="E34" s="31"/>
      <c r="F34" s="324">
        <f t="shared" si="4"/>
        <v>72352143.768127486</v>
      </c>
      <c r="G34" s="324">
        <f t="shared" si="4"/>
        <v>72352143.768127486</v>
      </c>
      <c r="H34" s="324">
        <f t="shared" si="4"/>
        <v>72352143.768127486</v>
      </c>
      <c r="I34" s="324">
        <f t="shared" si="4"/>
        <v>72352143.768127486</v>
      </c>
      <c r="J34" s="324">
        <f t="shared" si="4"/>
        <v>72352143.768127486</v>
      </c>
      <c r="K34" s="324">
        <f t="shared" si="4"/>
        <v>72352143.768127486</v>
      </c>
      <c r="L34" s="324">
        <f t="shared" si="4"/>
        <v>72352143.768127486</v>
      </c>
      <c r="M34" s="324">
        <f t="shared" si="4"/>
        <v>72352143.768127486</v>
      </c>
      <c r="N34" s="324">
        <f t="shared" si="4"/>
        <v>72352143.768127486</v>
      </c>
      <c r="O34" s="324">
        <f t="shared" si="4"/>
        <v>72352143.768127486</v>
      </c>
      <c r="P34" s="324">
        <f t="shared" si="4"/>
        <v>72352143.768127486</v>
      </c>
      <c r="Q34" s="324">
        <f t="shared" si="4"/>
        <v>72352143.768127486</v>
      </c>
      <c r="R34" s="30"/>
      <c r="S34" s="324">
        <f t="shared" si="5"/>
        <v>868225725.21752965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14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 spans="1:53" ht="15" customHeight="1">
      <c r="A35" s="30"/>
      <c r="B35" s="30"/>
      <c r="C35" s="30"/>
      <c r="D35" s="31"/>
      <c r="E35" s="31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24">
        <f t="shared" si="5"/>
        <v>0</v>
      </c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14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 spans="1:53" ht="15" customHeight="1">
      <c r="A36" s="30"/>
      <c r="B36" s="30"/>
      <c r="C36" s="30"/>
      <c r="D36" s="31"/>
      <c r="E36" s="31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24">
        <f t="shared" si="5"/>
        <v>0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14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 spans="1:53" ht="15" customHeight="1" thickBot="1">
      <c r="A37" s="34" t="s">
        <v>839</v>
      </c>
      <c r="B37" s="323">
        <v>2466693346.5799999</v>
      </c>
      <c r="C37" s="322">
        <f>B37*(1+$H$5)</f>
        <v>2592494707.2555799</v>
      </c>
      <c r="D37" s="34"/>
      <c r="E37" s="34"/>
      <c r="F37" s="322">
        <f t="shared" ref="F37:Q40" si="6">$C37*$F$17</f>
        <v>216041225.60463166</v>
      </c>
      <c r="G37" s="322">
        <f t="shared" si="6"/>
        <v>216041225.60463166</v>
      </c>
      <c r="H37" s="322">
        <f t="shared" si="6"/>
        <v>216041225.60463166</v>
      </c>
      <c r="I37" s="322">
        <f t="shared" si="6"/>
        <v>216041225.60463166</v>
      </c>
      <c r="J37" s="322">
        <f t="shared" si="6"/>
        <v>216041225.60463166</v>
      </c>
      <c r="K37" s="322">
        <f t="shared" si="6"/>
        <v>216041225.60463166</v>
      </c>
      <c r="L37" s="322">
        <f t="shared" si="6"/>
        <v>216041225.60463166</v>
      </c>
      <c r="M37" s="322">
        <f t="shared" si="6"/>
        <v>216041225.60463166</v>
      </c>
      <c r="N37" s="322">
        <f t="shared" si="6"/>
        <v>216041225.60463166</v>
      </c>
      <c r="O37" s="322">
        <f t="shared" si="6"/>
        <v>216041225.60463166</v>
      </c>
      <c r="P37" s="322">
        <f t="shared" si="6"/>
        <v>216041225.60463166</v>
      </c>
      <c r="Q37" s="322">
        <f t="shared" si="6"/>
        <v>216041225.60463166</v>
      </c>
      <c r="R37" s="30"/>
      <c r="S37" s="322">
        <f t="shared" si="5"/>
        <v>2592494707.2555799</v>
      </c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14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 spans="1:53" ht="15" customHeight="1">
      <c r="A38" s="30" t="s">
        <v>837</v>
      </c>
      <c r="B38" s="318">
        <v>1099685429</v>
      </c>
      <c r="C38" s="324">
        <f>B38*(1+$H$5)</f>
        <v>1155769385.8789999</v>
      </c>
      <c r="D38" s="30"/>
      <c r="E38" s="30"/>
      <c r="F38" s="324">
        <f t="shared" si="6"/>
        <v>96314115.489916652</v>
      </c>
      <c r="G38" s="324">
        <f t="shared" si="6"/>
        <v>96314115.489916652</v>
      </c>
      <c r="H38" s="324">
        <f t="shared" si="6"/>
        <v>96314115.489916652</v>
      </c>
      <c r="I38" s="324">
        <f t="shared" si="6"/>
        <v>96314115.489916652</v>
      </c>
      <c r="J38" s="324">
        <f t="shared" si="6"/>
        <v>96314115.489916652</v>
      </c>
      <c r="K38" s="324">
        <f t="shared" si="6"/>
        <v>96314115.489916652</v>
      </c>
      <c r="L38" s="324">
        <f t="shared" si="6"/>
        <v>96314115.489916652</v>
      </c>
      <c r="M38" s="324">
        <f t="shared" si="6"/>
        <v>96314115.489916652</v>
      </c>
      <c r="N38" s="324">
        <f t="shared" si="6"/>
        <v>96314115.489916652</v>
      </c>
      <c r="O38" s="324">
        <f t="shared" si="6"/>
        <v>96314115.489916652</v>
      </c>
      <c r="P38" s="324">
        <f t="shared" si="6"/>
        <v>96314115.489916652</v>
      </c>
      <c r="Q38" s="324">
        <f t="shared" si="6"/>
        <v>96314115.489916652</v>
      </c>
      <c r="R38" s="30"/>
      <c r="S38" s="324">
        <f t="shared" si="5"/>
        <v>1155769385.8789999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14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 spans="1:53" ht="15" customHeight="1">
      <c r="A39" s="30" t="s">
        <v>840</v>
      </c>
      <c r="B39" s="318">
        <v>464890680.93000001</v>
      </c>
      <c r="C39" s="324">
        <f>B39*(1+$H$5)</f>
        <v>488600105.65742999</v>
      </c>
      <c r="D39" s="30"/>
      <c r="E39" s="30"/>
      <c r="F39" s="324">
        <f t="shared" si="6"/>
        <v>40716675.471452497</v>
      </c>
      <c r="G39" s="324">
        <f t="shared" si="6"/>
        <v>40716675.471452497</v>
      </c>
      <c r="H39" s="324">
        <f t="shared" si="6"/>
        <v>40716675.471452497</v>
      </c>
      <c r="I39" s="324">
        <f t="shared" si="6"/>
        <v>40716675.471452497</v>
      </c>
      <c r="J39" s="324">
        <f t="shared" si="6"/>
        <v>40716675.471452497</v>
      </c>
      <c r="K39" s="324">
        <f t="shared" si="6"/>
        <v>40716675.471452497</v>
      </c>
      <c r="L39" s="324">
        <f t="shared" si="6"/>
        <v>40716675.471452497</v>
      </c>
      <c r="M39" s="324">
        <f t="shared" si="6"/>
        <v>40716675.471452497</v>
      </c>
      <c r="N39" s="324">
        <f t="shared" si="6"/>
        <v>40716675.471452497</v>
      </c>
      <c r="O39" s="324">
        <f t="shared" si="6"/>
        <v>40716675.471452497</v>
      </c>
      <c r="P39" s="324">
        <f t="shared" si="6"/>
        <v>40716675.471452497</v>
      </c>
      <c r="Q39" s="324">
        <f t="shared" si="6"/>
        <v>40716675.471452497</v>
      </c>
      <c r="R39" s="30"/>
      <c r="S39" s="324">
        <f t="shared" si="5"/>
        <v>488600105.65742987</v>
      </c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14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 spans="1:53" ht="15" customHeight="1">
      <c r="A40" s="30" t="s">
        <v>841</v>
      </c>
      <c r="B40" s="318">
        <v>902117236.64999998</v>
      </c>
      <c r="C40" s="324">
        <f>B40*(1+$H$5)</f>
        <v>948125215.71914995</v>
      </c>
      <c r="D40" s="30"/>
      <c r="E40" s="30"/>
      <c r="F40" s="324">
        <f t="shared" si="6"/>
        <v>79010434.643262491</v>
      </c>
      <c r="G40" s="324">
        <f t="shared" si="6"/>
        <v>79010434.643262491</v>
      </c>
      <c r="H40" s="324">
        <f t="shared" si="6"/>
        <v>79010434.643262491</v>
      </c>
      <c r="I40" s="324">
        <f t="shared" si="6"/>
        <v>79010434.643262491</v>
      </c>
      <c r="J40" s="324">
        <f t="shared" si="6"/>
        <v>79010434.643262491</v>
      </c>
      <c r="K40" s="324">
        <f t="shared" si="6"/>
        <v>79010434.643262491</v>
      </c>
      <c r="L40" s="324">
        <f t="shared" si="6"/>
        <v>79010434.643262491</v>
      </c>
      <c r="M40" s="324">
        <f t="shared" si="6"/>
        <v>79010434.643262491</v>
      </c>
      <c r="N40" s="324">
        <f t="shared" si="6"/>
        <v>79010434.643262491</v>
      </c>
      <c r="O40" s="324">
        <f t="shared" si="6"/>
        <v>79010434.643262491</v>
      </c>
      <c r="P40" s="324">
        <f t="shared" si="6"/>
        <v>79010434.643262491</v>
      </c>
      <c r="Q40" s="324">
        <f t="shared" si="6"/>
        <v>79010434.643262491</v>
      </c>
      <c r="R40" s="30"/>
      <c r="S40" s="324">
        <f t="shared" si="5"/>
        <v>948125215.71914995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14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 spans="1:53" ht="1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24">
        <f t="shared" si="5"/>
        <v>0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14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 spans="1:53" ht="15" customHeight="1" thickBot="1">
      <c r="A42" s="35" t="s">
        <v>842</v>
      </c>
      <c r="B42" s="35"/>
      <c r="C42" s="35"/>
      <c r="D42" s="36"/>
      <c r="E42" s="36"/>
      <c r="F42" s="325">
        <f t="shared" ref="F42:Q42" si="7">F29-F32-F37</f>
        <v>-50741202.057860315</v>
      </c>
      <c r="G42" s="325">
        <f t="shared" si="7"/>
        <v>621612405.1864785</v>
      </c>
      <c r="H42" s="325">
        <f t="shared" si="7"/>
        <v>789283586.63113487</v>
      </c>
      <c r="I42" s="325">
        <f t="shared" si="7"/>
        <v>641092192.8075031</v>
      </c>
      <c r="J42" s="325">
        <f t="shared" si="7"/>
        <v>816649664.1352061</v>
      </c>
      <c r="K42" s="325">
        <f t="shared" si="7"/>
        <v>706564686.45313632</v>
      </c>
      <c r="L42" s="325">
        <f t="shared" si="7"/>
        <v>756667298.96999967</v>
      </c>
      <c r="M42" s="325">
        <f t="shared" si="7"/>
        <v>738686887.72394502</v>
      </c>
      <c r="N42" s="325">
        <f t="shared" si="7"/>
        <v>901382900.81649518</v>
      </c>
      <c r="O42" s="325">
        <f t="shared" si="7"/>
        <v>884145309.38668752</v>
      </c>
      <c r="P42" s="325">
        <f t="shared" si="7"/>
        <v>897196210.36359763</v>
      </c>
      <c r="Q42" s="325">
        <f t="shared" si="7"/>
        <v>972314314.8673737</v>
      </c>
      <c r="R42" s="35"/>
      <c r="S42" s="325">
        <f t="shared" si="5"/>
        <v>8674854255.2836971</v>
      </c>
      <c r="T42" s="35"/>
      <c r="U42" s="35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14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 ht="15" customHeight="1" thickTop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26">
        <f t="shared" si="5"/>
        <v>0</v>
      </c>
      <c r="T43" s="37"/>
      <c r="U43" s="37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14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 ht="15" customHeight="1">
      <c r="A44" s="30" t="s">
        <v>163</v>
      </c>
      <c r="B44" s="318">
        <v>36272910.75</v>
      </c>
      <c r="C44" s="324">
        <f>B44*(1+$H$5)</f>
        <v>38122829.198249996</v>
      </c>
      <c r="D44" s="30"/>
      <c r="E44" s="30"/>
      <c r="F44" s="324">
        <f t="shared" ref="F44:Q45" si="8">$C44*$F$17</f>
        <v>3176902.4331874996</v>
      </c>
      <c r="G44" s="324">
        <f t="shared" si="8"/>
        <v>3176902.4331874996</v>
      </c>
      <c r="H44" s="324">
        <f t="shared" si="8"/>
        <v>3176902.4331874996</v>
      </c>
      <c r="I44" s="324">
        <f t="shared" si="8"/>
        <v>3176902.4331874996</v>
      </c>
      <c r="J44" s="324">
        <f t="shared" si="8"/>
        <v>3176902.4331874996</v>
      </c>
      <c r="K44" s="324">
        <f t="shared" si="8"/>
        <v>3176902.4331874996</v>
      </c>
      <c r="L44" s="324">
        <f t="shared" si="8"/>
        <v>3176902.4331874996</v>
      </c>
      <c r="M44" s="324">
        <f t="shared" si="8"/>
        <v>3176902.4331874996</v>
      </c>
      <c r="N44" s="324">
        <f t="shared" si="8"/>
        <v>3176902.4331874996</v>
      </c>
      <c r="O44" s="324">
        <f t="shared" si="8"/>
        <v>3176902.4331874996</v>
      </c>
      <c r="P44" s="324">
        <f t="shared" si="8"/>
        <v>3176902.4331874996</v>
      </c>
      <c r="Q44" s="324">
        <f t="shared" si="8"/>
        <v>3176902.4331874996</v>
      </c>
      <c r="R44" s="30"/>
      <c r="S44" s="324">
        <f t="shared" si="5"/>
        <v>38122829.198249996</v>
      </c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14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 spans="1:53" ht="15" customHeight="1">
      <c r="A45" s="30" t="s">
        <v>165</v>
      </c>
      <c r="B45" s="318">
        <v>92043202.040000007</v>
      </c>
      <c r="C45" s="324">
        <f>B45*(1+$H$5)</f>
        <v>96737405.344040006</v>
      </c>
      <c r="D45" s="30"/>
      <c r="E45" s="30"/>
      <c r="F45" s="324">
        <f t="shared" si="8"/>
        <v>8061450.4453366669</v>
      </c>
      <c r="G45" s="324">
        <f t="shared" si="8"/>
        <v>8061450.4453366669</v>
      </c>
      <c r="H45" s="324">
        <f t="shared" si="8"/>
        <v>8061450.4453366669</v>
      </c>
      <c r="I45" s="324">
        <f t="shared" si="8"/>
        <v>8061450.4453366669</v>
      </c>
      <c r="J45" s="324">
        <f t="shared" si="8"/>
        <v>8061450.4453366669</v>
      </c>
      <c r="K45" s="324">
        <f t="shared" si="8"/>
        <v>8061450.4453366669</v>
      </c>
      <c r="L45" s="324">
        <f t="shared" si="8"/>
        <v>8061450.4453366669</v>
      </c>
      <c r="M45" s="324">
        <f t="shared" si="8"/>
        <v>8061450.4453366669</v>
      </c>
      <c r="N45" s="324">
        <f t="shared" si="8"/>
        <v>8061450.4453366669</v>
      </c>
      <c r="O45" s="324">
        <f t="shared" si="8"/>
        <v>8061450.4453366669</v>
      </c>
      <c r="P45" s="324">
        <f t="shared" si="8"/>
        <v>8061450.4453366669</v>
      </c>
      <c r="Q45" s="324">
        <f t="shared" si="8"/>
        <v>8061450.4453366669</v>
      </c>
      <c r="R45" s="30"/>
      <c r="S45" s="324">
        <f t="shared" si="5"/>
        <v>96737405.344040021</v>
      </c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14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 spans="1:53" ht="1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14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 spans="1:53" ht="15" customHeight="1" thickBot="1">
      <c r="A47" s="35" t="s">
        <v>674</v>
      </c>
      <c r="B47" s="35"/>
      <c r="C47" s="35"/>
      <c r="D47" s="36"/>
      <c r="E47" s="36"/>
      <c r="F47" s="325">
        <f t="shared" ref="F47:Q47" si="9">F42+F44-F45</f>
        <v>-55625750.070009485</v>
      </c>
      <c r="G47" s="325">
        <f t="shared" si="9"/>
        <v>616727857.17432928</v>
      </c>
      <c r="H47" s="325">
        <f t="shared" si="9"/>
        <v>784399038.61898565</v>
      </c>
      <c r="I47" s="325">
        <f t="shared" si="9"/>
        <v>636207644.79535389</v>
      </c>
      <c r="J47" s="325">
        <f t="shared" si="9"/>
        <v>811765116.12305689</v>
      </c>
      <c r="K47" s="325">
        <f t="shared" si="9"/>
        <v>701680138.44098711</v>
      </c>
      <c r="L47" s="325">
        <f t="shared" si="9"/>
        <v>751782750.95785046</v>
      </c>
      <c r="M47" s="325">
        <f t="shared" si="9"/>
        <v>733802339.71179581</v>
      </c>
      <c r="N47" s="325">
        <f t="shared" si="9"/>
        <v>896498352.80434597</v>
      </c>
      <c r="O47" s="325">
        <f t="shared" si="9"/>
        <v>879260761.3745383</v>
      </c>
      <c r="P47" s="325">
        <f t="shared" si="9"/>
        <v>892311662.35144842</v>
      </c>
      <c r="Q47" s="325">
        <f t="shared" si="9"/>
        <v>967429766.85522449</v>
      </c>
      <c r="R47" s="35"/>
      <c r="S47" s="325">
        <f>SUM(F47:Q47)</f>
        <v>8616239679.137907</v>
      </c>
      <c r="T47" s="35"/>
      <c r="U47" s="35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14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 spans="1:53" ht="15" customHeight="1" thickTop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14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 spans="1:53" ht="15" customHeight="1">
      <c r="A49" s="30" t="s">
        <v>267</v>
      </c>
      <c r="B49" s="30"/>
      <c r="C49" s="30"/>
      <c r="D49" s="30"/>
      <c r="E49" s="30"/>
      <c r="F49" s="324">
        <f t="shared" ref="F49:Q49" si="10">IF(F47&gt;0,F47*35%,0)</f>
        <v>0</v>
      </c>
      <c r="G49" s="324">
        <f t="shared" si="10"/>
        <v>215854750.01101524</v>
      </c>
      <c r="H49" s="324">
        <f t="shared" si="10"/>
        <v>274539663.51664495</v>
      </c>
      <c r="I49" s="324">
        <f t="shared" si="10"/>
        <v>222672675.67837384</v>
      </c>
      <c r="J49" s="324">
        <f t="shared" si="10"/>
        <v>284117790.64306986</v>
      </c>
      <c r="K49" s="324">
        <f t="shared" si="10"/>
        <v>245588048.45434546</v>
      </c>
      <c r="L49" s="324">
        <f t="shared" si="10"/>
        <v>263123962.83524764</v>
      </c>
      <c r="M49" s="324">
        <f t="shared" si="10"/>
        <v>256830818.89912853</v>
      </c>
      <c r="N49" s="324">
        <f t="shared" si="10"/>
        <v>313774423.48152107</v>
      </c>
      <c r="O49" s="324">
        <f t="shared" si="10"/>
        <v>307741266.4810884</v>
      </c>
      <c r="P49" s="324">
        <f t="shared" si="10"/>
        <v>312309081.82300693</v>
      </c>
      <c r="Q49" s="324">
        <f t="shared" si="10"/>
        <v>338600418.39932853</v>
      </c>
      <c r="R49" s="30"/>
      <c r="S49" s="324">
        <f>SUM(F49:Q49)</f>
        <v>3035152900.2227707</v>
      </c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14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 spans="1:53" ht="1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24">
        <f>SUM(F50:Q50)</f>
        <v>0</v>
      </c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14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 spans="1:53" ht="15" customHeight="1" thickBot="1">
      <c r="A51" s="35" t="s">
        <v>401</v>
      </c>
      <c r="B51" s="35"/>
      <c r="C51" s="35"/>
      <c r="D51" s="36"/>
      <c r="E51" s="36"/>
      <c r="F51" s="325">
        <f t="shared" ref="F51:Q51" si="11">F47-F49</f>
        <v>-55625750.070009485</v>
      </c>
      <c r="G51" s="325">
        <f t="shared" si="11"/>
        <v>400873107.16331404</v>
      </c>
      <c r="H51" s="325">
        <f t="shared" si="11"/>
        <v>509859375.1023407</v>
      </c>
      <c r="I51" s="325">
        <f t="shared" si="11"/>
        <v>413534969.11698008</v>
      </c>
      <c r="J51" s="325">
        <f t="shared" si="11"/>
        <v>527647325.47998703</v>
      </c>
      <c r="K51" s="325">
        <f t="shared" si="11"/>
        <v>456092089.98664165</v>
      </c>
      <c r="L51" s="325">
        <f t="shared" si="11"/>
        <v>488658788.12260282</v>
      </c>
      <c r="M51" s="325">
        <f t="shared" si="11"/>
        <v>476971520.81266725</v>
      </c>
      <c r="N51" s="325">
        <f t="shared" si="11"/>
        <v>582723929.32282495</v>
      </c>
      <c r="O51" s="325">
        <f t="shared" si="11"/>
        <v>571519494.8934499</v>
      </c>
      <c r="P51" s="325">
        <f t="shared" si="11"/>
        <v>580002580.52844143</v>
      </c>
      <c r="Q51" s="325">
        <f t="shared" si="11"/>
        <v>628829348.4558959</v>
      </c>
      <c r="R51" s="35"/>
      <c r="S51" s="325">
        <f>SUM(F51:Q51)</f>
        <v>5581086778.9151363</v>
      </c>
      <c r="T51" s="35"/>
      <c r="U51" s="35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14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 spans="1:53" ht="15" customHeight="1" thickTop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26">
        <f>SUM(F52:Q52)</f>
        <v>0</v>
      </c>
      <c r="T52" s="37"/>
      <c r="U52" s="37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14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 spans="1:53" ht="1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14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 spans="1:53" ht="1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14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 spans="1:53" ht="1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14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 spans="1:53" ht="1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 t="s">
        <v>843</v>
      </c>
      <c r="AC56" s="317">
        <v>1</v>
      </c>
      <c r="AD56" s="148"/>
      <c r="AE56" s="30"/>
      <c r="AF56" s="30"/>
      <c r="AG56" s="30"/>
      <c r="AH56" s="30"/>
      <c r="AI56" s="14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 spans="1:53" ht="1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14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 spans="1:53" ht="1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9"/>
      <c r="AK58" s="9"/>
      <c r="AL58" s="9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 spans="1:53" ht="30" customHeight="1">
      <c r="A59" s="483"/>
      <c r="B59" s="476"/>
      <c r="C59" s="476"/>
      <c r="D59" s="481"/>
      <c r="E59" s="481"/>
      <c r="F59" s="482" t="str">
        <f t="shared" ref="F59:Q59" si="12">F19</f>
        <v>2026-01</v>
      </c>
      <c r="G59" s="482" t="str">
        <f t="shared" si="12"/>
        <v>2026-02</v>
      </c>
      <c r="H59" s="482" t="str">
        <f t="shared" si="12"/>
        <v>2026-03</v>
      </c>
      <c r="I59" s="482" t="str">
        <f t="shared" si="12"/>
        <v>2026-04</v>
      </c>
      <c r="J59" s="482" t="str">
        <f t="shared" si="12"/>
        <v>2026-05</v>
      </c>
      <c r="K59" s="482" t="str">
        <f t="shared" si="12"/>
        <v>2026-06</v>
      </c>
      <c r="L59" s="482" t="str">
        <f t="shared" si="12"/>
        <v>2026-07</v>
      </c>
      <c r="M59" s="482" t="str">
        <f t="shared" si="12"/>
        <v>2026-08</v>
      </c>
      <c r="N59" s="482" t="str">
        <f t="shared" si="12"/>
        <v>2026-09</v>
      </c>
      <c r="O59" s="482" t="str">
        <f t="shared" si="12"/>
        <v>2026-10</v>
      </c>
      <c r="P59" s="482" t="str">
        <f t="shared" si="12"/>
        <v>2026-11</v>
      </c>
      <c r="Q59" s="482" t="str">
        <f t="shared" si="12"/>
        <v>2026-12</v>
      </c>
      <c r="R59" s="476"/>
      <c r="S59" s="482" t="str">
        <f>S19</f>
        <v>Total 2026</v>
      </c>
      <c r="T59" s="476"/>
      <c r="U59" s="476"/>
      <c r="V59" s="476"/>
      <c r="W59" s="476"/>
      <c r="X59" s="476"/>
      <c r="Y59" s="476"/>
      <c r="Z59" s="476"/>
      <c r="AA59" s="476"/>
      <c r="AB59" s="476"/>
      <c r="AC59" s="482" t="s">
        <v>16</v>
      </c>
      <c r="AD59" s="476"/>
      <c r="AE59" s="476"/>
      <c r="AF59" s="476"/>
      <c r="AG59" s="476"/>
      <c r="AH59" s="476"/>
      <c r="AI59" s="476"/>
      <c r="AJ59" s="9"/>
      <c r="AK59" s="9"/>
      <c r="AL59" s="9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 spans="1:53" ht="15" customHeight="1" thickBot="1">
      <c r="A60" s="32" t="s">
        <v>844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7">
        <f>SUM(F60:Q60)</f>
        <v>0</v>
      </c>
      <c r="T60" s="32"/>
      <c r="U60" s="32"/>
      <c r="V60" s="32"/>
      <c r="W60" s="32"/>
      <c r="X60" s="32"/>
      <c r="Y60" s="32"/>
      <c r="Z60" s="32"/>
      <c r="AA60" s="32"/>
      <c r="AB60" s="32" t="s">
        <v>844</v>
      </c>
      <c r="AC60" s="32"/>
      <c r="AD60" s="32"/>
      <c r="AE60" s="32"/>
      <c r="AF60" s="32"/>
      <c r="AG60" s="32"/>
      <c r="AH60" s="32"/>
      <c r="AI60" s="32"/>
      <c r="AJ60" s="1037"/>
      <c r="AK60" s="1037"/>
      <c r="AL60" s="1037"/>
      <c r="AM60" s="1038"/>
      <c r="AN60" s="1038"/>
      <c r="AO60" s="1038"/>
      <c r="AP60" s="1038"/>
      <c r="AQ60" s="1038"/>
      <c r="AR60" s="1038"/>
      <c r="AS60" s="1038"/>
      <c r="AT60" s="1038"/>
      <c r="AU60" s="1038"/>
      <c r="AV60" s="1038"/>
      <c r="AW60" s="1038"/>
      <c r="AX60" s="1038"/>
      <c r="AY60" s="10"/>
      <c r="AZ60" s="10"/>
      <c r="BA60" s="10"/>
    </row>
    <row r="61" spans="1:53" ht="15" customHeight="1" thickBo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24">
        <f>SUM(F61:Q61)</f>
        <v>0</v>
      </c>
      <c r="T61" s="30"/>
      <c r="U61" s="30"/>
      <c r="V61" s="30"/>
      <c r="W61" s="30"/>
      <c r="X61" s="148"/>
      <c r="Y61" s="148"/>
      <c r="Z61" s="148"/>
      <c r="AA61" s="30"/>
      <c r="AB61" s="34" t="str">
        <f>A62</f>
        <v>Ingresos operacionales (Total)</v>
      </c>
      <c r="AC61" s="322">
        <f>IFERROR(S62,"")</f>
        <v>4555725.9999999963</v>
      </c>
      <c r="AD61" s="30"/>
      <c r="AE61" s="328">
        <f t="shared" ref="AE61:AE91" si="13">AC61/$AC$61</f>
        <v>1</v>
      </c>
      <c r="AF61" s="30"/>
      <c r="AG61" s="30"/>
      <c r="AH61" s="30" t="str">
        <f>AB61</f>
        <v>Ingresos operacionales (Total)</v>
      </c>
      <c r="AI61" s="324">
        <f>AC61</f>
        <v>4555725.9999999963</v>
      </c>
      <c r="AJ61" s="9"/>
      <c r="AK61" s="9"/>
      <c r="AL61" s="9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 spans="1:53" ht="15" customHeight="1" thickBot="1">
      <c r="A62" s="34" t="s">
        <v>845</v>
      </c>
      <c r="B62" s="34"/>
      <c r="C62" s="34"/>
      <c r="D62" s="34"/>
      <c r="E62" s="34"/>
      <c r="F62" s="322">
        <f t="shared" ref="F62:Q62" si="14">G14</f>
        <v>186232.40250045763</v>
      </c>
      <c r="G62" s="322">
        <f t="shared" si="14"/>
        <v>354320.80431154225</v>
      </c>
      <c r="H62" s="322">
        <f t="shared" si="14"/>
        <v>396238.59967270645</v>
      </c>
      <c r="I62" s="322">
        <f t="shared" si="14"/>
        <v>359190.7512167985</v>
      </c>
      <c r="J62" s="322">
        <f t="shared" si="14"/>
        <v>403080.11904872418</v>
      </c>
      <c r="K62" s="322">
        <f t="shared" si="14"/>
        <v>375558.87462820677</v>
      </c>
      <c r="L62" s="322">
        <f t="shared" si="14"/>
        <v>388084.52775742259</v>
      </c>
      <c r="M62" s="322">
        <f t="shared" si="14"/>
        <v>383589.42494590889</v>
      </c>
      <c r="N62" s="322">
        <f t="shared" si="14"/>
        <v>424263.42821904644</v>
      </c>
      <c r="O62" s="322">
        <f t="shared" si="14"/>
        <v>419954.03036159463</v>
      </c>
      <c r="P62" s="322">
        <f t="shared" si="14"/>
        <v>423216.75560582208</v>
      </c>
      <c r="Q62" s="322">
        <f t="shared" si="14"/>
        <v>441996.28173176618</v>
      </c>
      <c r="R62" s="30"/>
      <c r="S62" s="322">
        <f>SUM(F62:Q62)</f>
        <v>4555725.9999999963</v>
      </c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28">
        <f t="shared" si="13"/>
        <v>0</v>
      </c>
      <c r="AF62" s="30"/>
      <c r="AG62" s="30"/>
      <c r="AH62" s="30" t="str">
        <f>AB64</f>
        <v>Costo de Ventas</v>
      </c>
      <c r="AI62" s="324">
        <f>-AC64</f>
        <v>-1336347.3686987951</v>
      </c>
      <c r="AJ62" s="9"/>
      <c r="AK62" s="9"/>
      <c r="AL62" s="9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 spans="1:53" ht="1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28">
        <f t="shared" si="13"/>
        <v>0</v>
      </c>
      <c r="AF63" s="30"/>
      <c r="AG63" s="30"/>
      <c r="AH63" s="30" t="str">
        <f>AB71</f>
        <v>Operacionales de Administración</v>
      </c>
      <c r="AI63" s="324">
        <f>-AC71</f>
        <v>-402541.39066638245</v>
      </c>
      <c r="AJ63" s="9"/>
      <c r="AK63" s="9"/>
      <c r="AL63" s="9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 spans="1:53" ht="15" customHeight="1" thickBo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4" t="str">
        <f>A65</f>
        <v>Costo de Ventas</v>
      </c>
      <c r="AC64" s="322">
        <f>IFERROR(S65,"")</f>
        <v>1336347.3686987951</v>
      </c>
      <c r="AD64" s="30"/>
      <c r="AE64" s="328">
        <f t="shared" si="13"/>
        <v>0.29333356938033506</v>
      </c>
      <c r="AF64" s="30"/>
      <c r="AG64" s="30"/>
      <c r="AH64" s="30" t="str">
        <f>AB75</f>
        <v>Operacionales de Ventas</v>
      </c>
      <c r="AI64" s="324">
        <f>-AC75</f>
        <v>-648123.67681389488</v>
      </c>
      <c r="AJ64" s="9"/>
      <c r="AK64" s="9"/>
      <c r="AL64" s="9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 spans="1:53" ht="15" customHeight="1" thickBot="1">
      <c r="A65" s="34" t="str">
        <f>IFERROR(A25,"")</f>
        <v>Costo de Ventas</v>
      </c>
      <c r="B65" s="34"/>
      <c r="C65" s="34"/>
      <c r="D65" s="34"/>
      <c r="E65" s="34"/>
      <c r="F65" s="322">
        <f t="shared" ref="F65:Q67" si="15">F25/$H$6</f>
        <v>111362.2807248996</v>
      </c>
      <c r="G65" s="322">
        <f t="shared" si="15"/>
        <v>111362.2807248996</v>
      </c>
      <c r="H65" s="322">
        <f t="shared" si="15"/>
        <v>111362.2807248996</v>
      </c>
      <c r="I65" s="322">
        <f t="shared" si="15"/>
        <v>111362.2807248996</v>
      </c>
      <c r="J65" s="322">
        <f t="shared" si="15"/>
        <v>111362.2807248996</v>
      </c>
      <c r="K65" s="322">
        <f t="shared" si="15"/>
        <v>111362.2807248996</v>
      </c>
      <c r="L65" s="322">
        <f t="shared" si="15"/>
        <v>111362.2807248996</v>
      </c>
      <c r="M65" s="322">
        <f t="shared" si="15"/>
        <v>111362.2807248996</v>
      </c>
      <c r="N65" s="322">
        <f t="shared" si="15"/>
        <v>111362.2807248996</v>
      </c>
      <c r="O65" s="322">
        <f t="shared" si="15"/>
        <v>111362.2807248996</v>
      </c>
      <c r="P65" s="322">
        <f t="shared" si="15"/>
        <v>111362.2807248996</v>
      </c>
      <c r="Q65" s="322">
        <f t="shared" si="15"/>
        <v>111362.2807248996</v>
      </c>
      <c r="R65" s="30"/>
      <c r="S65" s="322">
        <f>SUM(F65:Q65)</f>
        <v>1336347.3686987951</v>
      </c>
      <c r="T65" s="30"/>
      <c r="U65" s="30"/>
      <c r="V65" s="30"/>
      <c r="W65" s="30"/>
      <c r="X65" s="30"/>
      <c r="Y65" s="30"/>
      <c r="Z65" s="30"/>
      <c r="AA65" s="30"/>
      <c r="AB65" s="30" t="str">
        <f>A66</f>
        <v>Mano de Obra Directa</v>
      </c>
      <c r="AC65" s="324">
        <f>IFERROR(S66,"")</f>
        <v>813665.55211225513</v>
      </c>
      <c r="AD65" s="30"/>
      <c r="AE65" s="328">
        <f t="shared" si="13"/>
        <v>0.17860282907976813</v>
      </c>
      <c r="AF65" s="30"/>
      <c r="AG65" s="30"/>
      <c r="AH65" s="30" t="str">
        <f>AB83</f>
        <v>Ingresos no Operacionales</v>
      </c>
      <c r="AI65" s="324">
        <f>AC83</f>
        <v>9530.7072995625003</v>
      </c>
      <c r="AJ65" s="9"/>
      <c r="AK65" s="9"/>
      <c r="AL65" s="9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ht="15" customHeight="1">
      <c r="A66" s="30" t="str">
        <f>IFERROR(A26,"")</f>
        <v>Mano de Obra Directa</v>
      </c>
      <c r="B66" s="30"/>
      <c r="C66" s="30"/>
      <c r="D66" s="31"/>
      <c r="E66" s="31"/>
      <c r="F66" s="324">
        <f t="shared" si="15"/>
        <v>67805.462676021241</v>
      </c>
      <c r="G66" s="324">
        <f t="shared" si="15"/>
        <v>67805.462676021241</v>
      </c>
      <c r="H66" s="324">
        <f t="shared" si="15"/>
        <v>67805.462676021241</v>
      </c>
      <c r="I66" s="324">
        <f t="shared" si="15"/>
        <v>67805.462676021241</v>
      </c>
      <c r="J66" s="324">
        <f t="shared" si="15"/>
        <v>67805.462676021241</v>
      </c>
      <c r="K66" s="324">
        <f t="shared" si="15"/>
        <v>67805.462676021241</v>
      </c>
      <c r="L66" s="324">
        <f t="shared" si="15"/>
        <v>67805.462676021241</v>
      </c>
      <c r="M66" s="324">
        <f t="shared" si="15"/>
        <v>67805.462676021241</v>
      </c>
      <c r="N66" s="324">
        <f t="shared" si="15"/>
        <v>67805.462676021241</v>
      </c>
      <c r="O66" s="324">
        <f t="shared" si="15"/>
        <v>67805.462676021241</v>
      </c>
      <c r="P66" s="324">
        <f t="shared" si="15"/>
        <v>67805.462676021241</v>
      </c>
      <c r="Q66" s="324">
        <f t="shared" si="15"/>
        <v>67805.462676021241</v>
      </c>
      <c r="R66" s="30"/>
      <c r="S66" s="324">
        <f>SUM(F66:Q66)</f>
        <v>813665.55211225513</v>
      </c>
      <c r="T66" s="30"/>
      <c r="U66" s="30"/>
      <c r="V66" s="30"/>
      <c r="W66" s="30"/>
      <c r="X66" s="30"/>
      <c r="Y66" s="30"/>
      <c r="Z66" s="30"/>
      <c r="AA66" s="30"/>
      <c r="AB66" s="30" t="str">
        <f>A67</f>
        <v>Operacionales de Desarrollo</v>
      </c>
      <c r="AC66" s="324">
        <f>IFERROR(S67,"")</f>
        <v>522681.81658654002</v>
      </c>
      <c r="AD66" s="30"/>
      <c r="AE66" s="328">
        <f t="shared" si="13"/>
        <v>0.1147307403005669</v>
      </c>
      <c r="AF66" s="30"/>
      <c r="AG66" s="30"/>
      <c r="AH66" s="30" t="str">
        <f>AB84</f>
        <v>Gastos no Operacionales</v>
      </c>
      <c r="AI66" s="324">
        <f>-AC84</f>
        <v>-24184.351336010001</v>
      </c>
      <c r="AJ66" s="9"/>
      <c r="AK66" s="9"/>
      <c r="AL66" s="9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 spans="1:53" ht="15" customHeight="1">
      <c r="A67" s="30" t="str">
        <f>IFERROR(A27,"")</f>
        <v>Operacionales de Desarrollo</v>
      </c>
      <c r="B67" s="30"/>
      <c r="C67" s="30"/>
      <c r="D67" s="31"/>
      <c r="E67" s="31"/>
      <c r="F67" s="324">
        <f t="shared" si="15"/>
        <v>43556.818048878325</v>
      </c>
      <c r="G67" s="324">
        <f t="shared" si="15"/>
        <v>43556.818048878325</v>
      </c>
      <c r="H67" s="324">
        <f t="shared" si="15"/>
        <v>43556.818048878325</v>
      </c>
      <c r="I67" s="324">
        <f t="shared" si="15"/>
        <v>43556.818048878325</v>
      </c>
      <c r="J67" s="324">
        <f t="shared" si="15"/>
        <v>43556.818048878325</v>
      </c>
      <c r="K67" s="324">
        <f t="shared" si="15"/>
        <v>43556.818048878325</v>
      </c>
      <c r="L67" s="324">
        <f t="shared" si="15"/>
        <v>43556.818048878325</v>
      </c>
      <c r="M67" s="324">
        <f t="shared" si="15"/>
        <v>43556.818048878325</v>
      </c>
      <c r="N67" s="324">
        <f t="shared" si="15"/>
        <v>43556.818048878325</v>
      </c>
      <c r="O67" s="324">
        <f t="shared" si="15"/>
        <v>43556.818048878325</v>
      </c>
      <c r="P67" s="324">
        <f t="shared" si="15"/>
        <v>43556.818048878325</v>
      </c>
      <c r="Q67" s="324">
        <f t="shared" si="15"/>
        <v>43556.818048878325</v>
      </c>
      <c r="R67" s="30"/>
      <c r="S67" s="324">
        <f>SUM(F67:Q67)</f>
        <v>522681.81658654002</v>
      </c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28">
        <f t="shared" si="13"/>
        <v>0</v>
      </c>
      <c r="AF67" s="30"/>
      <c r="AG67" s="30"/>
      <c r="AH67" s="30" t="str">
        <f>AB88</f>
        <v>Impuestos</v>
      </c>
      <c r="AI67" s="324">
        <f>-AC88</f>
        <v>-758788.2250556926</v>
      </c>
      <c r="AJ67" s="9"/>
      <c r="AK67" s="9"/>
      <c r="AL67" s="9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ht="15" customHeight="1" thickBot="1">
      <c r="A68" s="30"/>
      <c r="B68" s="30"/>
      <c r="C68" s="30"/>
      <c r="D68" s="31"/>
      <c r="E68" s="31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9" t="str">
        <f>A70</f>
        <v>Utilidad Bruta</v>
      </c>
      <c r="AC68" s="329">
        <f>IFERROR(S70,"")</f>
        <v>3219378.6313012019</v>
      </c>
      <c r="AD68" s="30"/>
      <c r="AE68" s="328">
        <f t="shared" si="13"/>
        <v>0.70666643061966516</v>
      </c>
      <c r="AF68" s="30"/>
      <c r="AG68" s="30"/>
      <c r="AH68" s="30" t="str">
        <f>AB90</f>
        <v>Utilidad Neta</v>
      </c>
      <c r="AI68" s="324">
        <f>AC90</f>
        <v>1395271.694728784</v>
      </c>
      <c r="AJ68" s="9"/>
      <c r="AK68" s="9"/>
      <c r="AL68" s="9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 spans="1:53" ht="15" customHeight="1">
      <c r="A69" s="30"/>
      <c r="B69" s="30"/>
      <c r="C69" s="30"/>
      <c r="D69" s="31"/>
      <c r="E69" s="31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24">
        <f>SUM(F69:Q69)</f>
        <v>0</v>
      </c>
      <c r="T69" s="30"/>
      <c r="U69" s="30"/>
      <c r="V69" s="30"/>
      <c r="W69" s="30"/>
      <c r="X69" s="30"/>
      <c r="Y69" s="30"/>
      <c r="Z69" s="30"/>
      <c r="AA69" s="30"/>
      <c r="AB69" s="30" t="str">
        <f>A71</f>
        <v>Margen Bruto</v>
      </c>
      <c r="AC69" s="328">
        <f>IFERROR(S71,"")</f>
        <v>0.70666643061966516</v>
      </c>
      <c r="AD69" s="30"/>
      <c r="AE69" s="328">
        <f t="shared" si="13"/>
        <v>1.551160957923426E-7</v>
      </c>
      <c r="AF69" s="30"/>
      <c r="AG69" s="30"/>
      <c r="AH69" s="30"/>
      <c r="AI69" s="30"/>
      <c r="AJ69" s="9"/>
      <c r="AK69" s="9"/>
      <c r="AL69" s="9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ht="15" customHeight="1" thickBot="1">
      <c r="A70" s="35" t="str">
        <f>IFERROR(A29,"")</f>
        <v>Utilidad Bruta</v>
      </c>
      <c r="B70" s="35"/>
      <c r="C70" s="35"/>
      <c r="D70" s="36"/>
      <c r="E70" s="36"/>
      <c r="F70" s="325">
        <f t="shared" ref="F70:Q70" si="16">F29/$H$6</f>
        <v>74870.121775558044</v>
      </c>
      <c r="G70" s="325">
        <f t="shared" si="16"/>
        <v>242958.52358664275</v>
      </c>
      <c r="H70" s="325">
        <f t="shared" si="16"/>
        <v>284876.31894780684</v>
      </c>
      <c r="I70" s="325">
        <f t="shared" si="16"/>
        <v>247828.47049189889</v>
      </c>
      <c r="J70" s="325">
        <f t="shared" si="16"/>
        <v>291717.83832382463</v>
      </c>
      <c r="K70" s="325">
        <f t="shared" si="16"/>
        <v>264196.59390330722</v>
      </c>
      <c r="L70" s="325">
        <f t="shared" si="16"/>
        <v>276722.24703252304</v>
      </c>
      <c r="M70" s="325">
        <f t="shared" si="16"/>
        <v>272227.1442210094</v>
      </c>
      <c r="N70" s="325">
        <f t="shared" si="16"/>
        <v>312901.14749414695</v>
      </c>
      <c r="O70" s="325">
        <f t="shared" si="16"/>
        <v>308591.74963669502</v>
      </c>
      <c r="P70" s="325">
        <f t="shared" si="16"/>
        <v>311854.47488092253</v>
      </c>
      <c r="Q70" s="325">
        <f t="shared" si="16"/>
        <v>330634.00100686657</v>
      </c>
      <c r="R70" s="35"/>
      <c r="S70" s="325">
        <f>SUM(F70:Q70)</f>
        <v>3219378.6313012019</v>
      </c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30">
        <f t="shared" si="13"/>
        <v>0</v>
      </c>
      <c r="AF70" s="35"/>
      <c r="AG70" s="35"/>
      <c r="AH70" s="35"/>
      <c r="AI70" s="35"/>
      <c r="AJ70" s="11"/>
      <c r="AK70" s="11"/>
      <c r="AL70" s="11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ht="15" customHeight="1" thickTop="1" thickBot="1">
      <c r="A71" s="37" t="s">
        <v>670</v>
      </c>
      <c r="B71" s="37"/>
      <c r="C71" s="37"/>
      <c r="D71" s="38"/>
      <c r="E71" s="38"/>
      <c r="F71" s="331">
        <f t="shared" ref="F71:Q71" si="17">F70/F$62</f>
        <v>0.40202521564620886</v>
      </c>
      <c r="G71" s="331">
        <f t="shared" si="17"/>
        <v>0.68570211127940872</v>
      </c>
      <c r="H71" s="331">
        <f t="shared" si="17"/>
        <v>0.71895145799302496</v>
      </c>
      <c r="I71" s="331">
        <f t="shared" si="17"/>
        <v>0.68996339591805322</v>
      </c>
      <c r="J71" s="331">
        <f t="shared" si="17"/>
        <v>0.72372172314596817</v>
      </c>
      <c r="K71" s="331">
        <f t="shared" si="17"/>
        <v>0.70347583761628529</v>
      </c>
      <c r="L71" s="331">
        <f t="shared" si="17"/>
        <v>0.71304632687003688</v>
      </c>
      <c r="M71" s="331">
        <f t="shared" si="17"/>
        <v>0.70968365266950983</v>
      </c>
      <c r="N71" s="331">
        <f t="shared" si="17"/>
        <v>0.73751619084310194</v>
      </c>
      <c r="O71" s="331">
        <f t="shared" si="17"/>
        <v>0.73482268849994625</v>
      </c>
      <c r="P71" s="331">
        <f t="shared" si="17"/>
        <v>0.7368670326733926</v>
      </c>
      <c r="Q71" s="331">
        <f t="shared" si="17"/>
        <v>0.74804701910935545</v>
      </c>
      <c r="R71" s="150"/>
      <c r="S71" s="331">
        <f>S70/S$62</f>
        <v>0.70666643061966516</v>
      </c>
      <c r="T71" s="37"/>
      <c r="U71" s="37"/>
      <c r="V71" s="37"/>
      <c r="W71" s="37"/>
      <c r="X71" s="37"/>
      <c r="Y71" s="37"/>
      <c r="Z71" s="37"/>
      <c r="AA71" s="37"/>
      <c r="AB71" s="40" t="str">
        <f>A73</f>
        <v>Operacionales de Administración</v>
      </c>
      <c r="AC71" s="332">
        <f>IFERROR(S73,"")</f>
        <v>402541.39066638245</v>
      </c>
      <c r="AD71" s="37"/>
      <c r="AE71" s="331">
        <f t="shared" si="13"/>
        <v>8.8359438356561126E-2</v>
      </c>
      <c r="AF71" s="37"/>
      <c r="AG71" s="37"/>
      <c r="AH71" s="37"/>
      <c r="AI71" s="37"/>
      <c r="AJ71" s="12"/>
      <c r="AK71" s="12"/>
      <c r="AL71" s="12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</row>
    <row r="72" spans="1:53" ht="15" customHeight="1">
      <c r="A72" s="30"/>
      <c r="B72" s="30"/>
      <c r="C72" s="30"/>
      <c r="D72" s="31"/>
      <c r="E72" s="31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 t="str">
        <f>A74</f>
        <v>Gastos de Personal</v>
      </c>
      <c r="AC72" s="324">
        <f>IFERROR(S74,"")</f>
        <v>185484.95936199999</v>
      </c>
      <c r="AD72" s="30"/>
      <c r="AE72" s="328">
        <f t="shared" si="13"/>
        <v>4.071468726653011E-2</v>
      </c>
      <c r="AF72" s="30"/>
      <c r="AG72" s="30"/>
      <c r="AH72" s="30"/>
      <c r="AI72" s="30"/>
      <c r="AJ72" s="9"/>
      <c r="AK72" s="9"/>
      <c r="AL72" s="9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ht="15" customHeight="1" thickBot="1">
      <c r="A73" s="34" t="str">
        <f>IFERROR(A32,"")</f>
        <v>Operacionales de Administración</v>
      </c>
      <c r="B73" s="34"/>
      <c r="C73" s="34"/>
      <c r="D73" s="34"/>
      <c r="E73" s="34"/>
      <c r="F73" s="322">
        <f t="shared" ref="F73:Q75" si="18">F32/$H$6</f>
        <v>33545.115888865206</v>
      </c>
      <c r="G73" s="322">
        <f t="shared" si="18"/>
        <v>33545.115888865206</v>
      </c>
      <c r="H73" s="322">
        <f t="shared" si="18"/>
        <v>33545.115888865206</v>
      </c>
      <c r="I73" s="322">
        <f t="shared" si="18"/>
        <v>33545.115888865206</v>
      </c>
      <c r="J73" s="322">
        <f t="shared" si="18"/>
        <v>33545.115888865206</v>
      </c>
      <c r="K73" s="322">
        <f t="shared" si="18"/>
        <v>33545.115888865206</v>
      </c>
      <c r="L73" s="322">
        <f t="shared" si="18"/>
        <v>33545.115888865206</v>
      </c>
      <c r="M73" s="322">
        <f t="shared" si="18"/>
        <v>33545.115888865206</v>
      </c>
      <c r="N73" s="322">
        <f t="shared" si="18"/>
        <v>33545.115888865206</v>
      </c>
      <c r="O73" s="322">
        <f t="shared" si="18"/>
        <v>33545.115888865206</v>
      </c>
      <c r="P73" s="322">
        <f t="shared" si="18"/>
        <v>33545.115888865206</v>
      </c>
      <c r="Q73" s="322">
        <f t="shared" si="18"/>
        <v>33545.115888865206</v>
      </c>
      <c r="R73" s="30"/>
      <c r="S73" s="322">
        <f>SUM(F73:Q73)</f>
        <v>402541.39066638245</v>
      </c>
      <c r="T73" s="30"/>
      <c r="U73" s="30"/>
      <c r="V73" s="30"/>
      <c r="W73" s="30"/>
      <c r="X73" s="30"/>
      <c r="Y73" s="30"/>
      <c r="Z73" s="30"/>
      <c r="AA73" s="30"/>
      <c r="AB73" s="30" t="str">
        <f>A75</f>
        <v>Otros Gastos de Administración Operacionales</v>
      </c>
      <c r="AC73" s="324">
        <f>IFERROR(S75,"")</f>
        <v>217056.43130438251</v>
      </c>
      <c r="AD73" s="30"/>
      <c r="AE73" s="328">
        <f t="shared" si="13"/>
        <v>4.7644751090031023E-2</v>
      </c>
      <c r="AF73" s="30"/>
      <c r="AG73" s="30"/>
      <c r="AH73" s="30"/>
      <c r="AI73" s="30"/>
      <c r="AJ73" s="9"/>
      <c r="AK73" s="9"/>
      <c r="AL73" s="9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ht="15" customHeight="1">
      <c r="A74" s="30" t="str">
        <f>IFERROR(A33,"")</f>
        <v>Gastos de Personal</v>
      </c>
      <c r="B74" s="30"/>
      <c r="C74" s="30"/>
      <c r="D74" s="31"/>
      <c r="E74" s="31"/>
      <c r="F74" s="324">
        <f t="shared" si="18"/>
        <v>15457.079946833332</v>
      </c>
      <c r="G74" s="324">
        <f t="shared" si="18"/>
        <v>15457.079946833332</v>
      </c>
      <c r="H74" s="324">
        <f t="shared" si="18"/>
        <v>15457.079946833332</v>
      </c>
      <c r="I74" s="324">
        <f t="shared" si="18"/>
        <v>15457.079946833332</v>
      </c>
      <c r="J74" s="324">
        <f t="shared" si="18"/>
        <v>15457.079946833332</v>
      </c>
      <c r="K74" s="324">
        <f t="shared" si="18"/>
        <v>15457.079946833332</v>
      </c>
      <c r="L74" s="324">
        <f t="shared" si="18"/>
        <v>15457.079946833332</v>
      </c>
      <c r="M74" s="324">
        <f t="shared" si="18"/>
        <v>15457.079946833332</v>
      </c>
      <c r="N74" s="324">
        <f t="shared" si="18"/>
        <v>15457.079946833332</v>
      </c>
      <c r="O74" s="324">
        <f t="shared" si="18"/>
        <v>15457.079946833332</v>
      </c>
      <c r="P74" s="324">
        <f t="shared" si="18"/>
        <v>15457.079946833332</v>
      </c>
      <c r="Q74" s="324">
        <f t="shared" si="18"/>
        <v>15457.079946833332</v>
      </c>
      <c r="R74" s="30"/>
      <c r="S74" s="324">
        <f>SUM(F74:Q74)</f>
        <v>185484.95936199999</v>
      </c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28">
        <f t="shared" si="13"/>
        <v>0</v>
      </c>
      <c r="AF74" s="30"/>
      <c r="AG74" s="30"/>
      <c r="AH74" s="30"/>
      <c r="AI74" s="30"/>
      <c r="AJ74" s="9"/>
      <c r="AK74" s="9"/>
      <c r="AL74" s="9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ht="15" customHeight="1" thickBot="1">
      <c r="A75" s="30" t="str">
        <f>IFERROR(A34,"")</f>
        <v>Otros Gastos de Administración Operacionales</v>
      </c>
      <c r="B75" s="30"/>
      <c r="C75" s="30"/>
      <c r="D75" s="31"/>
      <c r="E75" s="31"/>
      <c r="F75" s="324">
        <f t="shared" si="18"/>
        <v>18088.035942031871</v>
      </c>
      <c r="G75" s="324">
        <f t="shared" si="18"/>
        <v>18088.035942031871</v>
      </c>
      <c r="H75" s="324">
        <f t="shared" si="18"/>
        <v>18088.035942031871</v>
      </c>
      <c r="I75" s="324">
        <f t="shared" si="18"/>
        <v>18088.035942031871</v>
      </c>
      <c r="J75" s="324">
        <f t="shared" si="18"/>
        <v>18088.035942031871</v>
      </c>
      <c r="K75" s="324">
        <f t="shared" si="18"/>
        <v>18088.035942031871</v>
      </c>
      <c r="L75" s="324">
        <f t="shared" si="18"/>
        <v>18088.035942031871</v>
      </c>
      <c r="M75" s="324">
        <f t="shared" si="18"/>
        <v>18088.035942031871</v>
      </c>
      <c r="N75" s="324">
        <f t="shared" si="18"/>
        <v>18088.035942031871</v>
      </c>
      <c r="O75" s="324">
        <f t="shared" si="18"/>
        <v>18088.035942031871</v>
      </c>
      <c r="P75" s="324">
        <f t="shared" si="18"/>
        <v>18088.035942031871</v>
      </c>
      <c r="Q75" s="324">
        <f t="shared" si="18"/>
        <v>18088.035942031871</v>
      </c>
      <c r="R75" s="30"/>
      <c r="S75" s="324">
        <f>SUM(F75:Q75)</f>
        <v>217056.43130438251</v>
      </c>
      <c r="T75" s="30"/>
      <c r="U75" s="30"/>
      <c r="V75" s="30"/>
      <c r="W75" s="30"/>
      <c r="X75" s="30"/>
      <c r="Y75" s="30"/>
      <c r="Z75" s="30"/>
      <c r="AA75" s="30"/>
      <c r="AB75" s="34" t="str">
        <f>A77</f>
        <v>Operacionales de Ventas</v>
      </c>
      <c r="AC75" s="322">
        <f>IFERROR(S77,"")</f>
        <v>648123.67681389488</v>
      </c>
      <c r="AD75" s="30"/>
      <c r="AE75" s="328">
        <f t="shared" si="13"/>
        <v>0.14226572818775654</v>
      </c>
      <c r="AF75" s="30"/>
      <c r="AG75" s="30"/>
      <c r="AH75" s="30"/>
      <c r="AI75" s="30"/>
      <c r="AJ75" s="9"/>
      <c r="AK75" s="9"/>
      <c r="AL75" s="9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ht="15" customHeight="1">
      <c r="A76" s="30"/>
      <c r="B76" s="30"/>
      <c r="C76" s="30"/>
      <c r="D76" s="31"/>
      <c r="E76" s="31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 t="str">
        <f>A78</f>
        <v>Gastos de Personal</v>
      </c>
      <c r="AC76" s="324">
        <f>IFERROR(S78,"")</f>
        <v>288942.34646974999</v>
      </c>
      <c r="AD76" s="30"/>
      <c r="AE76" s="328">
        <f t="shared" si="13"/>
        <v>6.3423995751665102E-2</v>
      </c>
      <c r="AF76" s="30"/>
      <c r="AG76" s="30"/>
      <c r="AH76" s="30"/>
      <c r="AI76" s="30"/>
      <c r="AJ76" s="9"/>
      <c r="AK76" s="9"/>
      <c r="AL76" s="9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ht="15" customHeight="1" thickBot="1">
      <c r="A77" s="34" t="str">
        <f>IFERROR(A37,"")</f>
        <v>Operacionales de Ventas</v>
      </c>
      <c r="B77" s="34"/>
      <c r="C77" s="34"/>
      <c r="D77" s="34"/>
      <c r="E77" s="34"/>
      <c r="F77" s="322">
        <f t="shared" ref="F77:Q80" si="19">F37/$H$6</f>
        <v>54010.306401157919</v>
      </c>
      <c r="G77" s="322">
        <f t="shared" si="19"/>
        <v>54010.306401157919</v>
      </c>
      <c r="H77" s="322">
        <f t="shared" si="19"/>
        <v>54010.306401157919</v>
      </c>
      <c r="I77" s="322">
        <f t="shared" si="19"/>
        <v>54010.306401157919</v>
      </c>
      <c r="J77" s="322">
        <f t="shared" si="19"/>
        <v>54010.306401157919</v>
      </c>
      <c r="K77" s="322">
        <f t="shared" si="19"/>
        <v>54010.306401157919</v>
      </c>
      <c r="L77" s="322">
        <f t="shared" si="19"/>
        <v>54010.306401157919</v>
      </c>
      <c r="M77" s="322">
        <f t="shared" si="19"/>
        <v>54010.306401157919</v>
      </c>
      <c r="N77" s="322">
        <f t="shared" si="19"/>
        <v>54010.306401157919</v>
      </c>
      <c r="O77" s="322">
        <f t="shared" si="19"/>
        <v>54010.306401157919</v>
      </c>
      <c r="P77" s="322">
        <f t="shared" si="19"/>
        <v>54010.306401157919</v>
      </c>
      <c r="Q77" s="322">
        <f t="shared" si="19"/>
        <v>54010.306401157919</v>
      </c>
      <c r="R77" s="30"/>
      <c r="S77" s="322">
        <f>SUM(F77:Q77)</f>
        <v>648123.67681389488</v>
      </c>
      <c r="T77" s="30"/>
      <c r="U77" s="30"/>
      <c r="V77" s="30"/>
      <c r="W77" s="30"/>
      <c r="X77" s="30"/>
      <c r="Y77" s="30"/>
      <c r="Z77" s="30"/>
      <c r="AA77" s="30"/>
      <c r="AB77" s="30" t="str">
        <f>A79</f>
        <v xml:space="preserve">Honorarios </v>
      </c>
      <c r="AC77" s="324">
        <f>IFERROR(S79,"")</f>
        <v>122150.02641435746</v>
      </c>
      <c r="AD77" s="30"/>
      <c r="AE77" s="328">
        <f t="shared" si="13"/>
        <v>2.6812417255637752E-2</v>
      </c>
      <c r="AF77" s="30"/>
      <c r="AG77" s="30"/>
      <c r="AH77" s="30"/>
      <c r="AI77" s="30"/>
      <c r="AJ77" s="9"/>
      <c r="AK77" s="9"/>
      <c r="AL77" s="9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ht="15" customHeight="1">
      <c r="A78" s="30" t="str">
        <f>IFERROR(A38,"")</f>
        <v>Gastos de Personal</v>
      </c>
      <c r="B78" s="30"/>
      <c r="C78" s="30"/>
      <c r="D78" s="30"/>
      <c r="E78" s="30"/>
      <c r="F78" s="324">
        <f t="shared" si="19"/>
        <v>24078.528872479164</v>
      </c>
      <c r="G78" s="324">
        <f t="shared" si="19"/>
        <v>24078.528872479164</v>
      </c>
      <c r="H78" s="324">
        <f t="shared" si="19"/>
        <v>24078.528872479164</v>
      </c>
      <c r="I78" s="324">
        <f t="shared" si="19"/>
        <v>24078.528872479164</v>
      </c>
      <c r="J78" s="324">
        <f t="shared" si="19"/>
        <v>24078.528872479164</v>
      </c>
      <c r="K78" s="324">
        <f t="shared" si="19"/>
        <v>24078.528872479164</v>
      </c>
      <c r="L78" s="324">
        <f t="shared" si="19"/>
        <v>24078.528872479164</v>
      </c>
      <c r="M78" s="324">
        <f t="shared" si="19"/>
        <v>24078.528872479164</v>
      </c>
      <c r="N78" s="324">
        <f t="shared" si="19"/>
        <v>24078.528872479164</v>
      </c>
      <c r="O78" s="324">
        <f t="shared" si="19"/>
        <v>24078.528872479164</v>
      </c>
      <c r="P78" s="324">
        <f t="shared" si="19"/>
        <v>24078.528872479164</v>
      </c>
      <c r="Q78" s="324">
        <f t="shared" si="19"/>
        <v>24078.528872479164</v>
      </c>
      <c r="R78" s="30"/>
      <c r="S78" s="324">
        <f>SUM(F78:Q78)</f>
        <v>288942.34646974999</v>
      </c>
      <c r="T78" s="30"/>
      <c r="U78" s="30"/>
      <c r="V78" s="30"/>
      <c r="W78" s="30"/>
      <c r="X78" s="30"/>
      <c r="Y78" s="30"/>
      <c r="Z78" s="30"/>
      <c r="AA78" s="30"/>
      <c r="AB78" s="30" t="str">
        <f>A80</f>
        <v>Otros Gastos de Ventas Operacionales</v>
      </c>
      <c r="AC78" s="324">
        <f>IFERROR(S80,"")</f>
        <v>237031.30392978751</v>
      </c>
      <c r="AD78" s="30"/>
      <c r="AE78" s="328">
        <f t="shared" si="13"/>
        <v>5.2029315180453721E-2</v>
      </c>
      <c r="AF78" s="30"/>
      <c r="AG78" s="30"/>
      <c r="AH78" s="30"/>
      <c r="AI78" s="30"/>
      <c r="AJ78" s="9"/>
      <c r="AK78" s="9"/>
      <c r="AL78" s="9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ht="15" customHeight="1">
      <c r="A79" s="30" t="str">
        <f>IFERROR(A39,"")</f>
        <v xml:space="preserve">Honorarios </v>
      </c>
      <c r="B79" s="30"/>
      <c r="C79" s="30"/>
      <c r="D79" s="30"/>
      <c r="E79" s="30"/>
      <c r="F79" s="324">
        <f t="shared" si="19"/>
        <v>10179.168867863124</v>
      </c>
      <c r="G79" s="324">
        <f t="shared" si="19"/>
        <v>10179.168867863124</v>
      </c>
      <c r="H79" s="324">
        <f t="shared" si="19"/>
        <v>10179.168867863124</v>
      </c>
      <c r="I79" s="324">
        <f t="shared" si="19"/>
        <v>10179.168867863124</v>
      </c>
      <c r="J79" s="324">
        <f t="shared" si="19"/>
        <v>10179.168867863124</v>
      </c>
      <c r="K79" s="324">
        <f t="shared" si="19"/>
        <v>10179.168867863124</v>
      </c>
      <c r="L79" s="324">
        <f t="shared" si="19"/>
        <v>10179.168867863124</v>
      </c>
      <c r="M79" s="324">
        <f t="shared" si="19"/>
        <v>10179.168867863124</v>
      </c>
      <c r="N79" s="324">
        <f t="shared" si="19"/>
        <v>10179.168867863124</v>
      </c>
      <c r="O79" s="324">
        <f t="shared" si="19"/>
        <v>10179.168867863124</v>
      </c>
      <c r="P79" s="324">
        <f t="shared" si="19"/>
        <v>10179.168867863124</v>
      </c>
      <c r="Q79" s="324">
        <f t="shared" si="19"/>
        <v>10179.168867863124</v>
      </c>
      <c r="R79" s="30"/>
      <c r="S79" s="324">
        <f>SUM(F79:Q79)</f>
        <v>122150.02641435746</v>
      </c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28">
        <f t="shared" si="13"/>
        <v>0</v>
      </c>
      <c r="AF79" s="30"/>
      <c r="AG79" s="30"/>
      <c r="AH79" s="30"/>
      <c r="AI79" s="30"/>
      <c r="AJ79" s="9"/>
      <c r="AK79" s="9"/>
      <c r="AL79" s="9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ht="15" customHeight="1" thickBot="1">
      <c r="A80" s="30" t="str">
        <f>IFERROR(A40,"")</f>
        <v>Otros Gastos de Ventas Operacionales</v>
      </c>
      <c r="B80" s="30"/>
      <c r="C80" s="30"/>
      <c r="D80" s="30"/>
      <c r="E80" s="30"/>
      <c r="F80" s="324">
        <f t="shared" si="19"/>
        <v>19752.608660815622</v>
      </c>
      <c r="G80" s="324">
        <f t="shared" si="19"/>
        <v>19752.608660815622</v>
      </c>
      <c r="H80" s="324">
        <f t="shared" si="19"/>
        <v>19752.608660815622</v>
      </c>
      <c r="I80" s="324">
        <f t="shared" si="19"/>
        <v>19752.608660815622</v>
      </c>
      <c r="J80" s="324">
        <f t="shared" si="19"/>
        <v>19752.608660815622</v>
      </c>
      <c r="K80" s="324">
        <f t="shared" si="19"/>
        <v>19752.608660815622</v>
      </c>
      <c r="L80" s="324">
        <f t="shared" si="19"/>
        <v>19752.608660815622</v>
      </c>
      <c r="M80" s="324">
        <f t="shared" si="19"/>
        <v>19752.608660815622</v>
      </c>
      <c r="N80" s="324">
        <f t="shared" si="19"/>
        <v>19752.608660815622</v>
      </c>
      <c r="O80" s="324">
        <f t="shared" si="19"/>
        <v>19752.608660815622</v>
      </c>
      <c r="P80" s="324">
        <f t="shared" si="19"/>
        <v>19752.608660815622</v>
      </c>
      <c r="Q80" s="324">
        <f t="shared" si="19"/>
        <v>19752.608660815622</v>
      </c>
      <c r="R80" s="30"/>
      <c r="S80" s="324">
        <f>SUM(F80:Q80)</f>
        <v>237031.30392978751</v>
      </c>
      <c r="T80" s="30"/>
      <c r="U80" s="30"/>
      <c r="V80" s="30"/>
      <c r="W80" s="30"/>
      <c r="X80" s="30"/>
      <c r="Y80" s="30"/>
      <c r="Z80" s="30"/>
      <c r="AA80" s="30"/>
      <c r="AB80" s="39" t="str">
        <f>A82</f>
        <v>Utilidad Operacional / EBITDA</v>
      </c>
      <c r="AC80" s="329">
        <f>IFERROR(S82,"")</f>
        <v>2168713.5638209246</v>
      </c>
      <c r="AD80" s="30"/>
      <c r="AE80" s="328">
        <f t="shared" si="13"/>
        <v>0.47604126407534747</v>
      </c>
      <c r="AF80" s="30"/>
      <c r="AG80" s="30"/>
      <c r="AH80" s="30"/>
      <c r="AI80" s="30"/>
      <c r="AJ80" s="9"/>
      <c r="AK80" s="9"/>
      <c r="AL80" s="9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ht="1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 t="str">
        <f>A83</f>
        <v>Margen Ebitda</v>
      </c>
      <c r="AC81" s="328">
        <f>IFERROR(S83,"")</f>
        <v>0.47604126407534747</v>
      </c>
      <c r="AD81" s="30"/>
      <c r="AE81" s="328">
        <f t="shared" si="13"/>
        <v>1.0449295328019022E-7</v>
      </c>
      <c r="AF81" s="30"/>
      <c r="AG81" s="30"/>
      <c r="AH81" s="30"/>
      <c r="AI81" s="30"/>
      <c r="AJ81" s="9"/>
      <c r="AK81" s="9"/>
      <c r="AL81" s="9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ht="15" customHeight="1">
      <c r="A82" s="41" t="s">
        <v>846</v>
      </c>
      <c r="B82" s="41"/>
      <c r="C82" s="41"/>
      <c r="D82" s="42"/>
      <c r="E82" s="42"/>
      <c r="F82" s="333">
        <f t="shared" ref="F82:Q82" si="20">F42/$H$6</f>
        <v>-12685.300514465078</v>
      </c>
      <c r="G82" s="333">
        <f t="shared" si="20"/>
        <v>155403.10129661963</v>
      </c>
      <c r="H82" s="333">
        <f t="shared" si="20"/>
        <v>197320.89665778371</v>
      </c>
      <c r="I82" s="333">
        <f t="shared" si="20"/>
        <v>160273.04820187579</v>
      </c>
      <c r="J82" s="333">
        <f t="shared" si="20"/>
        <v>204162.41603380154</v>
      </c>
      <c r="K82" s="333">
        <f t="shared" si="20"/>
        <v>176641.1716132841</v>
      </c>
      <c r="L82" s="333">
        <f t="shared" si="20"/>
        <v>189166.82474249991</v>
      </c>
      <c r="M82" s="333">
        <f t="shared" si="20"/>
        <v>184671.72193098624</v>
      </c>
      <c r="N82" s="333">
        <f t="shared" si="20"/>
        <v>225345.7252041238</v>
      </c>
      <c r="O82" s="333">
        <f t="shared" si="20"/>
        <v>221036.32734667187</v>
      </c>
      <c r="P82" s="333">
        <f t="shared" si="20"/>
        <v>224299.0525908994</v>
      </c>
      <c r="Q82" s="333">
        <f t="shared" si="20"/>
        <v>243078.57871684342</v>
      </c>
      <c r="R82" s="30"/>
      <c r="S82" s="333">
        <f>SUM(F82:Q82)</f>
        <v>2168713.5638209246</v>
      </c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28">
        <f t="shared" si="13"/>
        <v>0</v>
      </c>
      <c r="AF82" s="30"/>
      <c r="AG82" s="30"/>
      <c r="AH82" s="30"/>
      <c r="AI82" s="30"/>
      <c r="AJ82" s="9"/>
      <c r="AK82" s="9"/>
      <c r="AL82" s="9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ht="15" customHeight="1" thickBot="1">
      <c r="A83" s="35" t="s">
        <v>847</v>
      </c>
      <c r="B83" s="35"/>
      <c r="C83" s="35"/>
      <c r="D83" s="35"/>
      <c r="E83" s="35"/>
      <c r="F83" s="330">
        <f t="shared" ref="F83:Q83" si="21">F82/F$62</f>
        <v>-6.8115431816082095E-2</v>
      </c>
      <c r="G83" s="330">
        <f t="shared" si="21"/>
        <v>0.43859434559190874</v>
      </c>
      <c r="H83" s="330">
        <f t="shared" si="21"/>
        <v>0.49798504441710373</v>
      </c>
      <c r="I83" s="330">
        <f t="shared" si="21"/>
        <v>0.44620594394185559</v>
      </c>
      <c r="J83" s="330">
        <f t="shared" si="21"/>
        <v>0.50650579471800361</v>
      </c>
      <c r="K83" s="330">
        <f t="shared" si="21"/>
        <v>0.4703421581720153</v>
      </c>
      <c r="L83" s="330">
        <f t="shared" si="21"/>
        <v>0.4874371720913882</v>
      </c>
      <c r="M83" s="330">
        <f t="shared" si="21"/>
        <v>0.48143069104949221</v>
      </c>
      <c r="N83" s="330">
        <f t="shared" si="21"/>
        <v>0.53114576985829243</v>
      </c>
      <c r="O83" s="330">
        <f t="shared" si="21"/>
        <v>0.52633457799262484</v>
      </c>
      <c r="P83" s="330">
        <f t="shared" si="21"/>
        <v>0.52998622956178099</v>
      </c>
      <c r="Q83" s="330">
        <f t="shared" si="21"/>
        <v>0.54995616199405106</v>
      </c>
      <c r="R83" s="151"/>
      <c r="S83" s="330">
        <f>S82/S$62</f>
        <v>0.47604126407534747</v>
      </c>
      <c r="T83" s="35"/>
      <c r="U83" s="35"/>
      <c r="V83" s="35"/>
      <c r="W83" s="35"/>
      <c r="X83" s="35"/>
      <c r="Y83" s="35"/>
      <c r="Z83" s="35"/>
      <c r="AA83" s="35"/>
      <c r="AB83" s="35" t="str">
        <f>A85</f>
        <v>Ingresos no Operacionales</v>
      </c>
      <c r="AC83" s="325">
        <f>IFERROR(S85,"")</f>
        <v>9530.7072995625003</v>
      </c>
      <c r="AD83" s="35"/>
      <c r="AE83" s="330">
        <f t="shared" si="13"/>
        <v>2.0920282079217468E-3</v>
      </c>
      <c r="AF83" s="35"/>
      <c r="AG83" s="35"/>
      <c r="AH83" s="35"/>
      <c r="AI83" s="35"/>
      <c r="AJ83" s="11"/>
      <c r="AK83" s="11"/>
      <c r="AL83" s="11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ht="15" customHeight="1" thickTop="1">
      <c r="A84" s="37"/>
      <c r="B84" s="37"/>
      <c r="C84" s="37"/>
      <c r="D84" s="37"/>
      <c r="E84" s="37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37"/>
      <c r="U84" s="37"/>
      <c r="V84" s="37"/>
      <c r="W84" s="37"/>
      <c r="X84" s="37"/>
      <c r="Y84" s="37"/>
      <c r="Z84" s="37"/>
      <c r="AA84" s="37"/>
      <c r="AB84" s="37" t="str">
        <f>A86</f>
        <v>Gastos no Operacionales</v>
      </c>
      <c r="AC84" s="326">
        <f>IFERROR(S86,"")</f>
        <v>24184.351336010001</v>
      </c>
      <c r="AD84" s="37"/>
      <c r="AE84" s="331">
        <f t="shared" si="13"/>
        <v>5.3085614314842509E-3</v>
      </c>
      <c r="AF84" s="37"/>
      <c r="AG84" s="37"/>
      <c r="AH84" s="37"/>
      <c r="AI84" s="37"/>
      <c r="AJ84" s="12"/>
      <c r="AK84" s="12"/>
      <c r="AL84" s="12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</row>
    <row r="85" spans="1:53" ht="15" customHeight="1">
      <c r="A85" s="30" t="str">
        <f>IFERROR(A44,"")</f>
        <v>Ingresos no Operacionales</v>
      </c>
      <c r="B85" s="30"/>
      <c r="C85" s="30"/>
      <c r="D85" s="30"/>
      <c r="E85" s="30"/>
      <c r="F85" s="324">
        <f t="shared" ref="F85:Q86" si="22">F44/$H$6</f>
        <v>794.22560829687495</v>
      </c>
      <c r="G85" s="324">
        <f t="shared" si="22"/>
        <v>794.22560829687495</v>
      </c>
      <c r="H85" s="324">
        <f t="shared" si="22"/>
        <v>794.22560829687495</v>
      </c>
      <c r="I85" s="324">
        <f t="shared" si="22"/>
        <v>794.22560829687495</v>
      </c>
      <c r="J85" s="324">
        <f t="shared" si="22"/>
        <v>794.22560829687495</v>
      </c>
      <c r="K85" s="324">
        <f t="shared" si="22"/>
        <v>794.22560829687495</v>
      </c>
      <c r="L85" s="324">
        <f t="shared" si="22"/>
        <v>794.22560829687495</v>
      </c>
      <c r="M85" s="324">
        <f t="shared" si="22"/>
        <v>794.22560829687495</v>
      </c>
      <c r="N85" s="324">
        <f t="shared" si="22"/>
        <v>794.22560829687495</v>
      </c>
      <c r="O85" s="324">
        <f t="shared" si="22"/>
        <v>794.22560829687495</v>
      </c>
      <c r="P85" s="324">
        <f t="shared" si="22"/>
        <v>794.22560829687495</v>
      </c>
      <c r="Q85" s="324">
        <f t="shared" si="22"/>
        <v>794.22560829687495</v>
      </c>
      <c r="R85" s="30"/>
      <c r="S85" s="324">
        <f>SUM(F85:Q85)</f>
        <v>9530.7072995625003</v>
      </c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28">
        <f t="shared" si="13"/>
        <v>0</v>
      </c>
      <c r="AF85" s="30"/>
      <c r="AG85" s="30"/>
      <c r="AH85" s="30"/>
      <c r="AI85" s="30"/>
      <c r="AJ85" s="9"/>
      <c r="AK85" s="9"/>
      <c r="AL85" s="9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ht="15" customHeight="1" thickBot="1">
      <c r="A86" s="30" t="str">
        <f>IFERROR(A45,"")</f>
        <v>Gastos no Operacionales</v>
      </c>
      <c r="B86" s="30"/>
      <c r="C86" s="30"/>
      <c r="D86" s="30"/>
      <c r="E86" s="30"/>
      <c r="F86" s="324">
        <f t="shared" si="22"/>
        <v>2015.3626113341668</v>
      </c>
      <c r="G86" s="324">
        <f t="shared" si="22"/>
        <v>2015.3626113341668</v>
      </c>
      <c r="H86" s="324">
        <f t="shared" si="22"/>
        <v>2015.3626113341668</v>
      </c>
      <c r="I86" s="324">
        <f t="shared" si="22"/>
        <v>2015.3626113341668</v>
      </c>
      <c r="J86" s="324">
        <f t="shared" si="22"/>
        <v>2015.3626113341668</v>
      </c>
      <c r="K86" s="324">
        <f t="shared" si="22"/>
        <v>2015.3626113341668</v>
      </c>
      <c r="L86" s="324">
        <f t="shared" si="22"/>
        <v>2015.3626113341668</v>
      </c>
      <c r="M86" s="324">
        <f t="shared" si="22"/>
        <v>2015.3626113341668</v>
      </c>
      <c r="N86" s="324">
        <f t="shared" si="22"/>
        <v>2015.3626113341668</v>
      </c>
      <c r="O86" s="324">
        <f t="shared" si="22"/>
        <v>2015.3626113341668</v>
      </c>
      <c r="P86" s="324">
        <f t="shared" si="22"/>
        <v>2015.3626113341668</v>
      </c>
      <c r="Q86" s="324">
        <f t="shared" si="22"/>
        <v>2015.3626113341668</v>
      </c>
      <c r="R86" s="30"/>
      <c r="S86" s="324">
        <f>SUM(F86:Q86)</f>
        <v>24184.351336010001</v>
      </c>
      <c r="T86" s="30"/>
      <c r="U86" s="30"/>
      <c r="V86" s="30"/>
      <c r="W86" s="30"/>
      <c r="X86" s="30"/>
      <c r="Y86" s="30"/>
      <c r="Z86" s="30"/>
      <c r="AA86" s="30"/>
      <c r="AB86" s="39" t="str">
        <f>A88</f>
        <v>Utilidad Antes de Impuestos / EBT</v>
      </c>
      <c r="AC86" s="329">
        <f>IFERROR(S88,"")</f>
        <v>2154059.9197844765</v>
      </c>
      <c r="AD86" s="30"/>
      <c r="AE86" s="328">
        <f t="shared" si="13"/>
        <v>0.47282473085178484</v>
      </c>
      <c r="AF86" s="30"/>
      <c r="AG86" s="30"/>
      <c r="AH86" s="30"/>
      <c r="AI86" s="30"/>
      <c r="AJ86" s="9"/>
      <c r="AK86" s="9"/>
      <c r="AL86" s="9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ht="1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28">
        <f t="shared" si="13"/>
        <v>0</v>
      </c>
      <c r="AF87" s="30"/>
      <c r="AG87" s="30"/>
      <c r="AH87" s="30"/>
      <c r="AI87" s="30"/>
      <c r="AJ87" s="9"/>
      <c r="AK87" s="9"/>
      <c r="AL87" s="9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ht="15" customHeight="1" thickBot="1">
      <c r="A88" s="35" t="s">
        <v>848</v>
      </c>
      <c r="B88" s="35"/>
      <c r="C88" s="35"/>
      <c r="D88" s="36"/>
      <c r="E88" s="36"/>
      <c r="F88" s="325">
        <f t="shared" ref="F88:Q88" si="23">F47/$H$6</f>
        <v>-13906.437517502371</v>
      </c>
      <c r="G88" s="325">
        <f t="shared" si="23"/>
        <v>154181.96429358231</v>
      </c>
      <c r="H88" s="325">
        <f t="shared" si="23"/>
        <v>196099.75965474642</v>
      </c>
      <c r="I88" s="325">
        <f t="shared" si="23"/>
        <v>159051.91119883847</v>
      </c>
      <c r="J88" s="325">
        <f t="shared" si="23"/>
        <v>202941.27903076421</v>
      </c>
      <c r="K88" s="325">
        <f t="shared" si="23"/>
        <v>175420.03461024677</v>
      </c>
      <c r="L88" s="325">
        <f t="shared" si="23"/>
        <v>187945.68773946262</v>
      </c>
      <c r="M88" s="325">
        <f t="shared" si="23"/>
        <v>183450.58492794895</v>
      </c>
      <c r="N88" s="325">
        <f t="shared" si="23"/>
        <v>224124.5882010865</v>
      </c>
      <c r="O88" s="325">
        <f t="shared" si="23"/>
        <v>219815.19034363457</v>
      </c>
      <c r="P88" s="325">
        <f t="shared" si="23"/>
        <v>223077.91558786211</v>
      </c>
      <c r="Q88" s="325">
        <f t="shared" si="23"/>
        <v>241857.44171380613</v>
      </c>
      <c r="R88" s="35"/>
      <c r="S88" s="325">
        <f>SUM(F88:Q88)</f>
        <v>2154059.9197844765</v>
      </c>
      <c r="T88" s="35"/>
      <c r="U88" s="35"/>
      <c r="V88" s="35"/>
      <c r="W88" s="35"/>
      <c r="X88" s="35"/>
      <c r="Y88" s="35"/>
      <c r="Z88" s="35"/>
      <c r="AA88" s="35"/>
      <c r="AB88" s="35" t="str">
        <f>A90</f>
        <v>Impuestos</v>
      </c>
      <c r="AC88" s="325">
        <f>IFERROR(S90,"")</f>
        <v>758788.2250556926</v>
      </c>
      <c r="AD88" s="35"/>
      <c r="AE88" s="330">
        <f t="shared" si="13"/>
        <v>0.16655703724405138</v>
      </c>
      <c r="AF88" s="35"/>
      <c r="AG88" s="35"/>
      <c r="AH88" s="35"/>
      <c r="AI88" s="35"/>
      <c r="AJ88" s="11"/>
      <c r="AK88" s="11"/>
      <c r="AL88" s="11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ht="15" customHeight="1" thickTop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28">
        <f t="shared" si="13"/>
        <v>0</v>
      </c>
      <c r="AF89" s="30"/>
      <c r="AG89" s="30"/>
      <c r="AH89" s="30"/>
      <c r="AI89" s="30"/>
      <c r="AJ89" s="9"/>
      <c r="AK89" s="9"/>
      <c r="AL89" s="9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ht="15" customHeight="1" thickBot="1">
      <c r="A90" s="30" t="str">
        <f>IFERROR(A49,"")</f>
        <v>Impuestos</v>
      </c>
      <c r="B90" s="30"/>
      <c r="C90" s="30"/>
      <c r="D90" s="30"/>
      <c r="E90" s="30"/>
      <c r="F90" s="324">
        <f t="shared" ref="F90:Q90" si="24">F49/$H$6</f>
        <v>0</v>
      </c>
      <c r="G90" s="324">
        <f t="shared" si="24"/>
        <v>53963.687502753812</v>
      </c>
      <c r="H90" s="324">
        <f t="shared" si="24"/>
        <v>68634.915879161243</v>
      </c>
      <c r="I90" s="324">
        <f t="shared" si="24"/>
        <v>55668.16891959346</v>
      </c>
      <c r="J90" s="324">
        <f t="shared" si="24"/>
        <v>71029.447660767459</v>
      </c>
      <c r="K90" s="324">
        <f t="shared" si="24"/>
        <v>61397.012113586366</v>
      </c>
      <c r="L90" s="324">
        <f t="shared" si="24"/>
        <v>65780.990708811907</v>
      </c>
      <c r="M90" s="324">
        <f t="shared" si="24"/>
        <v>64207.704724782132</v>
      </c>
      <c r="N90" s="324">
        <f t="shared" si="24"/>
        <v>78443.60587038027</v>
      </c>
      <c r="O90" s="324">
        <f t="shared" si="24"/>
        <v>76935.316620272104</v>
      </c>
      <c r="P90" s="324">
        <f t="shared" si="24"/>
        <v>78077.270455751728</v>
      </c>
      <c r="Q90" s="324">
        <f t="shared" si="24"/>
        <v>84650.104599832135</v>
      </c>
      <c r="R90" s="30"/>
      <c r="S90" s="324">
        <f>SUM(F90:Q90)</f>
        <v>758788.2250556926</v>
      </c>
      <c r="T90" s="30"/>
      <c r="U90" s="30"/>
      <c r="V90" s="30"/>
      <c r="W90" s="30"/>
      <c r="X90" s="30"/>
      <c r="Y90" s="30"/>
      <c r="Z90" s="30"/>
      <c r="AA90" s="30"/>
      <c r="AB90" s="43" t="str">
        <f>A92</f>
        <v>Utilidad Neta</v>
      </c>
      <c r="AC90" s="334">
        <f>IFERROR(S92,"")</f>
        <v>1395271.694728784</v>
      </c>
      <c r="AD90" s="30"/>
      <c r="AE90" s="328">
        <f t="shared" si="13"/>
        <v>0.30626769360773348</v>
      </c>
      <c r="AF90" s="30"/>
      <c r="AG90" s="30"/>
      <c r="AH90" s="30"/>
      <c r="AI90" s="30"/>
      <c r="AJ90" s="9"/>
      <c r="AK90" s="9"/>
      <c r="AL90" s="9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ht="15" customHeight="1" thickTop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 t="str">
        <f>A93</f>
        <v>Margen Neto</v>
      </c>
      <c r="AC91" s="328">
        <f>IFERROR(S93,"")</f>
        <v>0.30626769360773348</v>
      </c>
      <c r="AD91" s="30"/>
      <c r="AE91" s="328">
        <f t="shared" si="13"/>
        <v>6.7226978445967502E-8</v>
      </c>
      <c r="AF91" s="30"/>
      <c r="AG91" s="30"/>
      <c r="AH91" s="30"/>
      <c r="AI91" s="30"/>
      <c r="AJ91" s="9"/>
      <c r="AK91" s="9"/>
      <c r="AL91" s="9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ht="15" customHeight="1" thickBot="1">
      <c r="A92" s="35" t="str">
        <f>IFERROR(A51,"")</f>
        <v>Utilidad Neta</v>
      </c>
      <c r="B92" s="35"/>
      <c r="C92" s="35"/>
      <c r="D92" s="36"/>
      <c r="E92" s="36"/>
      <c r="F92" s="325">
        <f t="shared" ref="F92:Q92" si="25">F51/$H$6</f>
        <v>-13906.437517502371</v>
      </c>
      <c r="G92" s="325">
        <f t="shared" si="25"/>
        <v>100218.27679082852</v>
      </c>
      <c r="H92" s="325">
        <f t="shared" si="25"/>
        <v>127464.84377558518</v>
      </c>
      <c r="I92" s="325">
        <f t="shared" si="25"/>
        <v>103383.74227924502</v>
      </c>
      <c r="J92" s="325">
        <f t="shared" si="25"/>
        <v>131911.83136999677</v>
      </c>
      <c r="K92" s="325">
        <f t="shared" si="25"/>
        <v>114023.02249666041</v>
      </c>
      <c r="L92" s="325">
        <f t="shared" si="25"/>
        <v>122164.6970306507</v>
      </c>
      <c r="M92" s="325">
        <f t="shared" si="25"/>
        <v>119242.88020316682</v>
      </c>
      <c r="N92" s="325">
        <f t="shared" si="25"/>
        <v>145680.98233070623</v>
      </c>
      <c r="O92" s="325">
        <f t="shared" si="25"/>
        <v>142879.87372336249</v>
      </c>
      <c r="P92" s="325">
        <f t="shared" si="25"/>
        <v>145000.64513211037</v>
      </c>
      <c r="Q92" s="325">
        <f t="shared" si="25"/>
        <v>157207.33711397398</v>
      </c>
      <c r="R92" s="35"/>
      <c r="S92" s="325">
        <f>SUM(F92:Q92)</f>
        <v>1395271.694728784</v>
      </c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11"/>
      <c r="AK92" s="11"/>
      <c r="AL92" s="11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pans="1:53" ht="15" customHeight="1" thickTop="1">
      <c r="A93" s="37" t="s">
        <v>672</v>
      </c>
      <c r="B93" s="37"/>
      <c r="C93" s="37"/>
      <c r="D93" s="37"/>
      <c r="E93" s="37"/>
      <c r="F93" s="331">
        <f t="shared" ref="F93:Q93" si="26">F92/F$62</f>
        <v>-7.4672491632964882E-2</v>
      </c>
      <c r="G93" s="331">
        <f t="shared" si="26"/>
        <v>0.28284615402574553</v>
      </c>
      <c r="H93" s="331">
        <f t="shared" si="26"/>
        <v>0.32168709429336589</v>
      </c>
      <c r="I93" s="331">
        <f t="shared" si="26"/>
        <v>0.28782406542769023</v>
      </c>
      <c r="J93" s="331">
        <f t="shared" si="26"/>
        <v>0.32725958224213808</v>
      </c>
      <c r="K93" s="331">
        <f t="shared" si="26"/>
        <v>0.30360891513891169</v>
      </c>
      <c r="L93" s="331">
        <f t="shared" si="26"/>
        <v>0.31478888822646228</v>
      </c>
      <c r="M93" s="331">
        <f t="shared" si="26"/>
        <v>0.31086070795612164</v>
      </c>
      <c r="N93" s="331">
        <f t="shared" si="26"/>
        <v>0.34337388669638386</v>
      </c>
      <c r="O93" s="331">
        <f t="shared" si="26"/>
        <v>0.34022741393942113</v>
      </c>
      <c r="P93" s="331">
        <f t="shared" si="26"/>
        <v>0.34261555860317083</v>
      </c>
      <c r="Q93" s="331">
        <f t="shared" si="26"/>
        <v>0.35567570047880681</v>
      </c>
      <c r="R93" s="37"/>
      <c r="S93" s="331">
        <f>S92/S$62</f>
        <v>0.30626769360773348</v>
      </c>
      <c r="T93" s="150"/>
      <c r="U93" s="150"/>
      <c r="V93" s="150"/>
      <c r="W93" s="152"/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</row>
    <row r="94" spans="1:53" ht="1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14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ht="15" customHeight="1">
      <c r="A95" s="147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148"/>
      <c r="U95" s="148"/>
      <c r="V95" s="148"/>
      <c r="W95" s="148"/>
      <c r="X95" s="148"/>
      <c r="Y95" s="148"/>
      <c r="Z95" s="148"/>
      <c r="AA95" s="148"/>
      <c r="AB95" s="148"/>
      <c r="AC95" s="148"/>
      <c r="AD95" s="148"/>
      <c r="AE95" s="148"/>
      <c r="AF95" s="148"/>
      <c r="AG95" s="148"/>
      <c r="AH95" s="148"/>
      <c r="AI95" s="148"/>
      <c r="AJ95" s="9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ht="15" customHeight="1" outlineLevel="1">
      <c r="A96" s="147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148"/>
      <c r="U96" s="148"/>
      <c r="V96" s="148"/>
      <c r="W96" s="148"/>
      <c r="X96" s="148"/>
      <c r="Y96" s="148"/>
      <c r="Z96" s="148"/>
      <c r="AA96" s="148"/>
      <c r="AB96" s="148"/>
      <c r="AC96" s="148"/>
      <c r="AD96" s="148"/>
      <c r="AE96" s="148"/>
      <c r="AF96" s="148"/>
      <c r="AG96" s="148"/>
      <c r="AH96" s="148"/>
      <c r="AI96" s="148"/>
      <c r="AJ96" s="9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ht="15" customHeight="1" outlineLevel="1">
      <c r="A97" s="147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148"/>
      <c r="U97" s="148"/>
      <c r="V97" s="148"/>
      <c r="W97" s="148"/>
      <c r="X97" s="148"/>
      <c r="Y97" s="148"/>
      <c r="Z97" s="148"/>
      <c r="AA97" s="148"/>
      <c r="AB97" s="148"/>
      <c r="AC97" s="148"/>
      <c r="AD97" s="148"/>
      <c r="AE97" s="148"/>
      <c r="AF97" s="148"/>
      <c r="AG97" s="148"/>
      <c r="AH97" s="148"/>
      <c r="AI97" s="148"/>
      <c r="AJ97" s="9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ht="15" customHeight="1" outlineLevel="1">
      <c r="A98" s="147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148"/>
      <c r="U98" s="148"/>
      <c r="V98" s="148"/>
      <c r="W98" s="148"/>
      <c r="X98" s="148"/>
      <c r="Y98" s="148"/>
      <c r="Z98" s="148"/>
      <c r="AA98" s="148"/>
      <c r="AB98" s="148"/>
      <c r="AC98" s="148"/>
      <c r="AD98" s="148"/>
      <c r="AE98" s="148"/>
      <c r="AF98" s="148"/>
      <c r="AG98" s="148"/>
      <c r="AH98" s="148"/>
      <c r="AI98" s="148"/>
      <c r="AJ98" s="9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ht="15" customHeight="1" outlineLevel="1">
      <c r="A99" s="147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148"/>
      <c r="U99" s="148"/>
      <c r="V99" s="148"/>
      <c r="W99" s="148"/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148"/>
      <c r="AI99" s="148"/>
      <c r="AJ99" s="9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ht="15" customHeight="1" outlineLevel="1">
      <c r="A100" s="147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148"/>
      <c r="U100" s="148"/>
      <c r="V100" s="148"/>
      <c r="W100" s="148"/>
      <c r="X100" s="148"/>
      <c r="Y100" s="148"/>
      <c r="Z100" s="148"/>
      <c r="AA100" s="148"/>
      <c r="AB100" s="148"/>
      <c r="AC100" s="148"/>
      <c r="AD100" s="148"/>
      <c r="AE100" s="148"/>
      <c r="AF100" s="148"/>
      <c r="AG100" s="148"/>
      <c r="AH100" s="148"/>
      <c r="AI100" s="148"/>
      <c r="AJ100" s="9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ht="15" customHeight="1" outlineLevel="1">
      <c r="A101" s="147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148"/>
      <c r="U101" s="148"/>
      <c r="V101" s="148"/>
      <c r="W101" s="148"/>
      <c r="X101" s="148"/>
      <c r="Y101" s="148"/>
      <c r="Z101" s="148"/>
      <c r="AA101" s="148"/>
      <c r="AB101" s="148"/>
      <c r="AC101" s="148"/>
      <c r="AD101" s="148"/>
      <c r="AE101" s="148"/>
      <c r="AF101" s="148"/>
      <c r="AG101" s="148"/>
      <c r="AH101" s="148"/>
      <c r="AI101" s="148"/>
      <c r="AJ101" s="9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15"/>
      <c r="AZ101" s="15"/>
      <c r="BA101" s="15"/>
    </row>
    <row r="102" spans="1:53" ht="15" customHeight="1" outlineLevel="1">
      <c r="A102" s="147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148"/>
      <c r="U102" s="148"/>
      <c r="V102" s="148"/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9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15"/>
      <c r="AZ102" s="15"/>
      <c r="BA102" s="15"/>
    </row>
    <row r="103" spans="1:53" ht="15" customHeight="1" outlineLevel="1">
      <c r="A103" s="147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148"/>
      <c r="U103" s="148"/>
      <c r="V103" s="148"/>
      <c r="W103" s="148"/>
      <c r="X103" s="148"/>
      <c r="Y103" s="148"/>
      <c r="Z103" s="148"/>
      <c r="AA103" s="148"/>
      <c r="AB103" s="148"/>
      <c r="AC103" s="148"/>
      <c r="AD103" s="148"/>
      <c r="AE103" s="148"/>
      <c r="AF103" s="148"/>
      <c r="AG103" s="148"/>
      <c r="AH103" s="148"/>
      <c r="AI103" s="148"/>
      <c r="AJ103" s="9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15"/>
      <c r="AZ103" s="15"/>
      <c r="BA103" s="15"/>
    </row>
    <row r="104" spans="1:53" ht="15" customHeight="1" outlineLevel="1">
      <c r="A104" s="147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9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15"/>
      <c r="AZ104" s="15"/>
      <c r="BA104" s="15"/>
    </row>
    <row r="105" spans="1:53" ht="15" customHeight="1" outlineLevel="1">
      <c r="A105" s="147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148"/>
      <c r="U105" s="148"/>
      <c r="V105" s="148"/>
      <c r="W105" s="148"/>
      <c r="X105" s="148"/>
      <c r="Y105" s="148"/>
      <c r="Z105" s="148"/>
      <c r="AA105" s="148"/>
      <c r="AB105" s="148"/>
      <c r="AC105" s="148"/>
      <c r="AD105" s="148"/>
      <c r="AE105" s="148"/>
      <c r="AF105" s="148"/>
      <c r="AG105" s="148"/>
      <c r="AH105" s="148"/>
      <c r="AI105" s="148"/>
      <c r="AJ105" s="9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15"/>
      <c r="AZ105" s="15"/>
      <c r="BA105" s="15"/>
    </row>
    <row r="106" spans="1:53" ht="15" customHeight="1" outlineLevel="1">
      <c r="A106" s="147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148"/>
      <c r="U106" s="148"/>
      <c r="V106" s="148"/>
      <c r="W106" s="148"/>
      <c r="X106" s="148"/>
      <c r="Y106" s="148"/>
      <c r="Z106" s="148"/>
      <c r="AA106" s="148"/>
      <c r="AB106" s="148"/>
      <c r="AC106" s="148"/>
      <c r="AD106" s="148"/>
      <c r="AE106" s="148"/>
      <c r="AF106" s="148"/>
      <c r="AG106" s="148"/>
      <c r="AH106" s="148"/>
      <c r="AI106" s="148"/>
      <c r="AJ106" s="9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15"/>
      <c r="AZ106" s="15"/>
      <c r="BA106" s="15"/>
    </row>
    <row r="107" spans="1:53" ht="15" customHeight="1" outlineLevel="1">
      <c r="A107" s="147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148"/>
      <c r="U107" s="148"/>
      <c r="V107" s="148"/>
      <c r="W107" s="148"/>
      <c r="X107" s="148"/>
      <c r="Y107" s="148"/>
      <c r="Z107" s="148"/>
      <c r="AA107" s="148"/>
      <c r="AB107" s="148"/>
      <c r="AC107" s="148"/>
      <c r="AD107" s="148"/>
      <c r="AE107" s="148"/>
      <c r="AF107" s="148"/>
      <c r="AG107" s="148"/>
      <c r="AH107" s="148"/>
      <c r="AI107" s="148"/>
      <c r="AJ107" s="9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15"/>
      <c r="AZ107" s="15"/>
      <c r="BA107" s="15"/>
    </row>
    <row r="108" spans="1:53" ht="15" customHeight="1" outlineLevel="1">
      <c r="A108" s="147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148"/>
      <c r="U108" s="148"/>
      <c r="V108" s="148"/>
      <c r="W108" s="148"/>
      <c r="X108" s="148"/>
      <c r="Y108" s="148"/>
      <c r="Z108" s="148"/>
      <c r="AA108" s="148"/>
      <c r="AB108" s="148"/>
      <c r="AC108" s="148"/>
      <c r="AD108" s="148"/>
      <c r="AE108" s="148"/>
      <c r="AF108" s="148"/>
      <c r="AG108" s="148"/>
      <c r="AH108" s="148"/>
      <c r="AI108" s="148"/>
      <c r="AJ108" s="9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15"/>
      <c r="AZ108" s="15"/>
      <c r="BA108" s="15"/>
    </row>
    <row r="109" spans="1:53" ht="15" customHeight="1" outlineLevel="1">
      <c r="A109" s="147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148"/>
      <c r="U109" s="148"/>
      <c r="V109" s="148"/>
      <c r="W109" s="148"/>
      <c r="X109" s="148"/>
      <c r="Y109" s="148"/>
      <c r="Z109" s="148"/>
      <c r="AA109" s="148"/>
      <c r="AB109" s="148"/>
      <c r="AC109" s="148"/>
      <c r="AD109" s="148"/>
      <c r="AE109" s="148"/>
      <c r="AF109" s="148"/>
      <c r="AG109" s="148"/>
      <c r="AH109" s="148"/>
      <c r="AI109" s="148"/>
      <c r="AJ109" s="9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15"/>
      <c r="AZ109" s="15"/>
      <c r="BA109" s="15"/>
    </row>
    <row r="110" spans="1:53" ht="15" customHeight="1" outlineLevel="1">
      <c r="A110" s="147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148"/>
      <c r="U110" s="148"/>
      <c r="V110" s="148"/>
      <c r="W110" s="148"/>
      <c r="X110" s="148"/>
      <c r="Y110" s="148"/>
      <c r="Z110" s="148"/>
      <c r="AA110" s="148"/>
      <c r="AB110" s="148"/>
      <c r="AC110" s="148"/>
      <c r="AD110" s="148"/>
      <c r="AE110" s="148"/>
      <c r="AF110" s="148"/>
      <c r="AG110" s="148"/>
      <c r="AH110" s="148"/>
      <c r="AI110" s="148"/>
      <c r="AJ110" s="9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15"/>
      <c r="AZ110" s="15"/>
      <c r="BA110" s="15"/>
    </row>
    <row r="111" spans="1:53" ht="15" customHeight="1" outlineLevel="1">
      <c r="A111" s="147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148"/>
      <c r="U111" s="148"/>
      <c r="V111" s="148"/>
      <c r="W111" s="148"/>
      <c r="X111" s="148"/>
      <c r="Y111" s="148"/>
      <c r="Z111" s="148"/>
      <c r="AA111" s="148"/>
      <c r="AB111" s="148"/>
      <c r="AC111" s="148"/>
      <c r="AD111" s="148"/>
      <c r="AE111" s="148"/>
      <c r="AF111" s="148"/>
      <c r="AG111" s="148"/>
      <c r="AH111" s="148"/>
      <c r="AI111" s="148"/>
      <c r="AJ111" s="9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15"/>
      <c r="AZ111" s="15"/>
      <c r="BA111" s="15"/>
    </row>
    <row r="112" spans="1:53" ht="15" customHeight="1" outlineLevel="1">
      <c r="A112" s="147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148"/>
      <c r="U112" s="148"/>
      <c r="V112" s="148"/>
      <c r="W112" s="148"/>
      <c r="X112" s="148"/>
      <c r="Y112" s="148"/>
      <c r="Z112" s="148"/>
      <c r="AA112" s="148"/>
      <c r="AB112" s="148"/>
      <c r="AC112" s="148"/>
      <c r="AD112" s="148"/>
      <c r="AE112" s="148"/>
      <c r="AF112" s="148"/>
      <c r="AG112" s="148"/>
      <c r="AH112" s="148"/>
      <c r="AI112" s="148"/>
      <c r="AJ112" s="9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15"/>
      <c r="AZ112" s="15"/>
      <c r="BA112" s="15"/>
    </row>
    <row r="113" spans="1:53" ht="15" customHeight="1" outlineLevel="1">
      <c r="A113" s="147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148"/>
      <c r="U113" s="148"/>
      <c r="V113" s="148"/>
      <c r="W113" s="148"/>
      <c r="X113" s="148"/>
      <c r="Y113" s="148"/>
      <c r="Z113" s="148"/>
      <c r="AA113" s="148"/>
      <c r="AB113" s="148"/>
      <c r="AC113" s="148"/>
      <c r="AD113" s="148"/>
      <c r="AE113" s="148"/>
      <c r="AF113" s="148"/>
      <c r="AG113" s="148"/>
      <c r="AH113" s="148"/>
      <c r="AI113" s="148"/>
      <c r="AJ113" s="9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15"/>
      <c r="AZ113" s="15"/>
      <c r="BA113" s="15"/>
    </row>
    <row r="114" spans="1:53" ht="15" customHeight="1" outlineLevel="1">
      <c r="A114" s="147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148"/>
      <c r="U114" s="148"/>
      <c r="V114" s="148"/>
      <c r="W114" s="148"/>
      <c r="X114" s="148"/>
      <c r="Y114" s="148"/>
      <c r="Z114" s="148"/>
      <c r="AA114" s="148"/>
      <c r="AB114" s="148"/>
      <c r="AC114" s="148"/>
      <c r="AD114" s="148"/>
      <c r="AE114" s="148"/>
      <c r="AF114" s="148"/>
      <c r="AG114" s="148"/>
      <c r="AH114" s="148"/>
      <c r="AI114" s="148"/>
      <c r="AJ114" s="9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15"/>
      <c r="AZ114" s="15"/>
      <c r="BA114" s="15"/>
    </row>
    <row r="115" spans="1:53" ht="15" customHeight="1" outlineLevel="1">
      <c r="A115" s="147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148"/>
      <c r="U115" s="148"/>
      <c r="V115" s="148"/>
      <c r="W115" s="148"/>
      <c r="X115" s="148"/>
      <c r="Y115" s="148"/>
      <c r="Z115" s="148"/>
      <c r="AA115" s="148"/>
      <c r="AB115" s="148"/>
      <c r="AC115" s="148"/>
      <c r="AD115" s="148"/>
      <c r="AE115" s="148"/>
      <c r="AF115" s="148"/>
      <c r="AG115" s="148"/>
      <c r="AH115" s="148"/>
      <c r="AI115" s="148"/>
      <c r="AJ115" s="9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15"/>
      <c r="AZ115" s="15"/>
      <c r="BA115" s="15"/>
    </row>
    <row r="116" spans="1:53" ht="15" customHeight="1" outlineLevel="1">
      <c r="A116" s="147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9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15"/>
      <c r="AZ116" s="15"/>
      <c r="BA116" s="15"/>
    </row>
    <row r="117" spans="1:53" ht="15" customHeight="1" outlineLevel="1">
      <c r="A117" s="147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9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15"/>
      <c r="AZ117" s="15"/>
      <c r="BA117" s="15"/>
    </row>
    <row r="118" spans="1:53" ht="15" customHeight="1" outlineLevel="1">
      <c r="A118" s="147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148"/>
      <c r="U118" s="148"/>
      <c r="V118" s="148"/>
      <c r="W118" s="148"/>
      <c r="X118" s="148"/>
      <c r="Y118" s="148"/>
      <c r="Z118" s="148"/>
      <c r="AA118" s="148"/>
      <c r="AB118" s="148"/>
      <c r="AC118" s="148"/>
      <c r="AD118" s="148"/>
      <c r="AE118" s="148"/>
      <c r="AF118" s="148"/>
      <c r="AG118" s="148"/>
      <c r="AH118" s="148"/>
      <c r="AI118" s="148"/>
      <c r="AJ118" s="9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15"/>
      <c r="AZ118" s="15"/>
      <c r="BA118" s="15"/>
    </row>
    <row r="119" spans="1:53" ht="15" customHeight="1" outlineLevel="1">
      <c r="A119" s="147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148"/>
      <c r="U119" s="148"/>
      <c r="V119" s="148"/>
      <c r="W119" s="148"/>
      <c r="X119" s="148"/>
      <c r="Y119" s="148"/>
      <c r="Z119" s="148"/>
      <c r="AA119" s="148"/>
      <c r="AB119" s="148"/>
      <c r="AC119" s="148"/>
      <c r="AD119" s="148"/>
      <c r="AE119" s="148"/>
      <c r="AF119" s="148"/>
      <c r="AG119" s="148"/>
      <c r="AH119" s="148"/>
      <c r="AI119" s="148"/>
      <c r="AJ119" s="9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15"/>
      <c r="AZ119" s="15"/>
      <c r="BA119" s="15"/>
    </row>
    <row r="120" spans="1:53" ht="15" customHeight="1" outlineLevel="1">
      <c r="A120" s="147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148"/>
      <c r="U120" s="148"/>
      <c r="V120" s="148"/>
      <c r="W120" s="148"/>
      <c r="X120" s="148"/>
      <c r="Y120" s="148"/>
      <c r="Z120" s="148"/>
      <c r="AA120" s="148"/>
      <c r="AB120" s="148"/>
      <c r="AC120" s="148"/>
      <c r="AD120" s="148"/>
      <c r="AE120" s="148"/>
      <c r="AF120" s="148"/>
      <c r="AG120" s="148"/>
      <c r="AH120" s="148"/>
      <c r="AI120" s="148"/>
      <c r="AJ120" s="9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15"/>
      <c r="AZ120" s="15"/>
      <c r="BA120" s="15"/>
    </row>
    <row r="121" spans="1:53" ht="15" customHeight="1" outlineLevel="1">
      <c r="A121" s="147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148"/>
      <c r="U121" s="148"/>
      <c r="V121" s="148"/>
      <c r="W121" s="148"/>
      <c r="X121" s="148"/>
      <c r="Y121" s="148"/>
      <c r="Z121" s="148"/>
      <c r="AA121" s="148"/>
      <c r="AB121" s="148"/>
      <c r="AC121" s="148"/>
      <c r="AD121" s="148"/>
      <c r="AE121" s="148"/>
      <c r="AF121" s="148"/>
      <c r="AG121" s="148"/>
      <c r="AH121" s="148"/>
      <c r="AI121" s="148"/>
      <c r="AJ121" s="9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15"/>
      <c r="AZ121" s="15"/>
      <c r="BA121" s="15"/>
    </row>
    <row r="122" spans="1:53" ht="15" customHeight="1" outlineLevel="1">
      <c r="A122" s="147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148"/>
      <c r="U122" s="148"/>
      <c r="V122" s="148"/>
      <c r="W122" s="148"/>
      <c r="X122" s="148"/>
      <c r="Y122" s="148"/>
      <c r="Z122" s="148"/>
      <c r="AA122" s="148"/>
      <c r="AB122" s="148"/>
      <c r="AC122" s="148"/>
      <c r="AD122" s="148"/>
      <c r="AE122" s="148"/>
      <c r="AF122" s="148"/>
      <c r="AG122" s="148"/>
      <c r="AH122" s="148"/>
      <c r="AI122" s="148"/>
      <c r="AJ122" s="9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15"/>
      <c r="AZ122" s="15"/>
      <c r="BA122" s="15"/>
    </row>
    <row r="123" spans="1:53" ht="15" customHeight="1" outlineLevel="1">
      <c r="A123" s="147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148"/>
      <c r="U123" s="148"/>
      <c r="V123" s="148"/>
      <c r="W123" s="148"/>
      <c r="X123" s="148"/>
      <c r="Y123" s="148"/>
      <c r="Z123" s="148"/>
      <c r="AA123" s="148"/>
      <c r="AB123" s="148"/>
      <c r="AC123" s="148"/>
      <c r="AD123" s="148"/>
      <c r="AE123" s="148"/>
      <c r="AF123" s="148"/>
      <c r="AG123" s="148"/>
      <c r="AH123" s="148"/>
      <c r="AI123" s="148"/>
      <c r="AJ123" s="9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15"/>
      <c r="AZ123" s="15"/>
      <c r="BA123" s="15"/>
    </row>
    <row r="124" spans="1:53" ht="15" customHeight="1" outlineLevel="1">
      <c r="A124" s="147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148"/>
      <c r="U124" s="148"/>
      <c r="V124" s="148"/>
      <c r="W124" s="148"/>
      <c r="X124" s="148"/>
      <c r="Y124" s="148"/>
      <c r="Z124" s="148"/>
      <c r="AA124" s="148"/>
      <c r="AB124" s="148"/>
      <c r="AC124" s="148"/>
      <c r="AD124" s="148"/>
      <c r="AE124" s="148"/>
      <c r="AF124" s="148"/>
      <c r="AG124" s="148"/>
      <c r="AH124" s="148"/>
      <c r="AI124" s="148"/>
      <c r="AJ124" s="9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15"/>
      <c r="AZ124" s="15"/>
      <c r="BA124" s="15"/>
    </row>
    <row r="125" spans="1:53" ht="15" customHeight="1" outlineLevel="1">
      <c r="A125" s="147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148"/>
      <c r="U125" s="148"/>
      <c r="V125" s="148"/>
      <c r="W125" s="148"/>
      <c r="X125" s="148"/>
      <c r="Y125" s="148"/>
      <c r="Z125" s="148"/>
      <c r="AA125" s="148"/>
      <c r="AB125" s="148"/>
      <c r="AC125" s="148"/>
      <c r="AD125" s="148"/>
      <c r="AE125" s="148"/>
      <c r="AF125" s="148"/>
      <c r="AG125" s="148"/>
      <c r="AH125" s="148"/>
      <c r="AI125" s="148"/>
      <c r="AJ125" s="9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15"/>
      <c r="AZ125" s="15"/>
      <c r="BA125" s="15"/>
    </row>
    <row r="126" spans="1:53" ht="15" customHeight="1" outlineLevel="1">
      <c r="A126" s="147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148"/>
      <c r="U126" s="148"/>
      <c r="V126" s="148"/>
      <c r="W126" s="148"/>
      <c r="X126" s="148"/>
      <c r="Y126" s="148"/>
      <c r="Z126" s="148"/>
      <c r="AA126" s="148"/>
      <c r="AB126" s="148"/>
      <c r="AC126" s="148"/>
      <c r="AD126" s="148"/>
      <c r="AE126" s="148"/>
      <c r="AF126" s="148"/>
      <c r="AG126" s="148"/>
      <c r="AH126" s="148"/>
      <c r="AI126" s="148"/>
      <c r="AJ126" s="9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15"/>
      <c r="AZ126" s="15"/>
      <c r="BA126" s="15"/>
    </row>
    <row r="127" spans="1:53" ht="15" customHeight="1" outlineLevel="1">
      <c r="A127" s="147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148"/>
      <c r="U127" s="148"/>
      <c r="V127" s="148"/>
      <c r="W127" s="148"/>
      <c r="X127" s="148"/>
      <c r="Y127" s="148"/>
      <c r="Z127" s="148"/>
      <c r="AA127" s="148"/>
      <c r="AB127" s="148"/>
      <c r="AC127" s="148"/>
      <c r="AD127" s="148"/>
      <c r="AE127" s="148"/>
      <c r="AF127" s="148"/>
      <c r="AG127" s="148"/>
      <c r="AH127" s="148"/>
      <c r="AI127" s="148"/>
      <c r="AJ127" s="9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15"/>
      <c r="AZ127" s="15"/>
      <c r="BA127" s="15"/>
    </row>
    <row r="128" spans="1:53" ht="15" customHeight="1" outlineLevel="1">
      <c r="A128" s="147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148"/>
      <c r="U128" s="148"/>
      <c r="V128" s="148"/>
      <c r="W128" s="148"/>
      <c r="X128" s="148"/>
      <c r="Y128" s="148"/>
      <c r="Z128" s="148"/>
      <c r="AA128" s="148"/>
      <c r="AB128" s="148"/>
      <c r="AC128" s="148"/>
      <c r="AD128" s="148"/>
      <c r="AE128" s="148"/>
      <c r="AF128" s="148"/>
      <c r="AG128" s="148"/>
      <c r="AH128" s="148"/>
      <c r="AI128" s="148"/>
      <c r="AJ128" s="9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15"/>
      <c r="AZ128" s="15"/>
      <c r="BA128" s="15"/>
    </row>
    <row r="129" spans="1:53" ht="15" customHeight="1" outlineLevel="1">
      <c r="A129" s="147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148"/>
      <c r="U129" s="148"/>
      <c r="V129" s="148"/>
      <c r="W129" s="148"/>
      <c r="X129" s="148"/>
      <c r="Y129" s="148"/>
      <c r="Z129" s="148"/>
      <c r="AA129" s="148"/>
      <c r="AB129" s="148"/>
      <c r="AC129" s="148"/>
      <c r="AD129" s="148"/>
      <c r="AE129" s="148"/>
      <c r="AF129" s="148"/>
      <c r="AG129" s="148"/>
      <c r="AH129" s="148"/>
      <c r="AI129" s="148"/>
      <c r="AJ129" s="9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15"/>
      <c r="AZ129" s="15"/>
      <c r="BA129" s="15"/>
    </row>
    <row r="130" spans="1:53" ht="15" customHeight="1" outlineLevel="1">
      <c r="A130" s="147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9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15"/>
      <c r="AZ130" s="15"/>
      <c r="BA130" s="15"/>
    </row>
    <row r="131" spans="1:53" ht="15" customHeight="1" outlineLevel="1">
      <c r="A131" s="147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9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15"/>
      <c r="AZ131" s="15"/>
      <c r="BA131" s="15"/>
    </row>
    <row r="132" spans="1:53" ht="15" customHeight="1" outlineLevel="1">
      <c r="A132" s="147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9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15"/>
      <c r="AZ132" s="15"/>
      <c r="BA132" s="15"/>
    </row>
    <row r="133" spans="1:53" ht="15" customHeight="1" outlineLevel="1">
      <c r="A133" s="147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9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15"/>
      <c r="AZ133" s="15"/>
      <c r="BA133" s="15"/>
    </row>
    <row r="134" spans="1:53" ht="15" customHeight="1" outlineLevel="1">
      <c r="A134" s="147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9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15"/>
      <c r="AZ134" s="15"/>
      <c r="BA134" s="15"/>
    </row>
    <row r="135" spans="1:53" ht="15" customHeight="1" outlineLevel="1">
      <c r="A135" s="147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9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15"/>
      <c r="AZ135" s="15"/>
      <c r="BA135" s="15"/>
    </row>
    <row r="136" spans="1:53" ht="15" customHeight="1" outlineLevel="1">
      <c r="A136" s="147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9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15"/>
      <c r="AZ136" s="15"/>
      <c r="BA136" s="15"/>
    </row>
    <row r="137" spans="1:53" ht="15" customHeight="1" outlineLevel="1">
      <c r="A137" s="147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9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15"/>
      <c r="AZ137" s="15"/>
      <c r="BA137" s="15"/>
    </row>
    <row r="138" spans="1:53" ht="15" customHeight="1" outlineLevel="1">
      <c r="A138" s="147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9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15"/>
      <c r="AZ138" s="15"/>
      <c r="BA138" s="15"/>
    </row>
    <row r="139" spans="1:53" ht="15" customHeight="1" outlineLevel="1">
      <c r="A139" s="147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9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15"/>
      <c r="AZ139" s="15"/>
      <c r="BA139" s="15"/>
    </row>
    <row r="140" spans="1:53" ht="15" customHeight="1" outlineLevel="1">
      <c r="A140" s="147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9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15"/>
      <c r="AZ140" s="15"/>
      <c r="BA140" s="15"/>
    </row>
    <row r="141" spans="1:53" ht="15" customHeight="1" outlineLevel="1">
      <c r="A141" s="147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9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15"/>
      <c r="AZ141" s="15"/>
      <c r="BA141" s="15"/>
    </row>
    <row r="142" spans="1:53" ht="15" customHeight="1" outlineLevel="1">
      <c r="A142" s="147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9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15"/>
      <c r="AZ142" s="15"/>
      <c r="BA142" s="15"/>
    </row>
    <row r="143" spans="1:53" ht="15" customHeight="1" outlineLevel="1">
      <c r="A143" s="147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9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15"/>
      <c r="AZ143" s="15"/>
      <c r="BA143" s="15"/>
    </row>
    <row r="144" spans="1:53" ht="15" customHeight="1" outlineLevel="1">
      <c r="A144" s="147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9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15"/>
      <c r="AZ144" s="15"/>
      <c r="BA144" s="15"/>
    </row>
    <row r="145" spans="1:53" ht="15" customHeight="1" outlineLevel="1">
      <c r="A145" s="147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9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15"/>
      <c r="AZ145" s="15"/>
      <c r="BA145" s="15"/>
    </row>
    <row r="146" spans="1:53" ht="15" customHeight="1" outlineLevel="1">
      <c r="A146" s="147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9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15"/>
      <c r="AZ146" s="15"/>
      <c r="BA146" s="15"/>
    </row>
    <row r="147" spans="1:53" ht="15" customHeight="1" outlineLevel="1">
      <c r="A147" s="147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9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15"/>
      <c r="AZ147" s="15"/>
      <c r="BA147" s="15"/>
    </row>
    <row r="148" spans="1:53" ht="15" customHeight="1" outlineLevel="1">
      <c r="A148" s="147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9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15"/>
      <c r="AZ148" s="15"/>
      <c r="BA148" s="15"/>
    </row>
    <row r="149" spans="1:53" ht="15" customHeight="1" outlineLevel="1">
      <c r="A149" s="147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9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15"/>
      <c r="AZ149" s="15"/>
      <c r="BA149" s="15"/>
    </row>
    <row r="150" spans="1:53" ht="15" customHeight="1" outlineLevel="1">
      <c r="A150" s="147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9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15"/>
      <c r="AZ150" s="15"/>
      <c r="BA150" s="15"/>
    </row>
    <row r="151" spans="1:53" ht="15" customHeight="1" outlineLevel="1">
      <c r="A151" s="147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9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15"/>
      <c r="AZ151" s="15"/>
      <c r="BA151" s="15"/>
    </row>
    <row r="152" spans="1:53" ht="15" customHeight="1" outlineLevel="1">
      <c r="A152" s="147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9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15"/>
      <c r="AZ152" s="15"/>
      <c r="BA152" s="15"/>
    </row>
    <row r="153" spans="1:53" ht="15" customHeight="1" outlineLevel="1">
      <c r="A153" s="147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9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15"/>
      <c r="AZ153" s="15"/>
      <c r="BA153" s="15"/>
    </row>
    <row r="154" spans="1:53" ht="15" customHeight="1" outlineLevel="1">
      <c r="A154" s="147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9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15"/>
      <c r="AZ154" s="15"/>
      <c r="BA154" s="15"/>
    </row>
    <row r="155" spans="1:53" ht="15" customHeight="1" outlineLevel="1">
      <c r="A155" s="147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9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15"/>
      <c r="AZ155" s="15"/>
      <c r="BA155" s="15"/>
    </row>
    <row r="156" spans="1:53" ht="15" customHeight="1" outlineLevel="1">
      <c r="A156" s="147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9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15"/>
      <c r="AZ156" s="15"/>
      <c r="BA156" s="15"/>
    </row>
    <row r="157" spans="1:53" ht="15" customHeight="1" outlineLevel="1">
      <c r="A157" s="147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9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15"/>
      <c r="AZ157" s="15"/>
      <c r="BA157" s="15"/>
    </row>
    <row r="158" spans="1:53" ht="15" customHeight="1" outlineLevel="1">
      <c r="A158" s="147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9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15"/>
      <c r="AZ158" s="15"/>
      <c r="BA158" s="15"/>
    </row>
    <row r="159" spans="1:53" ht="15" customHeight="1" outlineLevel="1">
      <c r="A159" s="147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9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15"/>
      <c r="AZ159" s="15"/>
      <c r="BA159" s="15"/>
    </row>
    <row r="160" spans="1:53" ht="15" customHeight="1" outlineLevel="1">
      <c r="A160" s="147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9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15"/>
      <c r="AZ160" s="15"/>
      <c r="BA160" s="15"/>
    </row>
    <row r="161" spans="1:53" ht="15" customHeight="1" outlineLevel="1">
      <c r="A161" s="147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  <c r="AA161" s="148"/>
      <c r="AB161" s="148"/>
      <c r="AC161" s="148"/>
      <c r="AD161" s="148"/>
      <c r="AE161" s="148"/>
      <c r="AF161" s="148"/>
      <c r="AG161" s="148"/>
      <c r="AH161" s="148"/>
      <c r="AI161" s="14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15"/>
      <c r="AZ161" s="15"/>
      <c r="BA161" s="15"/>
    </row>
    <row r="162" spans="1:53" ht="15" customHeight="1" outlineLevel="1">
      <c r="A162" s="147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  <c r="AA162" s="148"/>
      <c r="AB162" s="148"/>
      <c r="AC162" s="148"/>
      <c r="AD162" s="148"/>
      <c r="AE162" s="148"/>
      <c r="AF162" s="148"/>
      <c r="AG162" s="148"/>
      <c r="AH162" s="148"/>
      <c r="AI162" s="14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15"/>
      <c r="AZ162" s="15"/>
      <c r="BA162" s="15"/>
    </row>
    <row r="163" spans="1:53" ht="15" customHeight="1" outlineLevel="1">
      <c r="A163" s="147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  <c r="AA163" s="148"/>
      <c r="AB163" s="148"/>
      <c r="AC163" s="148"/>
      <c r="AD163" s="148"/>
      <c r="AE163" s="148"/>
      <c r="AF163" s="148"/>
      <c r="AG163" s="148"/>
      <c r="AH163" s="148"/>
      <c r="AI163" s="14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15"/>
      <c r="AZ163" s="15"/>
      <c r="BA163" s="15"/>
    </row>
    <row r="164" spans="1:53" ht="15" customHeight="1" outlineLevel="1">
      <c r="A164" s="147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  <c r="AA164" s="148"/>
      <c r="AB164" s="148"/>
      <c r="AC164" s="148"/>
      <c r="AD164" s="148"/>
      <c r="AE164" s="148"/>
      <c r="AF164" s="148"/>
      <c r="AG164" s="148"/>
      <c r="AH164" s="148"/>
      <c r="AI164" s="14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15"/>
      <c r="AZ164" s="15"/>
      <c r="BA164" s="15"/>
    </row>
    <row r="165" spans="1:53" ht="15" customHeight="1" outlineLevel="1">
      <c r="A165" s="147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  <c r="AA165" s="148"/>
      <c r="AB165" s="148"/>
      <c r="AC165" s="148"/>
      <c r="AD165" s="148"/>
      <c r="AE165" s="148"/>
      <c r="AF165" s="148"/>
      <c r="AG165" s="148"/>
      <c r="AH165" s="148"/>
      <c r="AI165" s="14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15"/>
      <c r="AZ165" s="15"/>
      <c r="BA165" s="15"/>
    </row>
    <row r="166" spans="1:53" ht="15" customHeight="1" outlineLevel="1">
      <c r="A166" s="147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  <c r="AA166" s="148"/>
      <c r="AB166" s="148"/>
      <c r="AC166" s="148"/>
      <c r="AD166" s="148"/>
      <c r="AE166" s="148"/>
      <c r="AF166" s="148"/>
      <c r="AG166" s="148"/>
      <c r="AH166" s="148"/>
      <c r="AI166" s="14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15"/>
      <c r="AZ166" s="15"/>
      <c r="BA166" s="15"/>
    </row>
    <row r="167" spans="1:53" ht="15" customHeight="1" outlineLevel="1">
      <c r="A167" s="147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  <c r="AA167" s="148"/>
      <c r="AB167" s="148"/>
      <c r="AC167" s="148"/>
      <c r="AD167" s="148"/>
      <c r="AE167" s="148"/>
      <c r="AF167" s="148"/>
      <c r="AG167" s="148"/>
      <c r="AH167" s="148"/>
      <c r="AI167" s="14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15"/>
      <c r="AZ167" s="15"/>
      <c r="BA167" s="15"/>
    </row>
    <row r="168" spans="1:53" ht="15" customHeight="1" outlineLevel="1">
      <c r="A168" s="147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15"/>
      <c r="AZ168" s="15"/>
      <c r="BA168" s="15"/>
    </row>
    <row r="169" spans="1:53" ht="15" customHeight="1" outlineLevel="1">
      <c r="A169" s="147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  <c r="AA169" s="148"/>
      <c r="AB169" s="148"/>
      <c r="AC169" s="148"/>
      <c r="AD169" s="148"/>
      <c r="AE169" s="148"/>
      <c r="AF169" s="148"/>
      <c r="AG169" s="148"/>
      <c r="AH169" s="148"/>
      <c r="AI169" s="14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15"/>
      <c r="AZ169" s="15"/>
      <c r="BA169" s="15"/>
    </row>
    <row r="170" spans="1:53" ht="15" customHeight="1" outlineLevel="1">
      <c r="A170" s="147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  <c r="AA170" s="148"/>
      <c r="AB170" s="148"/>
      <c r="AC170" s="148"/>
      <c r="AD170" s="148"/>
      <c r="AE170" s="148"/>
      <c r="AF170" s="148"/>
      <c r="AG170" s="148"/>
      <c r="AH170" s="148"/>
      <c r="AI170" s="14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15"/>
      <c r="AZ170" s="15"/>
      <c r="BA170" s="15"/>
    </row>
    <row r="171" spans="1:53" ht="15" customHeight="1" outlineLevel="1">
      <c r="A171" s="147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48"/>
      <c r="AH171" s="148"/>
      <c r="AI171" s="14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15"/>
      <c r="AZ171" s="15"/>
      <c r="BA171" s="15"/>
    </row>
    <row r="172" spans="1:53" ht="15" customHeight="1" outlineLevel="1">
      <c r="A172" s="147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  <c r="AA172" s="148"/>
      <c r="AB172" s="148"/>
      <c r="AC172" s="148"/>
      <c r="AD172" s="148"/>
      <c r="AE172" s="148"/>
      <c r="AF172" s="148"/>
      <c r="AG172" s="148"/>
      <c r="AH172" s="148"/>
      <c r="AI172" s="14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15"/>
      <c r="AZ172" s="15"/>
      <c r="BA172" s="15"/>
    </row>
    <row r="173" spans="1:53" ht="15" customHeight="1" outlineLevel="1">
      <c r="A173" s="147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  <c r="AA173" s="148"/>
      <c r="AB173" s="148"/>
      <c r="AC173" s="148"/>
      <c r="AD173" s="148"/>
      <c r="AE173" s="148"/>
      <c r="AF173" s="148"/>
      <c r="AG173" s="148"/>
      <c r="AH173" s="148"/>
      <c r="AI173" s="14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15"/>
      <c r="AZ173" s="15"/>
      <c r="BA173" s="15"/>
    </row>
    <row r="174" spans="1:53" ht="15" customHeight="1" outlineLevel="1">
      <c r="A174" s="147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  <c r="AA174" s="148"/>
      <c r="AB174" s="148"/>
      <c r="AC174" s="148"/>
      <c r="AD174" s="148"/>
      <c r="AE174" s="148"/>
      <c r="AF174" s="148"/>
      <c r="AG174" s="148"/>
      <c r="AH174" s="148"/>
      <c r="AI174" s="14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15"/>
      <c r="AZ174" s="15"/>
      <c r="BA174" s="15"/>
    </row>
    <row r="175" spans="1:53" ht="15" customHeight="1" outlineLevel="1">
      <c r="A175" s="147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  <c r="AA175" s="148"/>
      <c r="AB175" s="148"/>
      <c r="AC175" s="148"/>
      <c r="AD175" s="148"/>
      <c r="AE175" s="148"/>
      <c r="AF175" s="148"/>
      <c r="AG175" s="148"/>
      <c r="AH175" s="148"/>
      <c r="AI175" s="14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15"/>
      <c r="AZ175" s="15"/>
      <c r="BA175" s="15"/>
    </row>
    <row r="176" spans="1:53" ht="15" customHeight="1" outlineLevel="1">
      <c r="A176" s="147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  <c r="AA176" s="148"/>
      <c r="AB176" s="148"/>
      <c r="AC176" s="148"/>
      <c r="AD176" s="148"/>
      <c r="AE176" s="148"/>
      <c r="AF176" s="148"/>
      <c r="AG176" s="148"/>
      <c r="AH176" s="148"/>
      <c r="AI176" s="14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15"/>
      <c r="AZ176" s="15"/>
      <c r="BA176" s="15"/>
    </row>
    <row r="177" spans="1:53" ht="15" customHeight="1" outlineLevel="1">
      <c r="A177" s="147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  <c r="AA177" s="148"/>
      <c r="AB177" s="148"/>
      <c r="AC177" s="148"/>
      <c r="AD177" s="148"/>
      <c r="AE177" s="148"/>
      <c r="AF177" s="148"/>
      <c r="AG177" s="148"/>
      <c r="AH177" s="148"/>
      <c r="AI177" s="14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15"/>
      <c r="AZ177" s="15"/>
      <c r="BA177" s="15"/>
    </row>
    <row r="178" spans="1:53" ht="15" customHeight="1" outlineLevel="1">
      <c r="A178" s="147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  <c r="AA178" s="148"/>
      <c r="AB178" s="148"/>
      <c r="AC178" s="148"/>
      <c r="AD178" s="148"/>
      <c r="AE178" s="148"/>
      <c r="AF178" s="148"/>
      <c r="AG178" s="148"/>
      <c r="AH178" s="148"/>
      <c r="AI178" s="14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15"/>
      <c r="AZ178" s="15"/>
      <c r="BA178" s="15"/>
    </row>
    <row r="179" spans="1:53" ht="15" customHeight="1" outlineLevel="1">
      <c r="A179" s="147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  <c r="AA179" s="148"/>
      <c r="AB179" s="148"/>
      <c r="AC179" s="148"/>
      <c r="AD179" s="148"/>
      <c r="AE179" s="148"/>
      <c r="AF179" s="148"/>
      <c r="AG179" s="148"/>
      <c r="AH179" s="148"/>
      <c r="AI179" s="14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15"/>
      <c r="AZ179" s="15"/>
      <c r="BA179" s="15"/>
    </row>
    <row r="180" spans="1:53" ht="15" customHeight="1" outlineLevel="1">
      <c r="A180" s="147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  <c r="AA180" s="148"/>
      <c r="AB180" s="148"/>
      <c r="AC180" s="148"/>
      <c r="AD180" s="148"/>
      <c r="AE180" s="148"/>
      <c r="AF180" s="148"/>
      <c r="AG180" s="148"/>
      <c r="AH180" s="148"/>
      <c r="AI180" s="14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15"/>
      <c r="AZ180" s="15"/>
      <c r="BA180" s="15"/>
    </row>
    <row r="181" spans="1:53" ht="15" customHeight="1" outlineLevel="1">
      <c r="A181" s="147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  <c r="AA181" s="148"/>
      <c r="AB181" s="148"/>
      <c r="AC181" s="148"/>
      <c r="AD181" s="148"/>
      <c r="AE181" s="148"/>
      <c r="AF181" s="148"/>
      <c r="AG181" s="148"/>
      <c r="AH181" s="148"/>
      <c r="AI181" s="14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15"/>
      <c r="AZ181" s="15"/>
      <c r="BA181" s="15"/>
    </row>
    <row r="182" spans="1:53" ht="15" customHeight="1" outlineLevel="1">
      <c r="A182" s="147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  <c r="AA182" s="148"/>
      <c r="AB182" s="148"/>
      <c r="AC182" s="148"/>
      <c r="AD182" s="148"/>
      <c r="AE182" s="148"/>
      <c r="AF182" s="148"/>
      <c r="AG182" s="148"/>
      <c r="AH182" s="148"/>
      <c r="AI182" s="14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15"/>
      <c r="AZ182" s="15"/>
      <c r="BA182" s="15"/>
    </row>
    <row r="183" spans="1:53" ht="15" customHeight="1" outlineLevel="1">
      <c r="A183" s="147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148"/>
      <c r="AE183" s="148"/>
      <c r="AF183" s="148"/>
      <c r="AG183" s="148"/>
      <c r="AH183" s="148"/>
      <c r="AI183" s="14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15"/>
      <c r="AZ183" s="15"/>
      <c r="BA183" s="15"/>
    </row>
    <row r="184" spans="1:53" ht="15" customHeight="1" outlineLevel="1">
      <c r="A184" s="147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  <c r="AA184" s="148"/>
      <c r="AB184" s="148"/>
      <c r="AC184" s="148"/>
      <c r="AD184" s="148"/>
      <c r="AE184" s="148"/>
      <c r="AF184" s="148"/>
      <c r="AG184" s="148"/>
      <c r="AH184" s="148"/>
      <c r="AI184" s="14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15"/>
      <c r="AZ184" s="15"/>
      <c r="BA184" s="15"/>
    </row>
    <row r="185" spans="1:53" ht="15" customHeight="1" outlineLevel="1">
      <c r="A185" s="147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  <c r="AA185" s="148"/>
      <c r="AB185" s="148"/>
      <c r="AC185" s="148"/>
      <c r="AD185" s="148"/>
      <c r="AE185" s="148"/>
      <c r="AF185" s="148"/>
      <c r="AG185" s="148"/>
      <c r="AH185" s="148"/>
      <c r="AI185" s="14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15"/>
      <c r="AZ185" s="15"/>
      <c r="BA185" s="15"/>
    </row>
    <row r="186" spans="1:53" ht="15" customHeight="1" outlineLevel="1">
      <c r="A186" s="147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  <c r="AA186" s="148"/>
      <c r="AB186" s="148"/>
      <c r="AC186" s="148"/>
      <c r="AD186" s="148"/>
      <c r="AE186" s="148"/>
      <c r="AF186" s="148"/>
      <c r="AG186" s="148"/>
      <c r="AH186" s="148"/>
      <c r="AI186" s="14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15"/>
      <c r="AZ186" s="15"/>
      <c r="BA186" s="15"/>
    </row>
    <row r="187" spans="1:53" ht="15" customHeight="1" outlineLevel="1">
      <c r="A187" s="147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  <c r="AA187" s="148"/>
      <c r="AB187" s="148"/>
      <c r="AC187" s="148"/>
      <c r="AD187" s="148"/>
      <c r="AE187" s="148"/>
      <c r="AF187" s="148"/>
      <c r="AG187" s="148"/>
      <c r="AH187" s="148"/>
      <c r="AI187" s="14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15"/>
      <c r="AZ187" s="15"/>
      <c r="BA187" s="15"/>
    </row>
    <row r="188" spans="1:53" ht="15" customHeight="1" outlineLevel="1">
      <c r="A188" s="147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  <c r="AA188" s="148"/>
      <c r="AB188" s="148"/>
      <c r="AC188" s="148"/>
      <c r="AD188" s="148"/>
      <c r="AE188" s="148"/>
      <c r="AF188" s="148"/>
      <c r="AG188" s="148"/>
      <c r="AH188" s="148"/>
      <c r="AI188" s="14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15"/>
      <c r="AZ188" s="15"/>
      <c r="BA188" s="15"/>
    </row>
    <row r="189" spans="1:53" ht="15" customHeight="1" outlineLevel="1">
      <c r="A189" s="147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  <c r="AA189" s="148"/>
      <c r="AB189" s="148"/>
      <c r="AC189" s="148"/>
      <c r="AD189" s="148"/>
      <c r="AE189" s="148"/>
      <c r="AF189" s="148"/>
      <c r="AG189" s="148"/>
      <c r="AH189" s="148"/>
      <c r="AI189" s="14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15"/>
      <c r="AZ189" s="15"/>
      <c r="BA189" s="15"/>
    </row>
    <row r="190" spans="1:53" ht="15" customHeight="1" outlineLevel="1">
      <c r="A190" s="147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8"/>
      <c r="AC190" s="148"/>
      <c r="AD190" s="148"/>
      <c r="AE190" s="148"/>
      <c r="AF190" s="148"/>
      <c r="AG190" s="148"/>
      <c r="AH190" s="148"/>
      <c r="AI190" s="14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15"/>
      <c r="AZ190" s="15"/>
      <c r="BA190" s="15"/>
    </row>
    <row r="191" spans="1:53" ht="15" customHeight="1" outlineLevel="1">
      <c r="A191" s="147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  <c r="AA191" s="148"/>
      <c r="AB191" s="148"/>
      <c r="AC191" s="148"/>
      <c r="AD191" s="148"/>
      <c r="AE191" s="148"/>
      <c r="AF191" s="148"/>
      <c r="AG191" s="148"/>
      <c r="AH191" s="148"/>
      <c r="AI191" s="14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15"/>
      <c r="AZ191" s="15"/>
      <c r="BA191" s="15"/>
    </row>
    <row r="192" spans="1:53" ht="15" customHeight="1" outlineLevel="1">
      <c r="A192" s="147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  <c r="AA192" s="148"/>
      <c r="AB192" s="148"/>
      <c r="AC192" s="148"/>
      <c r="AD192" s="148"/>
      <c r="AE192" s="148"/>
      <c r="AF192" s="148"/>
      <c r="AG192" s="148"/>
      <c r="AH192" s="148"/>
      <c r="AI192" s="14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15"/>
      <c r="AZ192" s="15"/>
      <c r="BA192" s="15"/>
    </row>
    <row r="193" spans="1:53" ht="15" customHeight="1" outlineLevel="1">
      <c r="A193" s="147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  <c r="AA193" s="148"/>
      <c r="AB193" s="148"/>
      <c r="AC193" s="148"/>
      <c r="AD193" s="148"/>
      <c r="AE193" s="148"/>
      <c r="AF193" s="148"/>
      <c r="AG193" s="148"/>
      <c r="AH193" s="148"/>
      <c r="AI193" s="14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15"/>
      <c r="AZ193" s="15"/>
      <c r="BA193" s="15"/>
    </row>
    <row r="194" spans="1:53" ht="15" customHeight="1" outlineLevel="1">
      <c r="A194" s="147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  <c r="AA194" s="148"/>
      <c r="AB194" s="148"/>
      <c r="AC194" s="148"/>
      <c r="AD194" s="148"/>
      <c r="AE194" s="148"/>
      <c r="AF194" s="148"/>
      <c r="AG194" s="148"/>
      <c r="AH194" s="148"/>
      <c r="AI194" s="14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15"/>
      <c r="AZ194" s="15"/>
      <c r="BA194" s="15"/>
    </row>
    <row r="195" spans="1:53" ht="15" customHeight="1" outlineLevel="1">
      <c r="A195" s="147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  <c r="AA195" s="148"/>
      <c r="AB195" s="148"/>
      <c r="AC195" s="148"/>
      <c r="AD195" s="148"/>
      <c r="AE195" s="148"/>
      <c r="AF195" s="148"/>
      <c r="AG195" s="148"/>
      <c r="AH195" s="148"/>
      <c r="AI195" s="14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15"/>
      <c r="AZ195" s="15"/>
      <c r="BA195" s="15"/>
    </row>
    <row r="196" spans="1:53" ht="15" customHeight="1" outlineLevel="1">
      <c r="A196" s="147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  <c r="AA196" s="148"/>
      <c r="AB196" s="148"/>
      <c r="AC196" s="148"/>
      <c r="AD196" s="148"/>
      <c r="AE196" s="148"/>
      <c r="AF196" s="148"/>
      <c r="AG196" s="148"/>
      <c r="AH196" s="148"/>
      <c r="AI196" s="14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15"/>
      <c r="AZ196" s="15"/>
      <c r="BA196" s="15"/>
    </row>
    <row r="197" spans="1:53" ht="15" customHeight="1" outlineLevel="1">
      <c r="A197" s="147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  <c r="AA197" s="148"/>
      <c r="AB197" s="148"/>
      <c r="AC197" s="148"/>
      <c r="AD197" s="148"/>
      <c r="AE197" s="148"/>
      <c r="AF197" s="148"/>
      <c r="AG197" s="148"/>
      <c r="AH197" s="148"/>
      <c r="AI197" s="14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15"/>
      <c r="AZ197" s="15"/>
      <c r="BA197" s="15"/>
    </row>
    <row r="198" spans="1:53" ht="15" customHeight="1" outlineLevel="1">
      <c r="A198" s="147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  <c r="AA198" s="148"/>
      <c r="AB198" s="148"/>
      <c r="AC198" s="148"/>
      <c r="AD198" s="148"/>
      <c r="AE198" s="148"/>
      <c r="AF198" s="148"/>
      <c r="AG198" s="148"/>
      <c r="AH198" s="148"/>
      <c r="AI198" s="14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15"/>
      <c r="AZ198" s="15"/>
      <c r="BA198" s="15"/>
    </row>
    <row r="199" spans="1:53" ht="15" customHeight="1" outlineLevel="1">
      <c r="A199" s="147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  <c r="AA199" s="148"/>
      <c r="AB199" s="148"/>
      <c r="AC199" s="148"/>
      <c r="AD199" s="148"/>
      <c r="AE199" s="148"/>
      <c r="AF199" s="148"/>
      <c r="AG199" s="148"/>
      <c r="AH199" s="148"/>
      <c r="AI199" s="14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15"/>
      <c r="AZ199" s="15"/>
      <c r="BA199" s="15"/>
    </row>
    <row r="200" spans="1:53" ht="15" customHeight="1" outlineLevel="1">
      <c r="A200" s="147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  <c r="AA200" s="148"/>
      <c r="AB200" s="148"/>
      <c r="AC200" s="148"/>
      <c r="AD200" s="148"/>
      <c r="AE200" s="148"/>
      <c r="AF200" s="148"/>
      <c r="AG200" s="148"/>
      <c r="AH200" s="148"/>
      <c r="AI200" s="14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15"/>
      <c r="AZ200" s="15"/>
      <c r="BA200" s="15"/>
    </row>
    <row r="201" spans="1:53" ht="15" customHeight="1" outlineLevel="1">
      <c r="A201" s="147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  <c r="AA201" s="148"/>
      <c r="AB201" s="148"/>
      <c r="AC201" s="148"/>
      <c r="AD201" s="148"/>
      <c r="AE201" s="148"/>
      <c r="AF201" s="148"/>
      <c r="AG201" s="148"/>
      <c r="AH201" s="148"/>
      <c r="AI201" s="14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15"/>
      <c r="AZ201" s="15"/>
      <c r="BA201" s="15"/>
    </row>
    <row r="202" spans="1:53" ht="15" customHeight="1" outlineLevel="1">
      <c r="A202" s="147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  <c r="AA202" s="148"/>
      <c r="AB202" s="148"/>
      <c r="AC202" s="148"/>
      <c r="AD202" s="148"/>
      <c r="AE202" s="148"/>
      <c r="AF202" s="148"/>
      <c r="AG202" s="148"/>
      <c r="AH202" s="148"/>
      <c r="AI202" s="14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15"/>
      <c r="AZ202" s="15"/>
      <c r="BA202" s="15"/>
    </row>
    <row r="203" spans="1:53" ht="15" customHeight="1" outlineLevel="1">
      <c r="A203" s="147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  <c r="AA203" s="148"/>
      <c r="AB203" s="148"/>
      <c r="AC203" s="148"/>
      <c r="AD203" s="148"/>
      <c r="AE203" s="148"/>
      <c r="AF203" s="148"/>
      <c r="AG203" s="148"/>
      <c r="AH203" s="148"/>
      <c r="AI203" s="14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15"/>
      <c r="AZ203" s="15"/>
      <c r="BA203" s="15"/>
    </row>
    <row r="204" spans="1:53" ht="15" customHeight="1" outlineLevel="1">
      <c r="A204" s="147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  <c r="AA204" s="148"/>
      <c r="AB204" s="148"/>
      <c r="AC204" s="148"/>
      <c r="AD204" s="148"/>
      <c r="AE204" s="148"/>
      <c r="AF204" s="148"/>
      <c r="AG204" s="148"/>
      <c r="AH204" s="148"/>
      <c r="AI204" s="14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15"/>
      <c r="AZ204" s="15"/>
      <c r="BA204" s="15"/>
    </row>
    <row r="205" spans="1:53" ht="15" customHeight="1" outlineLevel="1">
      <c r="A205" s="147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  <c r="AA205" s="148"/>
      <c r="AB205" s="148"/>
      <c r="AC205" s="148"/>
      <c r="AD205" s="148"/>
      <c r="AE205" s="148"/>
      <c r="AF205" s="148"/>
      <c r="AG205" s="148"/>
      <c r="AH205" s="148"/>
      <c r="AI205" s="14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15"/>
      <c r="AZ205" s="15"/>
      <c r="BA205" s="15"/>
    </row>
    <row r="206" spans="1:53" ht="15" customHeight="1" outlineLevel="1">
      <c r="A206" s="147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8"/>
      <c r="AG206" s="148"/>
      <c r="AH206" s="148"/>
      <c r="AI206" s="14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15"/>
      <c r="AZ206" s="15"/>
      <c r="BA206" s="15"/>
    </row>
    <row r="207" spans="1:53" ht="15" customHeight="1" outlineLevel="1">
      <c r="A207" s="147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  <c r="AA207" s="148"/>
      <c r="AB207" s="148"/>
      <c r="AC207" s="148"/>
      <c r="AD207" s="148"/>
      <c r="AE207" s="148"/>
      <c r="AF207" s="148"/>
      <c r="AG207" s="148"/>
      <c r="AH207" s="148"/>
      <c r="AI207" s="14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15"/>
      <c r="AZ207" s="15"/>
      <c r="BA207" s="15"/>
    </row>
    <row r="208" spans="1:53" ht="15" customHeight="1" outlineLevel="1">
      <c r="A208" s="147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  <c r="AA208" s="148"/>
      <c r="AB208" s="148"/>
      <c r="AC208" s="148"/>
      <c r="AD208" s="148"/>
      <c r="AE208" s="148"/>
      <c r="AF208" s="148"/>
      <c r="AG208" s="148"/>
      <c r="AH208" s="148"/>
      <c r="AI208" s="14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15"/>
      <c r="AZ208" s="15"/>
      <c r="BA208" s="15"/>
    </row>
    <row r="209" spans="1:53" ht="15" customHeight="1" outlineLevel="1">
      <c r="A209" s="147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  <c r="AA209" s="148"/>
      <c r="AB209" s="148"/>
      <c r="AC209" s="148"/>
      <c r="AD209" s="148"/>
      <c r="AE209" s="148"/>
      <c r="AF209" s="148"/>
      <c r="AG209" s="148"/>
      <c r="AH209" s="148"/>
      <c r="AI209" s="14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15"/>
      <c r="AZ209" s="15"/>
      <c r="BA209" s="15"/>
    </row>
    <row r="210" spans="1:53" ht="15" customHeight="1" outlineLevel="1">
      <c r="A210" s="147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  <c r="AA210" s="148"/>
      <c r="AB210" s="148"/>
      <c r="AC210" s="148"/>
      <c r="AD210" s="148"/>
      <c r="AE210" s="148"/>
      <c r="AF210" s="148"/>
      <c r="AG210" s="148"/>
      <c r="AH210" s="148"/>
      <c r="AI210" s="14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15"/>
      <c r="AZ210" s="15"/>
      <c r="BA210" s="15"/>
    </row>
    <row r="211" spans="1:53" ht="15" customHeight="1" outlineLevel="1">
      <c r="A211" s="147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  <c r="AA211" s="148"/>
      <c r="AB211" s="148"/>
      <c r="AC211" s="148"/>
      <c r="AD211" s="148"/>
      <c r="AE211" s="148"/>
      <c r="AF211" s="148"/>
      <c r="AG211" s="148"/>
      <c r="AH211" s="148"/>
      <c r="AI211" s="14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15"/>
      <c r="AZ211" s="15"/>
      <c r="BA211" s="15"/>
    </row>
    <row r="212" spans="1:53" ht="15" customHeight="1" outlineLevel="1">
      <c r="A212" s="147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  <c r="AA212" s="148"/>
      <c r="AB212" s="148"/>
      <c r="AC212" s="148"/>
      <c r="AD212" s="148"/>
      <c r="AE212" s="148"/>
      <c r="AF212" s="148"/>
      <c r="AG212" s="148"/>
      <c r="AH212" s="148"/>
      <c r="AI212" s="14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15"/>
      <c r="AZ212" s="15"/>
      <c r="BA212" s="15"/>
    </row>
    <row r="213" spans="1:53" ht="15" customHeight="1" outlineLevel="1">
      <c r="A213" s="147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  <c r="AA213" s="148"/>
      <c r="AB213" s="148"/>
      <c r="AC213" s="148"/>
      <c r="AD213" s="148"/>
      <c r="AE213" s="148"/>
      <c r="AF213" s="148"/>
      <c r="AG213" s="148"/>
      <c r="AH213" s="148"/>
      <c r="AI213" s="14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15"/>
      <c r="AZ213" s="15"/>
      <c r="BA213" s="15"/>
    </row>
    <row r="214" spans="1:53" ht="15" customHeight="1" outlineLevel="1">
      <c r="A214" s="147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  <c r="AA214" s="148"/>
      <c r="AB214" s="148"/>
      <c r="AC214" s="148"/>
      <c r="AD214" s="148"/>
      <c r="AE214" s="148"/>
      <c r="AF214" s="148"/>
      <c r="AG214" s="148"/>
      <c r="AH214" s="148"/>
      <c r="AI214" s="14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15"/>
      <c r="AZ214" s="15"/>
      <c r="BA214" s="15"/>
    </row>
    <row r="215" spans="1:53" ht="15" customHeight="1" outlineLevel="1">
      <c r="A215" s="147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  <c r="AA215" s="148"/>
      <c r="AB215" s="148"/>
      <c r="AC215" s="148"/>
      <c r="AD215" s="148"/>
      <c r="AE215" s="148"/>
      <c r="AF215" s="148"/>
      <c r="AG215" s="148"/>
      <c r="AH215" s="148"/>
      <c r="AI215" s="14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15"/>
      <c r="AZ215" s="15"/>
      <c r="BA215" s="15"/>
    </row>
    <row r="216" spans="1:53" ht="15" customHeight="1" outlineLevel="1">
      <c r="A216" s="147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  <c r="AA216" s="148"/>
      <c r="AB216" s="148"/>
      <c r="AC216" s="148"/>
      <c r="AD216" s="148"/>
      <c r="AE216" s="148"/>
      <c r="AF216" s="148"/>
      <c r="AG216" s="148"/>
      <c r="AH216" s="148"/>
      <c r="AI216" s="14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15"/>
      <c r="AZ216" s="15"/>
      <c r="BA216" s="15"/>
    </row>
    <row r="217" spans="1:53" ht="15" customHeight="1" outlineLevel="1">
      <c r="A217" s="147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  <c r="AA217" s="148"/>
      <c r="AB217" s="148"/>
      <c r="AC217" s="148"/>
      <c r="AD217" s="148"/>
      <c r="AE217" s="148"/>
      <c r="AF217" s="148"/>
      <c r="AG217" s="148"/>
      <c r="AH217" s="148"/>
      <c r="AI217" s="14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15"/>
      <c r="AZ217" s="15"/>
      <c r="BA217" s="15"/>
    </row>
    <row r="218" spans="1:53" ht="15" customHeight="1" outlineLevel="1">
      <c r="A218" s="147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  <c r="AA218" s="148"/>
      <c r="AB218" s="148"/>
      <c r="AC218" s="148"/>
      <c r="AD218" s="148"/>
      <c r="AE218" s="148"/>
      <c r="AF218" s="148"/>
      <c r="AG218" s="148"/>
      <c r="AH218" s="148"/>
      <c r="AI218" s="14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15"/>
      <c r="AZ218" s="15"/>
      <c r="BA218" s="15"/>
    </row>
    <row r="219" spans="1:53" ht="15" customHeight="1" outlineLevel="1">
      <c r="A219" s="147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  <c r="AA219" s="148"/>
      <c r="AB219" s="148"/>
      <c r="AC219" s="148"/>
      <c r="AD219" s="148"/>
      <c r="AE219" s="148"/>
      <c r="AF219" s="148"/>
      <c r="AG219" s="148"/>
      <c r="AH219" s="148"/>
      <c r="AI219" s="14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15"/>
      <c r="AZ219" s="15"/>
      <c r="BA219" s="15"/>
    </row>
    <row r="220" spans="1:53" ht="15" customHeight="1" outlineLevel="1">
      <c r="A220" s="147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  <c r="AA220" s="148"/>
      <c r="AB220" s="148"/>
      <c r="AC220" s="148"/>
      <c r="AD220" s="148"/>
      <c r="AE220" s="148"/>
      <c r="AF220" s="148"/>
      <c r="AG220" s="148"/>
      <c r="AH220" s="148"/>
      <c r="AI220" s="14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15"/>
      <c r="AZ220" s="15"/>
      <c r="BA220" s="15"/>
    </row>
    <row r="221" spans="1:53" ht="15" customHeight="1" outlineLevel="1">
      <c r="A221" s="147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  <c r="AA221" s="148"/>
      <c r="AB221" s="148"/>
      <c r="AC221" s="148"/>
      <c r="AD221" s="148"/>
      <c r="AE221" s="148"/>
      <c r="AF221" s="148"/>
      <c r="AG221" s="148"/>
      <c r="AH221" s="148"/>
      <c r="AI221" s="14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15"/>
      <c r="AZ221" s="15"/>
      <c r="BA221" s="15"/>
    </row>
    <row r="222" spans="1:53" ht="15" customHeight="1" outlineLevel="1">
      <c r="A222" s="147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  <c r="AA222" s="148"/>
      <c r="AB222" s="148"/>
      <c r="AC222" s="148"/>
      <c r="AD222" s="148"/>
      <c r="AE222" s="148"/>
      <c r="AF222" s="148"/>
      <c r="AG222" s="148"/>
      <c r="AH222" s="148"/>
      <c r="AI222" s="14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15"/>
      <c r="AZ222" s="15"/>
      <c r="BA222" s="15"/>
    </row>
    <row r="223" spans="1:53" ht="15" customHeight="1" outlineLevel="1">
      <c r="A223" s="147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  <c r="AA223" s="148"/>
      <c r="AB223" s="148"/>
      <c r="AC223" s="148"/>
      <c r="AD223" s="148"/>
      <c r="AE223" s="148"/>
      <c r="AF223" s="148"/>
      <c r="AG223" s="148"/>
      <c r="AH223" s="148"/>
      <c r="AI223" s="14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15"/>
      <c r="AZ223" s="15"/>
      <c r="BA223" s="15"/>
    </row>
    <row r="224" spans="1:53" ht="15" customHeight="1" outlineLevel="1">
      <c r="A224" s="147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  <c r="AA224" s="148"/>
      <c r="AB224" s="148"/>
      <c r="AC224" s="148"/>
      <c r="AD224" s="148"/>
      <c r="AE224" s="148"/>
      <c r="AF224" s="148"/>
      <c r="AG224" s="148"/>
      <c r="AH224" s="148"/>
      <c r="AI224" s="14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15"/>
      <c r="AZ224" s="15"/>
      <c r="BA224" s="15"/>
    </row>
    <row r="225" spans="1:53" ht="15" customHeight="1" outlineLevel="1">
      <c r="A225" s="147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  <c r="AA225" s="148"/>
      <c r="AB225" s="148"/>
      <c r="AC225" s="148"/>
      <c r="AD225" s="148"/>
      <c r="AE225" s="148"/>
      <c r="AF225" s="148"/>
      <c r="AG225" s="148"/>
      <c r="AH225" s="148"/>
      <c r="AI225" s="14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15"/>
      <c r="AZ225" s="15"/>
      <c r="BA225" s="15"/>
    </row>
    <row r="226" spans="1:53" ht="15" customHeight="1" outlineLevel="1">
      <c r="A226" s="147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  <c r="AA226" s="148"/>
      <c r="AB226" s="148"/>
      <c r="AC226" s="148"/>
      <c r="AD226" s="148"/>
      <c r="AE226" s="148"/>
      <c r="AF226" s="148"/>
      <c r="AG226" s="148"/>
      <c r="AH226" s="148"/>
      <c r="AI226" s="14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15"/>
      <c r="AZ226" s="15"/>
      <c r="BA226" s="15"/>
    </row>
    <row r="227" spans="1:53" ht="15" customHeight="1" outlineLevel="1">
      <c r="A227" s="147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  <c r="AA227" s="148"/>
      <c r="AB227" s="148"/>
      <c r="AC227" s="148"/>
      <c r="AD227" s="148"/>
      <c r="AE227" s="148"/>
      <c r="AF227" s="148"/>
      <c r="AG227" s="148"/>
      <c r="AH227" s="148"/>
      <c r="AI227" s="14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15"/>
      <c r="AZ227" s="15"/>
      <c r="BA227" s="15"/>
    </row>
    <row r="228" spans="1:53" ht="15" customHeight="1" outlineLevel="1">
      <c r="A228" s="147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  <c r="AA228" s="148"/>
      <c r="AB228" s="148"/>
      <c r="AC228" s="148"/>
      <c r="AD228" s="148"/>
      <c r="AE228" s="148"/>
      <c r="AF228" s="148"/>
      <c r="AG228" s="148"/>
      <c r="AH228" s="148"/>
      <c r="AI228" s="14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15"/>
      <c r="AZ228" s="15"/>
      <c r="BA228" s="15"/>
    </row>
    <row r="229" spans="1:53" ht="15" customHeight="1" outlineLevel="1">
      <c r="A229" s="147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  <c r="AA229" s="148"/>
      <c r="AB229" s="148"/>
      <c r="AC229" s="148"/>
      <c r="AD229" s="148"/>
      <c r="AE229" s="148"/>
      <c r="AF229" s="148"/>
      <c r="AG229" s="148"/>
      <c r="AH229" s="148"/>
      <c r="AI229" s="14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15"/>
      <c r="AZ229" s="15"/>
      <c r="BA229" s="15"/>
    </row>
    <row r="230" spans="1:53" ht="15" customHeight="1" outlineLevel="1">
      <c r="A230" s="147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  <c r="AA230" s="148"/>
      <c r="AB230" s="148"/>
      <c r="AC230" s="148"/>
      <c r="AD230" s="148"/>
      <c r="AE230" s="148"/>
      <c r="AF230" s="148"/>
      <c r="AG230" s="148"/>
      <c r="AH230" s="148"/>
      <c r="AI230" s="14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15"/>
      <c r="AZ230" s="15"/>
      <c r="BA230" s="15"/>
    </row>
    <row r="231" spans="1:53" ht="15" customHeight="1" outlineLevel="1">
      <c r="A231" s="147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  <c r="AA231" s="148"/>
      <c r="AB231" s="148"/>
      <c r="AC231" s="148"/>
      <c r="AD231" s="148"/>
      <c r="AE231" s="148"/>
      <c r="AF231" s="148"/>
      <c r="AG231" s="148"/>
      <c r="AH231" s="148"/>
      <c r="AI231" s="14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15"/>
      <c r="AZ231" s="15"/>
      <c r="BA231" s="15"/>
    </row>
    <row r="232" spans="1:53" ht="15" customHeight="1" outlineLevel="1">
      <c r="A232" s="147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  <c r="AA232" s="148"/>
      <c r="AB232" s="148"/>
      <c r="AC232" s="148"/>
      <c r="AD232" s="148"/>
      <c r="AE232" s="148"/>
      <c r="AF232" s="148"/>
      <c r="AG232" s="148"/>
      <c r="AH232" s="148"/>
      <c r="AI232" s="14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15"/>
      <c r="AZ232" s="15"/>
      <c r="BA232" s="15"/>
    </row>
    <row r="233" spans="1:53" ht="15" customHeight="1" outlineLevel="1">
      <c r="A233" s="147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  <c r="AA233" s="148"/>
      <c r="AB233" s="148"/>
      <c r="AC233" s="148"/>
      <c r="AD233" s="148"/>
      <c r="AE233" s="148"/>
      <c r="AF233" s="148"/>
      <c r="AG233" s="148"/>
      <c r="AH233" s="148"/>
      <c r="AI233" s="14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15"/>
      <c r="AZ233" s="15"/>
      <c r="BA233" s="15"/>
    </row>
    <row r="234" spans="1:53" ht="15" customHeight="1" outlineLevel="1">
      <c r="A234" s="147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  <c r="AA234" s="148"/>
      <c r="AB234" s="148"/>
      <c r="AC234" s="148"/>
      <c r="AD234" s="148"/>
      <c r="AE234" s="148"/>
      <c r="AF234" s="148"/>
      <c r="AG234" s="148"/>
      <c r="AH234" s="148"/>
      <c r="AI234" s="14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15"/>
      <c r="AZ234" s="15"/>
      <c r="BA234" s="15"/>
    </row>
    <row r="235" spans="1:53" ht="15" customHeight="1" outlineLevel="1">
      <c r="A235" s="147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  <c r="AA235" s="148"/>
      <c r="AB235" s="148"/>
      <c r="AC235" s="148"/>
      <c r="AD235" s="148"/>
      <c r="AE235" s="148"/>
      <c r="AF235" s="148"/>
      <c r="AG235" s="148"/>
      <c r="AH235" s="148"/>
      <c r="AI235" s="14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15"/>
      <c r="AZ235" s="15"/>
      <c r="BA235" s="15"/>
    </row>
    <row r="236" spans="1:53" ht="15" customHeight="1" outlineLevel="1">
      <c r="A236" s="147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  <c r="AA236" s="148"/>
      <c r="AB236" s="148"/>
      <c r="AC236" s="148"/>
      <c r="AD236" s="148"/>
      <c r="AE236" s="148"/>
      <c r="AF236" s="148"/>
      <c r="AG236" s="148"/>
      <c r="AH236" s="148"/>
      <c r="AI236" s="14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15"/>
      <c r="AZ236" s="15"/>
      <c r="BA236" s="15"/>
    </row>
    <row r="237" spans="1:53" ht="15" customHeight="1" outlineLevel="1">
      <c r="A237" s="147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  <c r="AA237" s="148"/>
      <c r="AB237" s="148"/>
      <c r="AC237" s="148"/>
      <c r="AD237" s="148"/>
      <c r="AE237" s="148"/>
      <c r="AF237" s="148"/>
      <c r="AG237" s="148"/>
      <c r="AH237" s="148"/>
      <c r="AI237" s="14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15"/>
      <c r="AZ237" s="15"/>
      <c r="BA237" s="15"/>
    </row>
    <row r="238" spans="1:53" ht="15" customHeight="1" outlineLevel="1">
      <c r="A238" s="147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  <c r="AA238" s="148"/>
      <c r="AB238" s="148"/>
      <c r="AC238" s="148"/>
      <c r="AD238" s="148"/>
      <c r="AE238" s="148"/>
      <c r="AF238" s="148"/>
      <c r="AG238" s="148"/>
      <c r="AH238" s="148"/>
      <c r="AI238" s="14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15"/>
      <c r="AZ238" s="15"/>
      <c r="BA238" s="15"/>
    </row>
    <row r="239" spans="1:53" ht="15" customHeight="1" outlineLevel="1">
      <c r="A239" s="147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  <c r="AA239" s="148"/>
      <c r="AB239" s="148"/>
      <c r="AC239" s="148"/>
      <c r="AD239" s="148"/>
      <c r="AE239" s="148"/>
      <c r="AF239" s="148"/>
      <c r="AG239" s="148"/>
      <c r="AH239" s="148"/>
      <c r="AI239" s="14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15"/>
      <c r="AZ239" s="15"/>
      <c r="BA239" s="15"/>
    </row>
    <row r="240" spans="1:53" ht="15" customHeight="1" outlineLevel="1">
      <c r="A240" s="147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  <c r="AA240" s="148"/>
      <c r="AB240" s="148"/>
      <c r="AC240" s="148"/>
      <c r="AD240" s="148"/>
      <c r="AE240" s="148"/>
      <c r="AF240" s="148"/>
      <c r="AG240" s="148"/>
      <c r="AH240" s="148"/>
      <c r="AI240" s="14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15"/>
      <c r="AZ240" s="15"/>
      <c r="BA240" s="15"/>
    </row>
    <row r="241" spans="1:53" ht="15" customHeight="1" outlineLevel="1">
      <c r="A241" s="147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  <c r="AA241" s="148"/>
      <c r="AB241" s="148"/>
      <c r="AC241" s="148"/>
      <c r="AD241" s="148"/>
      <c r="AE241" s="148"/>
      <c r="AF241" s="148"/>
      <c r="AG241" s="148"/>
      <c r="AH241" s="148"/>
      <c r="AI241" s="14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15"/>
      <c r="AZ241" s="15"/>
      <c r="BA241" s="15"/>
    </row>
    <row r="242" spans="1:53" ht="15" customHeight="1" outlineLevel="1">
      <c r="A242" s="147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48"/>
      <c r="AH242" s="148"/>
      <c r="AI242" s="14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15"/>
      <c r="AZ242" s="15"/>
      <c r="BA242" s="15"/>
    </row>
    <row r="243" spans="1:53" ht="15" customHeight="1" outlineLevel="1">
      <c r="A243" s="147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  <c r="AA243" s="148"/>
      <c r="AB243" s="148"/>
      <c r="AC243" s="148"/>
      <c r="AD243" s="148"/>
      <c r="AE243" s="148"/>
      <c r="AF243" s="148"/>
      <c r="AG243" s="148"/>
      <c r="AH243" s="148"/>
      <c r="AI243" s="14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15"/>
      <c r="AZ243" s="15"/>
      <c r="BA243" s="15"/>
    </row>
    <row r="244" spans="1:53" ht="15" customHeight="1" outlineLevel="1">
      <c r="A244" s="147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  <c r="AA244" s="148"/>
      <c r="AB244" s="148"/>
      <c r="AC244" s="148"/>
      <c r="AD244" s="148"/>
      <c r="AE244" s="148"/>
      <c r="AF244" s="148"/>
      <c r="AG244" s="148"/>
      <c r="AH244" s="148"/>
      <c r="AI244" s="14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15"/>
      <c r="AZ244" s="15"/>
      <c r="BA244" s="15"/>
    </row>
    <row r="245" spans="1:53" ht="15" customHeight="1" outlineLevel="1">
      <c r="A245" s="147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  <c r="AA245" s="148"/>
      <c r="AB245" s="148"/>
      <c r="AC245" s="148"/>
      <c r="AD245" s="148"/>
      <c r="AE245" s="148"/>
      <c r="AF245" s="148"/>
      <c r="AG245" s="148"/>
      <c r="AH245" s="148"/>
      <c r="AI245" s="14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15"/>
      <c r="AZ245" s="15"/>
      <c r="BA245" s="15"/>
    </row>
    <row r="246" spans="1:53" ht="15" customHeight="1" outlineLevel="1">
      <c r="A246" s="147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  <c r="AA246" s="148"/>
      <c r="AB246" s="148"/>
      <c r="AC246" s="148"/>
      <c r="AD246" s="148"/>
      <c r="AE246" s="148"/>
      <c r="AF246" s="148"/>
      <c r="AG246" s="148"/>
      <c r="AH246" s="148"/>
      <c r="AI246" s="14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15"/>
      <c r="AZ246" s="15"/>
      <c r="BA246" s="15"/>
    </row>
    <row r="247" spans="1:53" ht="15" customHeight="1" outlineLevel="1">
      <c r="A247" s="147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  <c r="AA247" s="148"/>
      <c r="AB247" s="148"/>
      <c r="AC247" s="148"/>
      <c r="AD247" s="148"/>
      <c r="AE247" s="148"/>
      <c r="AF247" s="148"/>
      <c r="AG247" s="148"/>
      <c r="AH247" s="148"/>
      <c r="AI247" s="14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15"/>
      <c r="AZ247" s="15"/>
      <c r="BA247" s="15"/>
    </row>
    <row r="248" spans="1:53" ht="15" customHeight="1" outlineLevel="1">
      <c r="A248" s="147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  <c r="AA248" s="148"/>
      <c r="AB248" s="148"/>
      <c r="AC248" s="148"/>
      <c r="AD248" s="148"/>
      <c r="AE248" s="148"/>
      <c r="AF248" s="148"/>
      <c r="AG248" s="148"/>
      <c r="AH248" s="148"/>
      <c r="AI248" s="14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15"/>
      <c r="AZ248" s="15"/>
      <c r="BA248" s="15"/>
    </row>
    <row r="249" spans="1:53" ht="15" customHeight="1" outlineLevel="1">
      <c r="A249" s="147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  <c r="AA249" s="148"/>
      <c r="AB249" s="148"/>
      <c r="AC249" s="148"/>
      <c r="AD249" s="148"/>
      <c r="AE249" s="148"/>
      <c r="AF249" s="148"/>
      <c r="AG249" s="148"/>
      <c r="AH249" s="148"/>
      <c r="AI249" s="14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15"/>
      <c r="AZ249" s="15"/>
      <c r="BA249" s="15"/>
    </row>
    <row r="250" spans="1:53" ht="15" customHeight="1" outlineLevel="1">
      <c r="A250" s="147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  <c r="AA250" s="148"/>
      <c r="AB250" s="148"/>
      <c r="AC250" s="148"/>
      <c r="AD250" s="148"/>
      <c r="AE250" s="148"/>
      <c r="AF250" s="148"/>
      <c r="AG250" s="148"/>
      <c r="AH250" s="148"/>
      <c r="AI250" s="14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15"/>
      <c r="AZ250" s="15"/>
      <c r="BA250" s="15"/>
    </row>
    <row r="251" spans="1:53" ht="15" customHeight="1" outlineLevel="1">
      <c r="A251" s="147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8"/>
      <c r="AE251" s="148"/>
      <c r="AF251" s="148"/>
      <c r="AG251" s="148"/>
      <c r="AH251" s="148"/>
      <c r="AI251" s="14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15"/>
      <c r="AZ251" s="15"/>
      <c r="BA251" s="15"/>
    </row>
    <row r="252" spans="1:53" ht="15" customHeight="1" outlineLevel="1">
      <c r="A252" s="147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  <c r="AF252" s="148"/>
      <c r="AG252" s="148"/>
      <c r="AH252" s="148"/>
      <c r="AI252" s="14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15"/>
      <c r="AZ252" s="15"/>
      <c r="BA252" s="15"/>
    </row>
    <row r="253" spans="1:53" ht="15" customHeight="1" outlineLevel="1">
      <c r="A253" s="147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  <c r="AA253" s="148"/>
      <c r="AB253" s="148"/>
      <c r="AC253" s="148"/>
      <c r="AD253" s="148"/>
      <c r="AE253" s="148"/>
      <c r="AF253" s="148"/>
      <c r="AG253" s="148"/>
      <c r="AH253" s="148"/>
      <c r="AI253" s="14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15"/>
      <c r="AZ253" s="15"/>
      <c r="BA253" s="15"/>
    </row>
    <row r="254" spans="1:53" ht="15" customHeight="1" outlineLevel="1">
      <c r="A254" s="147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  <c r="AA254" s="148"/>
      <c r="AB254" s="148"/>
      <c r="AC254" s="148"/>
      <c r="AD254" s="148"/>
      <c r="AE254" s="148"/>
      <c r="AF254" s="148"/>
      <c r="AG254" s="148"/>
      <c r="AH254" s="148"/>
      <c r="AI254" s="14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15"/>
      <c r="AZ254" s="15"/>
      <c r="BA254" s="15"/>
    </row>
    <row r="255" spans="1:53" ht="15" customHeight="1" outlineLevel="1">
      <c r="A255" s="147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  <c r="AA255" s="148"/>
      <c r="AB255" s="148"/>
      <c r="AC255" s="148"/>
      <c r="AD255" s="148"/>
      <c r="AE255" s="148"/>
      <c r="AF255" s="148"/>
      <c r="AG255" s="148"/>
      <c r="AH255" s="148"/>
      <c r="AI255" s="14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15"/>
      <c r="AZ255" s="15"/>
      <c r="BA255" s="15"/>
    </row>
    <row r="256" spans="1:53" ht="15" customHeight="1" outlineLevel="1">
      <c r="A256" s="147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  <c r="AA256" s="148"/>
      <c r="AB256" s="148"/>
      <c r="AC256" s="148"/>
      <c r="AD256" s="148"/>
      <c r="AE256" s="148"/>
      <c r="AF256" s="148"/>
      <c r="AG256" s="148"/>
      <c r="AH256" s="148"/>
      <c r="AI256" s="14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15"/>
      <c r="AZ256" s="15"/>
      <c r="BA256" s="15"/>
    </row>
    <row r="257" spans="1:53" ht="15" customHeight="1" outlineLevel="1">
      <c r="A257" s="147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  <c r="AA257" s="148"/>
      <c r="AB257" s="148"/>
      <c r="AC257" s="148"/>
      <c r="AD257" s="148"/>
      <c r="AE257" s="148"/>
      <c r="AF257" s="148"/>
      <c r="AG257" s="148"/>
      <c r="AH257" s="148"/>
      <c r="AI257" s="14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15"/>
      <c r="AZ257" s="15"/>
      <c r="BA257" s="15"/>
    </row>
    <row r="258" spans="1:53" ht="15" customHeight="1" outlineLevel="1">
      <c r="A258" s="147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  <c r="AA258" s="148"/>
      <c r="AB258" s="148"/>
      <c r="AC258" s="148"/>
      <c r="AD258" s="148"/>
      <c r="AE258" s="148"/>
      <c r="AF258" s="148"/>
      <c r="AG258" s="148"/>
      <c r="AH258" s="148"/>
      <c r="AI258" s="14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15"/>
      <c r="AZ258" s="15"/>
      <c r="BA258" s="15"/>
    </row>
    <row r="259" spans="1:53" ht="15" customHeight="1" outlineLevel="1">
      <c r="A259" s="147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  <c r="AA259" s="148"/>
      <c r="AB259" s="148"/>
      <c r="AC259" s="148"/>
      <c r="AD259" s="148"/>
      <c r="AE259" s="148"/>
      <c r="AF259" s="148"/>
      <c r="AG259" s="148"/>
      <c r="AH259" s="148"/>
      <c r="AI259" s="14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15"/>
      <c r="AZ259" s="15"/>
      <c r="BA259" s="15"/>
    </row>
    <row r="260" spans="1:53" ht="15" customHeight="1" outlineLevel="1">
      <c r="A260" s="147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  <c r="AA260" s="148"/>
      <c r="AB260" s="148"/>
      <c r="AC260" s="148"/>
      <c r="AD260" s="148"/>
      <c r="AE260" s="148"/>
      <c r="AF260" s="148"/>
      <c r="AG260" s="148"/>
      <c r="AH260" s="148"/>
      <c r="AI260" s="14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15"/>
      <c r="AZ260" s="15"/>
      <c r="BA260" s="15"/>
    </row>
    <row r="261" spans="1:53" ht="15" customHeight="1" outlineLevel="1">
      <c r="A261" s="147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  <c r="AA261" s="148"/>
      <c r="AB261" s="148"/>
      <c r="AC261" s="148"/>
      <c r="AD261" s="148"/>
      <c r="AE261" s="148"/>
      <c r="AF261" s="148"/>
      <c r="AG261" s="148"/>
      <c r="AH261" s="148"/>
      <c r="AI261" s="14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15"/>
      <c r="AZ261" s="15"/>
      <c r="BA261" s="15"/>
    </row>
    <row r="262" spans="1:53" ht="15" customHeight="1" outlineLevel="1">
      <c r="A262" s="147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  <c r="AA262" s="148"/>
      <c r="AB262" s="148"/>
      <c r="AC262" s="148"/>
      <c r="AD262" s="148"/>
      <c r="AE262" s="148"/>
      <c r="AF262" s="148"/>
      <c r="AG262" s="148"/>
      <c r="AH262" s="148"/>
      <c r="AI262" s="14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15"/>
      <c r="AZ262" s="15"/>
      <c r="BA262" s="15"/>
    </row>
    <row r="263" spans="1:53" ht="15" customHeight="1" outlineLevel="1">
      <c r="A263" s="147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  <c r="AA263" s="148"/>
      <c r="AB263" s="148"/>
      <c r="AC263" s="148"/>
      <c r="AD263" s="148"/>
      <c r="AE263" s="148"/>
      <c r="AF263" s="148"/>
      <c r="AG263" s="148"/>
      <c r="AH263" s="148"/>
      <c r="AI263" s="14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15"/>
      <c r="AZ263" s="15"/>
      <c r="BA263" s="15"/>
    </row>
    <row r="264" spans="1:53" ht="15" customHeight="1" outlineLevel="1">
      <c r="A264" s="147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  <c r="AA264" s="148"/>
      <c r="AB264" s="148"/>
      <c r="AC264" s="148"/>
      <c r="AD264" s="148"/>
      <c r="AE264" s="148"/>
      <c r="AF264" s="148"/>
      <c r="AG264" s="148"/>
      <c r="AH264" s="148"/>
      <c r="AI264" s="14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15"/>
      <c r="AZ264" s="15"/>
      <c r="BA264" s="15"/>
    </row>
    <row r="265" spans="1:53" ht="15" customHeight="1" outlineLevel="1">
      <c r="A265" s="147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  <c r="AA265" s="148"/>
      <c r="AB265" s="148"/>
      <c r="AC265" s="148"/>
      <c r="AD265" s="148"/>
      <c r="AE265" s="148"/>
      <c r="AF265" s="148"/>
      <c r="AG265" s="148"/>
      <c r="AH265" s="148"/>
      <c r="AI265" s="14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15"/>
      <c r="AZ265" s="15"/>
      <c r="BA265" s="15"/>
    </row>
    <row r="266" spans="1:53" ht="15" customHeight="1" outlineLevel="1">
      <c r="A266" s="147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  <c r="AA266" s="148"/>
      <c r="AB266" s="148"/>
      <c r="AC266" s="148"/>
      <c r="AD266" s="148"/>
      <c r="AE266" s="148"/>
      <c r="AF266" s="148"/>
      <c r="AG266" s="148"/>
      <c r="AH266" s="148"/>
      <c r="AI266" s="14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15"/>
      <c r="AZ266" s="15"/>
      <c r="BA266" s="15"/>
    </row>
    <row r="267" spans="1:53" ht="15" customHeight="1" outlineLevel="1">
      <c r="A267" s="147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  <c r="AA267" s="148"/>
      <c r="AB267" s="148"/>
      <c r="AC267" s="148"/>
      <c r="AD267" s="148"/>
      <c r="AE267" s="148"/>
      <c r="AF267" s="148"/>
      <c r="AG267" s="148"/>
      <c r="AH267" s="148"/>
      <c r="AI267" s="14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15"/>
      <c r="AZ267" s="15"/>
      <c r="BA267" s="15"/>
    </row>
    <row r="268" spans="1:53" ht="15" customHeight="1" outlineLevel="1">
      <c r="A268" s="147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  <c r="AA268" s="148"/>
      <c r="AB268" s="148"/>
      <c r="AC268" s="148"/>
      <c r="AD268" s="148"/>
      <c r="AE268" s="148"/>
      <c r="AF268" s="148"/>
      <c r="AG268" s="148"/>
      <c r="AH268" s="148"/>
      <c r="AI268" s="14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15"/>
      <c r="AZ268" s="15"/>
      <c r="BA268" s="15"/>
    </row>
    <row r="269" spans="1:53" ht="15" customHeight="1" outlineLevel="1">
      <c r="A269" s="147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  <c r="AB269" s="148"/>
      <c r="AC269" s="148"/>
      <c r="AD269" s="148"/>
      <c r="AE269" s="148"/>
      <c r="AF269" s="148"/>
      <c r="AG269" s="148"/>
      <c r="AH269" s="148"/>
      <c r="AI269" s="14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15"/>
      <c r="AZ269" s="15"/>
      <c r="BA269" s="15"/>
    </row>
    <row r="270" spans="1:53" ht="15" customHeight="1" outlineLevel="1">
      <c r="A270" s="147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  <c r="AB270" s="148"/>
      <c r="AC270" s="148"/>
      <c r="AD270" s="148"/>
      <c r="AE270" s="148"/>
      <c r="AF270" s="148"/>
      <c r="AG270" s="148"/>
      <c r="AH270" s="148"/>
      <c r="AI270" s="14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15"/>
      <c r="AZ270" s="15"/>
      <c r="BA270" s="15"/>
    </row>
    <row r="271" spans="1:53" ht="15" customHeight="1" outlineLevel="1">
      <c r="A271" s="147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  <c r="AB271" s="148"/>
      <c r="AC271" s="148"/>
      <c r="AD271" s="148"/>
      <c r="AE271" s="148"/>
      <c r="AF271" s="148"/>
      <c r="AG271" s="148"/>
      <c r="AH271" s="148"/>
      <c r="AI271" s="14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15"/>
      <c r="AZ271" s="15"/>
      <c r="BA271" s="15"/>
    </row>
    <row r="272" spans="1:53" ht="15" customHeight="1" outlineLevel="1">
      <c r="A272" s="147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  <c r="AB272" s="148"/>
      <c r="AC272" s="148"/>
      <c r="AD272" s="148"/>
      <c r="AE272" s="148"/>
      <c r="AF272" s="148"/>
      <c r="AG272" s="148"/>
      <c r="AH272" s="148"/>
      <c r="AI272" s="14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15"/>
      <c r="AZ272" s="15"/>
      <c r="BA272" s="15"/>
    </row>
    <row r="273" spans="1:53" ht="15" customHeight="1" outlineLevel="1">
      <c r="A273" s="147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  <c r="AB273" s="148"/>
      <c r="AC273" s="148"/>
      <c r="AD273" s="148"/>
      <c r="AE273" s="148"/>
      <c r="AF273" s="148"/>
      <c r="AG273" s="148"/>
      <c r="AH273" s="148"/>
      <c r="AI273" s="14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15"/>
      <c r="AZ273" s="15"/>
      <c r="BA273" s="15"/>
    </row>
    <row r="274" spans="1:53" ht="15" customHeight="1" outlineLevel="1">
      <c r="A274" s="147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  <c r="AB274" s="148"/>
      <c r="AC274" s="148"/>
      <c r="AD274" s="148"/>
      <c r="AE274" s="148"/>
      <c r="AF274" s="148"/>
      <c r="AG274" s="148"/>
      <c r="AH274" s="148"/>
      <c r="AI274" s="14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15"/>
      <c r="AZ274" s="15"/>
      <c r="BA274" s="15"/>
    </row>
    <row r="275" spans="1:53" ht="15" customHeight="1" outlineLevel="1">
      <c r="A275" s="147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  <c r="AB275" s="148"/>
      <c r="AC275" s="148"/>
      <c r="AD275" s="148"/>
      <c r="AE275" s="148"/>
      <c r="AF275" s="148"/>
      <c r="AG275" s="148"/>
      <c r="AH275" s="148"/>
      <c r="AI275" s="14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15"/>
      <c r="AZ275" s="15"/>
      <c r="BA275" s="15"/>
    </row>
    <row r="276" spans="1:53" ht="15" customHeight="1" outlineLevel="1">
      <c r="A276" s="147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  <c r="AB276" s="148"/>
      <c r="AC276" s="148"/>
      <c r="AD276" s="148"/>
      <c r="AE276" s="148"/>
      <c r="AF276" s="148"/>
      <c r="AG276" s="148"/>
      <c r="AH276" s="148"/>
      <c r="AI276" s="14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15"/>
      <c r="AZ276" s="15"/>
      <c r="BA276" s="15"/>
    </row>
    <row r="277" spans="1:53" ht="15" customHeight="1" outlineLevel="1">
      <c r="A277" s="147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  <c r="AB277" s="148"/>
      <c r="AC277" s="148"/>
      <c r="AD277" s="148"/>
      <c r="AE277" s="148"/>
      <c r="AF277" s="148"/>
      <c r="AG277" s="148"/>
      <c r="AH277" s="148"/>
      <c r="AI277" s="14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15"/>
      <c r="AZ277" s="15"/>
      <c r="BA277" s="15"/>
    </row>
    <row r="278" spans="1:53" ht="15" customHeight="1" outlineLevel="1">
      <c r="A278" s="147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  <c r="AB278" s="148"/>
      <c r="AC278" s="148"/>
      <c r="AD278" s="148"/>
      <c r="AE278" s="148"/>
      <c r="AF278" s="148"/>
      <c r="AG278" s="148"/>
      <c r="AH278" s="148"/>
      <c r="AI278" s="14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15"/>
      <c r="AZ278" s="15"/>
      <c r="BA278" s="15"/>
    </row>
    <row r="279" spans="1:53" ht="15" customHeight="1" outlineLevel="1">
      <c r="A279" s="147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15"/>
      <c r="AZ279" s="15"/>
      <c r="BA279" s="15"/>
    </row>
    <row r="280" spans="1:53" ht="15" customHeight="1" outlineLevel="1">
      <c r="A280" s="147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  <c r="AB280" s="148"/>
      <c r="AC280" s="148"/>
      <c r="AD280" s="148"/>
      <c r="AE280" s="148"/>
      <c r="AF280" s="148"/>
      <c r="AG280" s="148"/>
      <c r="AH280" s="148"/>
      <c r="AI280" s="14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</row>
    <row r="281" spans="1:53" ht="15" customHeight="1" outlineLevel="1">
      <c r="A281" s="147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</row>
    <row r="282" spans="1:53" ht="15" customHeight="1" outlineLevel="1">
      <c r="A282" s="147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  <c r="AB282" s="148"/>
      <c r="AC282" s="148"/>
      <c r="AD282" s="148"/>
      <c r="AE282" s="148"/>
      <c r="AF282" s="148"/>
      <c r="AG282" s="148"/>
      <c r="AH282" s="148"/>
      <c r="AI282" s="14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</row>
    <row r="283" spans="1:53" ht="15" customHeight="1" outlineLevel="1">
      <c r="A283" s="147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  <c r="AB283" s="148"/>
      <c r="AC283" s="148"/>
      <c r="AD283" s="148"/>
      <c r="AE283" s="148"/>
      <c r="AF283" s="148"/>
      <c r="AG283" s="148"/>
      <c r="AH283" s="148"/>
      <c r="AI283" s="14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</row>
    <row r="284" spans="1:53" ht="15" customHeight="1">
      <c r="A284" s="147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  <c r="AB284" s="148"/>
      <c r="AC284" s="148"/>
      <c r="AD284" s="148"/>
      <c r="AE284" s="148"/>
      <c r="AF284" s="148"/>
      <c r="AG284" s="148"/>
      <c r="AH284" s="148"/>
      <c r="AI284" s="14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</row>
    <row r="285" spans="1:53" ht="15" customHeight="1">
      <c r="A285" s="147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  <c r="AB285" s="148"/>
      <c r="AC285" s="148"/>
      <c r="AD285" s="148"/>
      <c r="AE285" s="148"/>
      <c r="AF285" s="148"/>
      <c r="AG285" s="148"/>
      <c r="AH285" s="148"/>
      <c r="AI285" s="14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</row>
    <row r="286" spans="1:53" ht="15" customHeight="1">
      <c r="A286" s="147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  <c r="AB286" s="148"/>
      <c r="AC286" s="148"/>
      <c r="AD286" s="148"/>
      <c r="AE286" s="148"/>
      <c r="AF286" s="148"/>
      <c r="AG286" s="148"/>
      <c r="AH286" s="148"/>
      <c r="AI286" s="14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</row>
    <row r="287" spans="1:53" ht="15" customHeight="1">
      <c r="A287" s="147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  <c r="AB287" s="148"/>
      <c r="AC287" s="148"/>
      <c r="AD287" s="148"/>
      <c r="AE287" s="148"/>
      <c r="AF287" s="148"/>
      <c r="AG287" s="148"/>
      <c r="AH287" s="148"/>
      <c r="AI287" s="14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</row>
    <row r="288" spans="1:53" ht="15" customHeight="1">
      <c r="A288" s="147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  <c r="AB288" s="148"/>
      <c r="AC288" s="148"/>
      <c r="AD288" s="148"/>
      <c r="AE288" s="148"/>
      <c r="AF288" s="148"/>
      <c r="AG288" s="148"/>
      <c r="AH288" s="148"/>
      <c r="AI288" s="14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</row>
    <row r="289" spans="1:53" ht="15" customHeight="1" thickBot="1">
      <c r="A289" s="650" t="s">
        <v>849</v>
      </c>
      <c r="B289" s="671"/>
      <c r="C289" s="671"/>
      <c r="D289" s="671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55"/>
      <c r="AB289" s="655"/>
      <c r="AC289" s="655"/>
      <c r="AD289" s="655"/>
      <c r="AE289" s="655"/>
      <c r="AF289" s="655"/>
      <c r="AG289" s="655"/>
      <c r="AH289" s="655"/>
      <c r="AI289" s="655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</row>
    <row r="290" spans="1:53" ht="15" customHeight="1">
      <c r="A290" s="147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  <c r="AB290" s="148"/>
      <c r="AC290" s="148"/>
      <c r="AD290" s="148"/>
      <c r="AE290" s="148"/>
      <c r="AF290" s="148"/>
      <c r="AG290" s="148"/>
      <c r="AH290" s="148"/>
      <c r="AI290" s="14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</row>
    <row r="291" spans="1:53" ht="30" customHeight="1">
      <c r="A291" s="486" t="s">
        <v>170</v>
      </c>
      <c r="B291" s="485" t="s">
        <v>850</v>
      </c>
      <c r="C291" s="485" t="s">
        <v>172</v>
      </c>
      <c r="D291" s="485" t="s">
        <v>851</v>
      </c>
      <c r="E291" s="474" t="s">
        <v>173</v>
      </c>
      <c r="F291" s="474" t="s">
        <v>852</v>
      </c>
      <c r="G291" s="474"/>
      <c r="H291" s="474"/>
      <c r="I291" s="474" t="s">
        <v>853</v>
      </c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</row>
    <row r="292" spans="1:53" ht="15" customHeight="1">
      <c r="A292" s="147" t="s">
        <v>17</v>
      </c>
      <c r="B292" s="335">
        <v>176435.77149500951</v>
      </c>
      <c r="C292" s="153">
        <v>0.1</v>
      </c>
      <c r="D292" s="336">
        <f t="shared" ref="D292:D297" si="27">B292*(1+C292)</f>
        <v>194079.34864451046</v>
      </c>
      <c r="E292" s="153">
        <v>-0.1</v>
      </c>
      <c r="F292" s="336">
        <f t="shared" ref="F292:F297" si="28">B292*(1+E292)</f>
        <v>158792.19434550856</v>
      </c>
      <c r="G292" s="154"/>
      <c r="H292" s="154"/>
      <c r="I292" s="154" t="s">
        <v>854</v>
      </c>
      <c r="J292" s="154"/>
      <c r="K292" s="154"/>
      <c r="L292" s="154"/>
      <c r="M292" s="154"/>
      <c r="N292" s="154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  <c r="AB292" s="148"/>
      <c r="AC292" s="148"/>
      <c r="AD292" s="148"/>
      <c r="AE292" s="148"/>
      <c r="AF292" s="148"/>
      <c r="AG292" s="148"/>
      <c r="AH292" s="148"/>
      <c r="AI292" s="14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</row>
    <row r="293" spans="1:53" ht="15" customHeight="1">
      <c r="A293" s="147" t="s">
        <v>174</v>
      </c>
      <c r="B293" s="335">
        <v>36800.02412954381</v>
      </c>
      <c r="C293" s="153">
        <v>0.25</v>
      </c>
      <c r="D293" s="336">
        <f t="shared" si="27"/>
        <v>46000.030161929761</v>
      </c>
      <c r="E293" s="153">
        <v>-0.2</v>
      </c>
      <c r="F293" s="336">
        <f t="shared" si="28"/>
        <v>29440.01930363505</v>
      </c>
      <c r="G293" s="154"/>
      <c r="H293" s="154"/>
      <c r="I293" s="154" t="s">
        <v>855</v>
      </c>
      <c r="J293" s="154"/>
      <c r="K293" s="154"/>
      <c r="L293" s="154"/>
      <c r="M293" s="154"/>
      <c r="N293" s="154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  <c r="AB293" s="148"/>
      <c r="AC293" s="148"/>
      <c r="AD293" s="148"/>
      <c r="AE293" s="148"/>
      <c r="AF293" s="148"/>
      <c r="AG293" s="148"/>
      <c r="AH293" s="148"/>
      <c r="AI293" s="14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</row>
    <row r="294" spans="1:53" ht="15" customHeight="1">
      <c r="A294" s="147" t="s">
        <v>19</v>
      </c>
      <c r="B294" s="335">
        <v>110400.07238863142</v>
      </c>
      <c r="C294" s="153">
        <v>0.25</v>
      </c>
      <c r="D294" s="336">
        <f t="shared" si="27"/>
        <v>138000.09048578929</v>
      </c>
      <c r="E294" s="153">
        <v>-0.25</v>
      </c>
      <c r="F294" s="336">
        <f t="shared" si="28"/>
        <v>82800.054291473571</v>
      </c>
      <c r="G294" s="154"/>
      <c r="H294" s="154"/>
      <c r="I294" s="154" t="s">
        <v>856</v>
      </c>
      <c r="J294" s="154"/>
      <c r="K294" s="154"/>
      <c r="L294" s="154"/>
      <c r="M294" s="154"/>
      <c r="N294" s="154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  <c r="AB294" s="148"/>
      <c r="AC294" s="148"/>
      <c r="AD294" s="148"/>
      <c r="AE294" s="148"/>
      <c r="AF294" s="148"/>
      <c r="AG294" s="148"/>
      <c r="AH294" s="148"/>
      <c r="AI294" s="14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</row>
    <row r="295" spans="1:53" ht="15" customHeight="1">
      <c r="A295" s="147" t="s">
        <v>175</v>
      </c>
      <c r="B295" s="335">
        <v>102187.77227673373</v>
      </c>
      <c r="C295" s="153">
        <v>0.3</v>
      </c>
      <c r="D295" s="336">
        <f t="shared" si="27"/>
        <v>132844.10395975385</v>
      </c>
      <c r="E295" s="153">
        <v>-0.3</v>
      </c>
      <c r="F295" s="336">
        <f t="shared" si="28"/>
        <v>71531.440593713603</v>
      </c>
      <c r="G295" s="154"/>
      <c r="H295" s="154"/>
      <c r="I295" s="154" t="s">
        <v>857</v>
      </c>
      <c r="J295" s="154"/>
      <c r="K295" s="154"/>
      <c r="L295" s="154"/>
      <c r="M295" s="154"/>
      <c r="N295" s="154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  <c r="AB295" s="148"/>
      <c r="AC295" s="148"/>
      <c r="AD295" s="148"/>
      <c r="AE295" s="148"/>
      <c r="AF295" s="148"/>
      <c r="AG295" s="148"/>
      <c r="AH295" s="148"/>
      <c r="AI295" s="14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</row>
    <row r="296" spans="1:53" ht="15" customHeight="1">
      <c r="A296" s="147" t="s">
        <v>21</v>
      </c>
      <c r="B296" s="335">
        <v>10512.21693720103</v>
      </c>
      <c r="C296" s="153">
        <v>0.15</v>
      </c>
      <c r="D296" s="336">
        <f t="shared" si="27"/>
        <v>12089.049477781184</v>
      </c>
      <c r="E296" s="153">
        <v>-0.15</v>
      </c>
      <c r="F296" s="336">
        <f t="shared" si="28"/>
        <v>8935.3843966208751</v>
      </c>
      <c r="G296" s="154"/>
      <c r="H296" s="154"/>
      <c r="I296" s="154" t="s">
        <v>858</v>
      </c>
      <c r="J296" s="154"/>
      <c r="K296" s="154"/>
      <c r="L296" s="154"/>
      <c r="M296" s="154"/>
      <c r="N296" s="154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  <c r="AB296" s="148"/>
      <c r="AC296" s="148"/>
      <c r="AD296" s="148"/>
      <c r="AE296" s="148"/>
      <c r="AF296" s="148"/>
      <c r="AG296" s="148"/>
      <c r="AH296" s="148"/>
      <c r="AI296" s="14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</row>
    <row r="297" spans="1:53" ht="15" customHeight="1">
      <c r="A297" s="147" t="s">
        <v>22</v>
      </c>
      <c r="B297" s="335">
        <v>5660.4245046467086</v>
      </c>
      <c r="C297" s="153">
        <v>0.15</v>
      </c>
      <c r="D297" s="336">
        <f t="shared" si="27"/>
        <v>6509.4881803437147</v>
      </c>
      <c r="E297" s="153">
        <v>-0.15</v>
      </c>
      <c r="F297" s="336">
        <f t="shared" si="28"/>
        <v>4811.3608289497024</v>
      </c>
      <c r="G297" s="154"/>
      <c r="H297" s="154"/>
      <c r="I297" s="154" t="s">
        <v>859</v>
      </c>
      <c r="J297" s="154"/>
      <c r="K297" s="154"/>
      <c r="L297" s="154"/>
      <c r="M297" s="154"/>
      <c r="N297" s="154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  <c r="AB297" s="148"/>
      <c r="AC297" s="148"/>
      <c r="AD297" s="148"/>
      <c r="AE297" s="148"/>
      <c r="AF297" s="148"/>
      <c r="AG297" s="148"/>
      <c r="AH297" s="148"/>
      <c r="AI297" s="14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</row>
    <row r="298" spans="1:53" ht="15" customHeight="1" thickBot="1">
      <c r="A298" s="155" t="s">
        <v>176</v>
      </c>
      <c r="B298" s="337">
        <f>SUM(B292:B297)</f>
        <v>441996.28173176618</v>
      </c>
      <c r="C298" s="338">
        <f>D298/B298-1</f>
        <v>0.19802390381070856</v>
      </c>
      <c r="D298" s="337">
        <f>SUM(D292:D297)</f>
        <v>529522.11091010831</v>
      </c>
      <c r="E298" s="487">
        <f>F298/B298-1</f>
        <v>-0.19386097013337522</v>
      </c>
      <c r="F298" s="488">
        <f>SUM(F292:F297)</f>
        <v>356310.45375990134</v>
      </c>
      <c r="G298" s="489"/>
      <c r="H298" s="489"/>
      <c r="I298" s="489"/>
      <c r="J298" s="489"/>
      <c r="K298" s="489"/>
      <c r="L298" s="489"/>
      <c r="M298" s="489"/>
      <c r="N298" s="489"/>
      <c r="O298" s="490"/>
      <c r="P298" s="490"/>
      <c r="Q298" s="490"/>
      <c r="R298" s="490"/>
      <c r="S298" s="490"/>
      <c r="T298" s="490"/>
      <c r="U298" s="490"/>
      <c r="V298" s="490"/>
      <c r="W298" s="490"/>
      <c r="X298" s="490"/>
      <c r="Y298" s="490"/>
      <c r="Z298" s="490"/>
      <c r="AA298" s="490"/>
      <c r="AB298" s="490"/>
      <c r="AC298" s="490"/>
      <c r="AD298" s="490"/>
      <c r="AE298" s="490"/>
      <c r="AF298" s="490"/>
      <c r="AG298" s="490"/>
      <c r="AH298" s="490"/>
      <c r="AI298" s="490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</row>
    <row r="299" spans="1:53" ht="15" customHeight="1" thickTop="1">
      <c r="A299" s="147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  <c r="AB299" s="148"/>
      <c r="AC299" s="148"/>
      <c r="AD299" s="148"/>
      <c r="AE299" s="148"/>
      <c r="AF299" s="148"/>
      <c r="AG299" s="148"/>
      <c r="AH299" s="148"/>
      <c r="AI299" s="14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</row>
    <row r="300" spans="1:53" ht="15" customHeight="1">
      <c r="A300" s="478" t="s">
        <v>860</v>
      </c>
      <c r="B300" s="491"/>
      <c r="C300" s="491"/>
      <c r="D300" s="491"/>
      <c r="E300" s="491"/>
      <c r="F300" s="491"/>
      <c r="G300" s="491"/>
      <c r="H300" s="491"/>
      <c r="I300" s="491"/>
      <c r="J300" s="491"/>
      <c r="K300" s="491"/>
      <c r="L300" s="491"/>
      <c r="M300" s="491"/>
      <c r="N300" s="491"/>
      <c r="O300" s="471"/>
      <c r="P300" s="471"/>
      <c r="Q300" s="471"/>
      <c r="R300" s="471"/>
      <c r="S300" s="471"/>
      <c r="T300" s="471"/>
      <c r="U300" s="471"/>
      <c r="V300" s="471"/>
      <c r="W300" s="471"/>
      <c r="X300" s="471"/>
      <c r="Y300" s="471"/>
      <c r="Z300" s="471"/>
      <c r="AA300" s="471"/>
      <c r="AB300" s="471"/>
      <c r="AC300" s="471"/>
      <c r="AD300" s="471"/>
      <c r="AE300" s="471"/>
      <c r="AF300" s="471"/>
      <c r="AG300" s="471"/>
      <c r="AH300" s="471"/>
      <c r="AI300" s="471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</row>
    <row r="301" spans="1:53" ht="15" customHeight="1">
      <c r="A301" s="147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  <c r="AB301" s="148"/>
      <c r="AC301" s="148"/>
      <c r="AD301" s="148"/>
      <c r="AE301" s="148"/>
      <c r="AF301" s="148"/>
      <c r="AG301" s="148"/>
      <c r="AH301" s="148"/>
      <c r="AI301" s="14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</row>
    <row r="302" spans="1:53" ht="15" customHeight="1" thickBot="1">
      <c r="A302" s="650" t="s">
        <v>861</v>
      </c>
      <c r="B302" s="653"/>
      <c r="C302" s="653"/>
      <c r="D302" s="653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55"/>
      <c r="AB302" s="655"/>
      <c r="AC302" s="655"/>
      <c r="AD302" s="655"/>
      <c r="AE302" s="655"/>
      <c r="AF302" s="655"/>
      <c r="AG302" s="655"/>
      <c r="AH302" s="655"/>
      <c r="AI302" s="655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</row>
    <row r="303" spans="1:53" ht="15" customHeight="1">
      <c r="A303" s="147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  <c r="AB303" s="148"/>
      <c r="AC303" s="148"/>
      <c r="AD303" s="148"/>
      <c r="AE303" s="148"/>
      <c r="AF303" s="148"/>
      <c r="AG303" s="148"/>
      <c r="AH303" s="148"/>
      <c r="AI303" s="14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</row>
    <row r="304" spans="1:53" ht="30" customHeight="1" outlineLevel="1">
      <c r="A304" s="486" t="s">
        <v>281</v>
      </c>
      <c r="B304" s="485" t="s">
        <v>4</v>
      </c>
      <c r="C304" s="485" t="s">
        <v>5</v>
      </c>
      <c r="D304" s="485" t="s">
        <v>6</v>
      </c>
      <c r="E304" s="474" t="s">
        <v>7</v>
      </c>
      <c r="F304" s="474" t="s">
        <v>8</v>
      </c>
      <c r="G304" s="474" t="s">
        <v>9</v>
      </c>
      <c r="H304" s="474" t="s">
        <v>10</v>
      </c>
      <c r="I304" s="474" t="s">
        <v>11</v>
      </c>
      <c r="J304" s="474" t="s">
        <v>12</v>
      </c>
      <c r="K304" s="474" t="s">
        <v>13</v>
      </c>
      <c r="L304" s="474" t="s">
        <v>14</v>
      </c>
      <c r="M304" s="474" t="s">
        <v>15</v>
      </c>
      <c r="N304" s="474" t="s">
        <v>16</v>
      </c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</row>
    <row r="305" spans="1:53" ht="15" customHeight="1" outlineLevel="1">
      <c r="A305" s="156" t="s">
        <v>17</v>
      </c>
      <c r="B305" s="335">
        <v>176186.48699999999</v>
      </c>
      <c r="C305" s="335">
        <v>175305.554565</v>
      </c>
      <c r="D305" s="335">
        <v>175643.791792175</v>
      </c>
      <c r="E305" s="335">
        <v>175731.61368807108</v>
      </c>
      <c r="F305" s="335">
        <v>175819.47949491511</v>
      </c>
      <c r="G305" s="335">
        <v>175907.38923466255</v>
      </c>
      <c r="H305" s="335">
        <v>175995.34292927987</v>
      </c>
      <c r="I305" s="335">
        <v>176083.3406007445</v>
      </c>
      <c r="J305" s="335">
        <v>176171.38227104486</v>
      </c>
      <c r="K305" s="335">
        <v>176259.46796218038</v>
      </c>
      <c r="L305" s="335">
        <v>176347.59769616145</v>
      </c>
      <c r="M305" s="335">
        <v>176435.77149500951</v>
      </c>
      <c r="N305" s="336">
        <f t="shared" ref="N305:N311" si="29">SUM(B305:M305)</f>
        <v>2111887.2187292441</v>
      </c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  <c r="AB305" s="148"/>
      <c r="AC305" s="148"/>
      <c r="AD305" s="148"/>
      <c r="AE305" s="148"/>
      <c r="AF305" s="148"/>
      <c r="AG305" s="148"/>
      <c r="AH305" s="148"/>
      <c r="AI305" s="14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</row>
    <row r="306" spans="1:53" ht="15" customHeight="1" outlineLevel="1">
      <c r="A306" s="156" t="s">
        <v>174</v>
      </c>
      <c r="B306" s="335">
        <v>0</v>
      </c>
      <c r="C306" s="335">
        <v>24807.022340617739</v>
      </c>
      <c r="D306" s="335">
        <v>30568.905917593864</v>
      </c>
      <c r="E306" s="335">
        <v>25422.833695504796</v>
      </c>
      <c r="F306" s="335">
        <v>31492.622949924455</v>
      </c>
      <c r="G306" s="335">
        <v>27666.686863311941</v>
      </c>
      <c r="H306" s="335">
        <v>29390.239958240003</v>
      </c>
      <c r="I306" s="335">
        <v>28755.137215699848</v>
      </c>
      <c r="J306" s="335">
        <v>34379.333241583285</v>
      </c>
      <c r="K306" s="335">
        <v>33769.952349247265</v>
      </c>
      <c r="L306" s="335">
        <v>34209.871640238445</v>
      </c>
      <c r="M306" s="335">
        <v>36800.02412954381</v>
      </c>
      <c r="N306" s="336">
        <f t="shared" si="29"/>
        <v>337262.63030150544</v>
      </c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  <c r="AB306" s="148"/>
      <c r="AC306" s="148"/>
      <c r="AD306" s="148"/>
      <c r="AE306" s="148"/>
      <c r="AF306" s="148"/>
      <c r="AG306" s="148"/>
      <c r="AH306" s="148"/>
      <c r="AI306" s="14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</row>
    <row r="307" spans="1:53" ht="15" customHeight="1" outlineLevel="1">
      <c r="A307" s="156" t="s">
        <v>19</v>
      </c>
      <c r="B307" s="335">
        <v>0</v>
      </c>
      <c r="C307" s="335">
        <v>74421.067021853203</v>
      </c>
      <c r="D307" s="335">
        <v>91706.71775278158</v>
      </c>
      <c r="E307" s="335">
        <v>76268.501086514385</v>
      </c>
      <c r="F307" s="335">
        <v>94477.868849773338</v>
      </c>
      <c r="G307" s="335">
        <v>83000.060589935805</v>
      </c>
      <c r="H307" s="335">
        <v>88170.719874720002</v>
      </c>
      <c r="I307" s="335">
        <v>86265.411647099536</v>
      </c>
      <c r="J307" s="335">
        <v>103137.99972474985</v>
      </c>
      <c r="K307" s="335">
        <v>101309.85704774178</v>
      </c>
      <c r="L307" s="335">
        <v>102629.61492071532</v>
      </c>
      <c r="M307" s="335">
        <v>110400.07238863142</v>
      </c>
      <c r="N307" s="336">
        <f t="shared" si="29"/>
        <v>1011787.8909045162</v>
      </c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  <c r="AB307" s="148"/>
      <c r="AC307" s="148"/>
      <c r="AD307" s="148"/>
      <c r="AE307" s="148"/>
      <c r="AF307" s="148"/>
      <c r="AG307" s="148"/>
      <c r="AH307" s="148"/>
      <c r="AI307" s="14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</row>
    <row r="308" spans="1:53" ht="15" customHeight="1" outlineLevel="1">
      <c r="A308" s="156" t="s">
        <v>862</v>
      </c>
      <c r="B308" s="335">
        <v>0</v>
      </c>
      <c r="C308" s="335">
        <v>68885.127381526967</v>
      </c>
      <c r="D308" s="335">
        <v>84884.955120128696</v>
      </c>
      <c r="E308" s="335">
        <v>70595.136871659488</v>
      </c>
      <c r="F308" s="335">
        <v>87449.969355327485</v>
      </c>
      <c r="G308" s="335">
        <v>76825.957691970354</v>
      </c>
      <c r="H308" s="335">
        <v>81611.988553020012</v>
      </c>
      <c r="I308" s="335">
        <v>79848.409969523389</v>
      </c>
      <c r="J308" s="335">
        <v>95465.901433918581</v>
      </c>
      <c r="K308" s="335">
        <v>93773.748308240771</v>
      </c>
      <c r="L308" s="335">
        <v>94995.333711818224</v>
      </c>
      <c r="M308" s="335">
        <v>102187.77227673373</v>
      </c>
      <c r="N308" s="336">
        <f t="shared" si="29"/>
        <v>936524.30067386781</v>
      </c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  <c r="AB308" s="148"/>
      <c r="AC308" s="148"/>
      <c r="AD308" s="148"/>
      <c r="AE308" s="148"/>
      <c r="AF308" s="148"/>
      <c r="AG308" s="148"/>
      <c r="AH308" s="148"/>
      <c r="AI308" s="14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</row>
    <row r="309" spans="1:53" ht="15" customHeight="1" outlineLevel="1">
      <c r="A309" s="156" t="s">
        <v>21</v>
      </c>
      <c r="B309" s="335">
        <v>6529.8450752974613</v>
      </c>
      <c r="C309" s="335">
        <v>7086.3214516538646</v>
      </c>
      <c r="D309" s="335">
        <v>8732.2489085177276</v>
      </c>
      <c r="E309" s="335">
        <v>7262.2328187816747</v>
      </c>
      <c r="F309" s="335">
        <v>8996.1159592094446</v>
      </c>
      <c r="G309" s="335">
        <v>7903.2071614119996</v>
      </c>
      <c r="H309" s="335">
        <v>8395.5536874057761</v>
      </c>
      <c r="I309" s="335">
        <v>8214.131583347058</v>
      </c>
      <c r="J309" s="335">
        <v>9820.7275060373813</v>
      </c>
      <c r="K309" s="335">
        <v>9646.6530512198751</v>
      </c>
      <c r="L309" s="335">
        <v>9772.3194639776393</v>
      </c>
      <c r="M309" s="335">
        <v>10512.21693720103</v>
      </c>
      <c r="N309" s="336">
        <f t="shared" si="29"/>
        <v>102871.57360406093</v>
      </c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  <c r="AH309" s="148"/>
      <c r="AI309" s="14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</row>
    <row r="310" spans="1:53" ht="15" customHeight="1" outlineLevel="1">
      <c r="A310" s="156" t="s">
        <v>22</v>
      </c>
      <c r="B310" s="335">
        <v>3516.070425160171</v>
      </c>
      <c r="C310" s="335">
        <v>3815.7115508905422</v>
      </c>
      <c r="D310" s="335">
        <v>4701.9801815095452</v>
      </c>
      <c r="E310" s="335">
        <v>3910.4330562670552</v>
      </c>
      <c r="F310" s="335">
        <v>4844.0624395743152</v>
      </c>
      <c r="G310" s="335">
        <v>4255.5730869141535</v>
      </c>
      <c r="H310" s="335">
        <v>4520.6827547569565</v>
      </c>
      <c r="I310" s="335">
        <v>4422.9939294945689</v>
      </c>
      <c r="J310" s="335">
        <v>5288.0840417124364</v>
      </c>
      <c r="K310" s="335">
        <v>5194.3516429645479</v>
      </c>
      <c r="L310" s="335">
        <v>5262.0181729110363</v>
      </c>
      <c r="M310" s="335">
        <v>5660.4245046467086</v>
      </c>
      <c r="N310" s="336">
        <f t="shared" si="29"/>
        <v>55392.385786802028</v>
      </c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  <c r="AB310" s="148"/>
      <c r="AC310" s="148"/>
      <c r="AD310" s="148"/>
      <c r="AE310" s="148"/>
      <c r="AF310" s="148"/>
      <c r="AG310" s="148"/>
      <c r="AH310" s="148"/>
      <c r="AI310" s="14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</row>
    <row r="311" spans="1:53" ht="15" customHeight="1" outlineLevel="1" thickBot="1">
      <c r="A311" s="157" t="s">
        <v>863</v>
      </c>
      <c r="B311" s="337">
        <f t="shared" ref="B311:M311" si="30">SUM(B305:B310)</f>
        <v>186232.40250045763</v>
      </c>
      <c r="C311" s="337">
        <f t="shared" si="30"/>
        <v>354320.80431154225</v>
      </c>
      <c r="D311" s="337">
        <f t="shared" si="30"/>
        <v>396238.59967270645</v>
      </c>
      <c r="E311" s="339">
        <f t="shared" si="30"/>
        <v>359190.7512167985</v>
      </c>
      <c r="F311" s="339">
        <f t="shared" si="30"/>
        <v>403080.11904872418</v>
      </c>
      <c r="G311" s="339">
        <f t="shared" si="30"/>
        <v>375558.87462820677</v>
      </c>
      <c r="H311" s="339">
        <f t="shared" si="30"/>
        <v>388084.52775742259</v>
      </c>
      <c r="I311" s="339">
        <f t="shared" si="30"/>
        <v>383589.42494590889</v>
      </c>
      <c r="J311" s="339">
        <f t="shared" si="30"/>
        <v>424263.42821904644</v>
      </c>
      <c r="K311" s="339">
        <f t="shared" si="30"/>
        <v>419954.03036159463</v>
      </c>
      <c r="L311" s="339">
        <f t="shared" si="30"/>
        <v>423216.75560582208</v>
      </c>
      <c r="M311" s="339">
        <f t="shared" si="30"/>
        <v>441996.28173176618</v>
      </c>
      <c r="N311" s="339">
        <f t="shared" si="29"/>
        <v>4555725.9999999963</v>
      </c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  <c r="AB311" s="148"/>
      <c r="AC311" s="148"/>
      <c r="AD311" s="148"/>
      <c r="AE311" s="148"/>
      <c r="AF311" s="148"/>
      <c r="AG311" s="148"/>
      <c r="AH311" s="148"/>
      <c r="AI311" s="14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</row>
    <row r="312" spans="1:53" ht="15" customHeight="1" outlineLevel="1" thickTop="1">
      <c r="A312" s="158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  <c r="AB312" s="148"/>
      <c r="AC312" s="148"/>
      <c r="AD312" s="148"/>
      <c r="AE312" s="148"/>
      <c r="AF312" s="148"/>
      <c r="AG312" s="148"/>
      <c r="AH312" s="148"/>
      <c r="AI312" s="14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</row>
    <row r="313" spans="1:53" ht="15" customHeight="1" outlineLevel="1">
      <c r="A313" s="156" t="s">
        <v>153</v>
      </c>
      <c r="B313" s="340">
        <f>'Ppto Ene. 2026'!F65</f>
        <v>111362.2807248996</v>
      </c>
      <c r="C313" s="340">
        <f>'Ppto Ene. 2026'!G65</f>
        <v>111362.2807248996</v>
      </c>
      <c r="D313" s="340">
        <f>'Ppto Ene. 2026'!H65</f>
        <v>111362.2807248996</v>
      </c>
      <c r="E313" s="340">
        <f>'Ppto Ene. 2026'!I65</f>
        <v>111362.2807248996</v>
      </c>
      <c r="F313" s="340">
        <f>'Ppto Ene. 2026'!J65</f>
        <v>111362.2807248996</v>
      </c>
      <c r="G313" s="340">
        <f>'Ppto Ene. 2026'!K65</f>
        <v>111362.2807248996</v>
      </c>
      <c r="H313" s="340">
        <f>'Ppto Ene. 2026'!L65</f>
        <v>111362.2807248996</v>
      </c>
      <c r="I313" s="340">
        <f>'Ppto Ene. 2026'!M65</f>
        <v>111362.2807248996</v>
      </c>
      <c r="J313" s="340">
        <f>'Ppto Ene. 2026'!N65</f>
        <v>111362.2807248996</v>
      </c>
      <c r="K313" s="340">
        <f>'Ppto Ene. 2026'!O65</f>
        <v>111362.2807248996</v>
      </c>
      <c r="L313" s="340">
        <f>'Ppto Ene. 2026'!P65</f>
        <v>111362.2807248996</v>
      </c>
      <c r="M313" s="340">
        <f>'Ppto Ene. 2026'!Q65</f>
        <v>111362.2807248996</v>
      </c>
      <c r="N313" s="336">
        <f t="shared" ref="N313:N318" si="31">SUM(B313:M313)</f>
        <v>1336347.3686987951</v>
      </c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  <c r="AB313" s="148"/>
      <c r="AC313" s="148"/>
      <c r="AD313" s="148"/>
      <c r="AE313" s="148"/>
      <c r="AF313" s="148"/>
      <c r="AG313" s="148"/>
      <c r="AH313" s="148"/>
      <c r="AI313" s="14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</row>
    <row r="314" spans="1:53" ht="15" customHeight="1" outlineLevel="1">
      <c r="A314" s="156" t="s">
        <v>156</v>
      </c>
      <c r="B314" s="340">
        <f>'Ppto Ene. 2026'!F73</f>
        <v>33545.115888865206</v>
      </c>
      <c r="C314" s="340">
        <f>'Ppto Ene. 2026'!G73</f>
        <v>33545.115888865206</v>
      </c>
      <c r="D314" s="340">
        <f>'Ppto Ene. 2026'!H73</f>
        <v>33545.115888865206</v>
      </c>
      <c r="E314" s="340">
        <f>'Ppto Ene. 2026'!I73</f>
        <v>33545.115888865206</v>
      </c>
      <c r="F314" s="340">
        <f>'Ppto Ene. 2026'!J73</f>
        <v>33545.115888865206</v>
      </c>
      <c r="G314" s="340">
        <f>'Ppto Ene. 2026'!K73</f>
        <v>33545.115888865206</v>
      </c>
      <c r="H314" s="340">
        <f>'Ppto Ene. 2026'!L73</f>
        <v>33545.115888865206</v>
      </c>
      <c r="I314" s="340">
        <f>'Ppto Ene. 2026'!M73</f>
        <v>33545.115888865206</v>
      </c>
      <c r="J314" s="340">
        <f>'Ppto Ene. 2026'!N73</f>
        <v>33545.115888865206</v>
      </c>
      <c r="K314" s="340">
        <f>'Ppto Ene. 2026'!O73</f>
        <v>33545.115888865206</v>
      </c>
      <c r="L314" s="340">
        <f>'Ppto Ene. 2026'!P73</f>
        <v>33545.115888865206</v>
      </c>
      <c r="M314" s="340">
        <f>'Ppto Ene. 2026'!Q73</f>
        <v>33545.115888865206</v>
      </c>
      <c r="N314" s="336">
        <f t="shared" si="31"/>
        <v>402541.39066638245</v>
      </c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  <c r="AB314" s="148"/>
      <c r="AC314" s="148"/>
      <c r="AD314" s="148"/>
      <c r="AE314" s="148"/>
      <c r="AF314" s="148"/>
      <c r="AG314" s="148"/>
      <c r="AH314" s="148"/>
      <c r="AI314" s="14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</row>
    <row r="315" spans="1:53" ht="15" customHeight="1" outlineLevel="1">
      <c r="A315" s="156" t="s">
        <v>159</v>
      </c>
      <c r="B315" s="340">
        <f>'Ppto Ene. 2026'!F77</f>
        <v>54010.306401157919</v>
      </c>
      <c r="C315" s="340">
        <f>'Ppto Ene. 2026'!G77</f>
        <v>54010.306401157919</v>
      </c>
      <c r="D315" s="340">
        <f>'Ppto Ene. 2026'!H77</f>
        <v>54010.306401157919</v>
      </c>
      <c r="E315" s="340">
        <f>'Ppto Ene. 2026'!I77</f>
        <v>54010.306401157919</v>
      </c>
      <c r="F315" s="340">
        <f>'Ppto Ene. 2026'!J77</f>
        <v>54010.306401157919</v>
      </c>
      <c r="G315" s="340">
        <f>'Ppto Ene. 2026'!K77</f>
        <v>54010.306401157919</v>
      </c>
      <c r="H315" s="340">
        <f>'Ppto Ene. 2026'!L77</f>
        <v>54010.306401157919</v>
      </c>
      <c r="I315" s="340">
        <f>'Ppto Ene. 2026'!M77</f>
        <v>54010.306401157919</v>
      </c>
      <c r="J315" s="340">
        <f>'Ppto Ene. 2026'!N77</f>
        <v>54010.306401157919</v>
      </c>
      <c r="K315" s="340">
        <f>'Ppto Ene. 2026'!O77</f>
        <v>54010.306401157919</v>
      </c>
      <c r="L315" s="340">
        <f>'Ppto Ene. 2026'!P77</f>
        <v>54010.306401157919</v>
      </c>
      <c r="M315" s="340">
        <f>'Ppto Ene. 2026'!Q77</f>
        <v>54010.306401157919</v>
      </c>
      <c r="N315" s="336">
        <f t="shared" si="31"/>
        <v>648123.67681389488</v>
      </c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  <c r="AB315" s="148"/>
      <c r="AC315" s="148"/>
      <c r="AD315" s="148"/>
      <c r="AE315" s="148"/>
      <c r="AF315" s="148"/>
      <c r="AG315" s="148"/>
      <c r="AH315" s="148"/>
      <c r="AI315" s="14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</row>
    <row r="316" spans="1:53" ht="15" customHeight="1" outlineLevel="1">
      <c r="A316" s="156" t="s">
        <v>864</v>
      </c>
      <c r="B316" s="340">
        <f>'Ppto Ene. 2026'!F85</f>
        <v>794.22560829687495</v>
      </c>
      <c r="C316" s="340">
        <f>'Ppto Ene. 2026'!G85</f>
        <v>794.22560829687495</v>
      </c>
      <c r="D316" s="340">
        <f>'Ppto Ene. 2026'!H85</f>
        <v>794.22560829687495</v>
      </c>
      <c r="E316" s="340">
        <f>'Ppto Ene. 2026'!I85</f>
        <v>794.22560829687495</v>
      </c>
      <c r="F316" s="340">
        <f>'Ppto Ene. 2026'!J85</f>
        <v>794.22560829687495</v>
      </c>
      <c r="G316" s="340">
        <f>'Ppto Ene. 2026'!K85</f>
        <v>794.22560829687495</v>
      </c>
      <c r="H316" s="340">
        <f>'Ppto Ene. 2026'!L85</f>
        <v>794.22560829687495</v>
      </c>
      <c r="I316" s="340">
        <f>'Ppto Ene. 2026'!M85</f>
        <v>794.22560829687495</v>
      </c>
      <c r="J316" s="340">
        <f>'Ppto Ene. 2026'!N85</f>
        <v>794.22560829687495</v>
      </c>
      <c r="K316" s="340">
        <f>'Ppto Ene. 2026'!O85</f>
        <v>794.22560829687495</v>
      </c>
      <c r="L316" s="340">
        <f>'Ppto Ene. 2026'!P85</f>
        <v>794.22560829687495</v>
      </c>
      <c r="M316" s="340">
        <f>'Ppto Ene. 2026'!Q85</f>
        <v>794.22560829687495</v>
      </c>
      <c r="N316" s="336">
        <f t="shared" si="31"/>
        <v>9530.7072995625003</v>
      </c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  <c r="AB316" s="148"/>
      <c r="AC316" s="148"/>
      <c r="AD316" s="148"/>
      <c r="AE316" s="148"/>
      <c r="AF316" s="148"/>
      <c r="AG316" s="148"/>
      <c r="AH316" s="148"/>
      <c r="AI316" s="14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</row>
    <row r="317" spans="1:53" ht="15" customHeight="1" outlineLevel="1">
      <c r="A317" s="156" t="s">
        <v>865</v>
      </c>
      <c r="B317" s="340">
        <f>'Ppto Ene. 2026'!F86</f>
        <v>2015.3626113341668</v>
      </c>
      <c r="C317" s="340">
        <f>'Ppto Ene. 2026'!G86</f>
        <v>2015.3626113341668</v>
      </c>
      <c r="D317" s="340">
        <f>'Ppto Ene. 2026'!H86</f>
        <v>2015.3626113341668</v>
      </c>
      <c r="E317" s="340">
        <f>'Ppto Ene. 2026'!I86</f>
        <v>2015.3626113341668</v>
      </c>
      <c r="F317" s="340">
        <f>'Ppto Ene. 2026'!J86</f>
        <v>2015.3626113341668</v>
      </c>
      <c r="G317" s="340">
        <f>'Ppto Ene. 2026'!K86</f>
        <v>2015.3626113341668</v>
      </c>
      <c r="H317" s="340">
        <f>'Ppto Ene. 2026'!L86</f>
        <v>2015.3626113341668</v>
      </c>
      <c r="I317" s="340">
        <f>'Ppto Ene. 2026'!M86</f>
        <v>2015.3626113341668</v>
      </c>
      <c r="J317" s="340">
        <f>'Ppto Ene. 2026'!N86</f>
        <v>2015.3626113341668</v>
      </c>
      <c r="K317" s="340">
        <f>'Ppto Ene. 2026'!O86</f>
        <v>2015.3626113341668</v>
      </c>
      <c r="L317" s="340">
        <f>'Ppto Ene. 2026'!P86</f>
        <v>2015.3626113341668</v>
      </c>
      <c r="M317" s="340">
        <f>'Ppto Ene. 2026'!Q86</f>
        <v>2015.3626113341668</v>
      </c>
      <c r="N317" s="336">
        <f t="shared" si="31"/>
        <v>24184.351336010001</v>
      </c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  <c r="AB317" s="148"/>
      <c r="AC317" s="148"/>
      <c r="AD317" s="148"/>
      <c r="AE317" s="148"/>
      <c r="AF317" s="148"/>
      <c r="AG317" s="148"/>
      <c r="AH317" s="148"/>
      <c r="AI317" s="14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</row>
    <row r="318" spans="1:53" ht="15" customHeight="1" outlineLevel="1">
      <c r="A318" s="156" t="s">
        <v>866</v>
      </c>
      <c r="B318" s="340">
        <f>'Ppto Ene. 2026'!F90</f>
        <v>0</v>
      </c>
      <c r="C318" s="340">
        <f>'Ppto Ene. 2026'!G90</f>
        <v>53963.687502753812</v>
      </c>
      <c r="D318" s="340">
        <f>'Ppto Ene. 2026'!H90</f>
        <v>68634.915879161243</v>
      </c>
      <c r="E318" s="340">
        <f>'Ppto Ene. 2026'!I90</f>
        <v>55668.16891959346</v>
      </c>
      <c r="F318" s="340">
        <f>'Ppto Ene. 2026'!J90</f>
        <v>71029.447660767459</v>
      </c>
      <c r="G318" s="340">
        <f>'Ppto Ene. 2026'!K90</f>
        <v>61397.012113586366</v>
      </c>
      <c r="H318" s="340">
        <f>'Ppto Ene. 2026'!L90</f>
        <v>65780.990708811907</v>
      </c>
      <c r="I318" s="340">
        <f>'Ppto Ene. 2026'!M90</f>
        <v>64207.704724782132</v>
      </c>
      <c r="J318" s="340">
        <f>'Ppto Ene. 2026'!N90</f>
        <v>78443.60587038027</v>
      </c>
      <c r="K318" s="340">
        <f>'Ppto Ene. 2026'!O90</f>
        <v>76935.316620272104</v>
      </c>
      <c r="L318" s="340">
        <f>'Ppto Ene. 2026'!P90</f>
        <v>78077.270455751728</v>
      </c>
      <c r="M318" s="340">
        <f>'Ppto Ene. 2026'!Q90</f>
        <v>84650.104599832135</v>
      </c>
      <c r="N318" s="336">
        <f t="shared" si="31"/>
        <v>758788.2250556926</v>
      </c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  <c r="AB318" s="148"/>
      <c r="AC318" s="148"/>
      <c r="AD318" s="148"/>
      <c r="AE318" s="148"/>
      <c r="AF318" s="148"/>
      <c r="AG318" s="148"/>
      <c r="AH318" s="148"/>
      <c r="AI318" s="14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</row>
    <row r="319" spans="1:53">
      <c r="A319" s="7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</row>
    <row r="320" spans="1:53">
      <c r="A320" s="7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</row>
    <row r="321" spans="1:53">
      <c r="A321" s="7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</row>
    <row r="322" spans="1:53">
      <c r="A322" s="7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</row>
    <row r="323" spans="1:53">
      <c r="A323" s="1041"/>
      <c r="B323" s="1040"/>
      <c r="C323" s="1040"/>
      <c r="D323" s="1040"/>
      <c r="E323" s="1040"/>
      <c r="F323" s="1040"/>
      <c r="G323" s="1040"/>
      <c r="H323" s="1040"/>
      <c r="I323" s="1040"/>
      <c r="J323" s="1040"/>
      <c r="K323" s="1040"/>
      <c r="L323" s="1040"/>
      <c r="M323" s="1040"/>
      <c r="N323" s="1040"/>
      <c r="O323" s="1040"/>
      <c r="P323" s="1040"/>
      <c r="Q323" s="1040"/>
      <c r="R323" s="1040"/>
      <c r="S323" s="1040"/>
      <c r="T323" s="1040"/>
      <c r="U323" s="1040"/>
      <c r="V323" s="1040"/>
      <c r="W323" s="1040"/>
      <c r="X323" s="1040"/>
      <c r="Y323" s="1040"/>
      <c r="Z323" s="1040"/>
      <c r="AA323" s="1040"/>
      <c r="AB323" s="1040"/>
      <c r="AC323" s="1040"/>
      <c r="AD323" s="1040"/>
      <c r="AE323" s="1040"/>
      <c r="AF323" s="1040"/>
      <c r="AG323" s="1040"/>
      <c r="AH323" s="1040"/>
      <c r="AI323" s="1040"/>
      <c r="AJ323" s="1039"/>
      <c r="AK323" s="1039"/>
      <c r="AL323" s="1039"/>
      <c r="AM323" s="1040"/>
      <c r="AN323" s="1040"/>
      <c r="AO323" s="1040"/>
      <c r="AP323" s="1040"/>
      <c r="AQ323" s="1040"/>
      <c r="AR323" s="1040"/>
      <c r="AS323" s="1040"/>
      <c r="AT323" s="1040"/>
      <c r="AU323" s="1040"/>
      <c r="AV323" s="1040"/>
      <c r="AW323" s="1040"/>
      <c r="AX323" s="1040"/>
    </row>
    <row r="324" spans="1:53">
      <c r="A324" s="1041"/>
      <c r="B324" s="1040"/>
      <c r="C324" s="1040"/>
      <c r="D324" s="1040"/>
      <c r="E324" s="1040"/>
      <c r="F324" s="1040"/>
      <c r="G324" s="1040"/>
      <c r="H324" s="1040"/>
      <c r="I324" s="1040"/>
      <c r="J324" s="1040"/>
      <c r="K324" s="1040"/>
      <c r="L324" s="1040"/>
      <c r="M324" s="1040"/>
      <c r="N324" s="1040"/>
      <c r="O324" s="1040"/>
      <c r="P324" s="1040"/>
      <c r="Q324" s="1040"/>
      <c r="R324" s="1040"/>
      <c r="S324" s="1040"/>
      <c r="T324" s="1040"/>
      <c r="U324" s="1040"/>
      <c r="V324" s="1040"/>
      <c r="W324" s="1040"/>
      <c r="X324" s="1040"/>
      <c r="Y324" s="1040"/>
      <c r="Z324" s="1040"/>
      <c r="AA324" s="1040"/>
      <c r="AB324" s="1040"/>
      <c r="AC324" s="1040"/>
      <c r="AD324" s="1040"/>
      <c r="AE324" s="1040"/>
      <c r="AF324" s="1040"/>
      <c r="AG324" s="1040"/>
      <c r="AH324" s="1040"/>
      <c r="AI324" s="1040"/>
      <c r="AJ324" s="1039"/>
      <c r="AK324" s="1039"/>
      <c r="AL324" s="1039"/>
      <c r="AM324" s="1040"/>
      <c r="AN324" s="1040"/>
      <c r="AO324" s="1040"/>
      <c r="AP324" s="1040"/>
      <c r="AQ324" s="1040"/>
      <c r="AR324" s="1040"/>
      <c r="AS324" s="1040"/>
      <c r="AT324" s="1040"/>
      <c r="AU324" s="1040"/>
      <c r="AV324" s="1040"/>
      <c r="AW324" s="1040"/>
      <c r="AX324" s="1040"/>
    </row>
    <row r="325" spans="1:53">
      <c r="A325" s="1041"/>
      <c r="B325" s="1040"/>
      <c r="C325" s="1040"/>
      <c r="D325" s="1040"/>
      <c r="E325" s="1040"/>
      <c r="F325" s="1040"/>
      <c r="G325" s="1040"/>
      <c r="H325" s="1040"/>
      <c r="I325" s="1040"/>
      <c r="J325" s="1040"/>
      <c r="K325" s="1040"/>
      <c r="L325" s="1040"/>
      <c r="M325" s="1040"/>
      <c r="N325" s="1040"/>
      <c r="O325" s="1040"/>
      <c r="P325" s="1040"/>
      <c r="Q325" s="1040"/>
      <c r="R325" s="1040"/>
      <c r="S325" s="1040"/>
      <c r="T325" s="1040"/>
      <c r="U325" s="1040"/>
      <c r="V325" s="1040"/>
      <c r="W325" s="1040"/>
      <c r="X325" s="1040"/>
      <c r="Y325" s="1040"/>
      <c r="Z325" s="1040"/>
      <c r="AA325" s="1040"/>
      <c r="AB325" s="1040"/>
      <c r="AC325" s="1040"/>
      <c r="AD325" s="1040"/>
      <c r="AE325" s="1040"/>
      <c r="AF325" s="1040"/>
      <c r="AG325" s="1040"/>
      <c r="AH325" s="1040"/>
      <c r="AI325" s="1040"/>
      <c r="AJ325" s="1039"/>
      <c r="AK325" s="1039"/>
      <c r="AL325" s="1039"/>
      <c r="AM325" s="1040"/>
      <c r="AN325" s="1040"/>
      <c r="AO325" s="1040"/>
      <c r="AP325" s="1040"/>
      <c r="AQ325" s="1040"/>
      <c r="AR325" s="1040"/>
      <c r="AS325" s="1040"/>
      <c r="AT325" s="1040"/>
      <c r="AU325" s="1040"/>
      <c r="AV325" s="1040"/>
      <c r="AW325" s="1040"/>
      <c r="AX325" s="1040"/>
    </row>
    <row r="326" spans="1:53">
      <c r="A326" s="1041"/>
      <c r="B326" s="1040"/>
      <c r="C326" s="1040"/>
      <c r="D326" s="1040"/>
      <c r="E326" s="1040"/>
      <c r="F326" s="1040"/>
      <c r="G326" s="1040"/>
      <c r="H326" s="1040"/>
      <c r="I326" s="1040"/>
      <c r="J326" s="1040"/>
      <c r="K326" s="1040"/>
      <c r="L326" s="1040"/>
      <c r="M326" s="1040"/>
      <c r="N326" s="1040"/>
      <c r="O326" s="1040"/>
      <c r="P326" s="1040"/>
      <c r="Q326" s="1040"/>
      <c r="R326" s="1040"/>
      <c r="S326" s="1040"/>
      <c r="T326" s="1040"/>
      <c r="U326" s="1040"/>
      <c r="V326" s="1040"/>
      <c r="W326" s="1040"/>
      <c r="X326" s="1040"/>
      <c r="Y326" s="1040"/>
      <c r="Z326" s="1040"/>
      <c r="AA326" s="1040"/>
      <c r="AB326" s="1040"/>
      <c r="AC326" s="1040"/>
      <c r="AD326" s="1040"/>
      <c r="AE326" s="1040"/>
      <c r="AF326" s="1040"/>
      <c r="AG326" s="1040"/>
      <c r="AH326" s="1040"/>
      <c r="AI326" s="1040"/>
      <c r="AJ326" s="1039"/>
      <c r="AK326" s="1039"/>
      <c r="AL326" s="1039"/>
      <c r="AM326" s="1040"/>
      <c r="AN326" s="1040"/>
      <c r="AO326" s="1040"/>
      <c r="AP326" s="1040"/>
      <c r="AQ326" s="1040"/>
      <c r="AR326" s="1040"/>
      <c r="AS326" s="1040"/>
      <c r="AT326" s="1040"/>
      <c r="AU326" s="1040"/>
      <c r="AV326" s="1040"/>
      <c r="AW326" s="1040"/>
      <c r="AX326" s="1040"/>
    </row>
    <row r="327" spans="1:53">
      <c r="A327" s="1041"/>
      <c r="B327" s="1040"/>
      <c r="C327" s="1040"/>
      <c r="D327" s="1040"/>
      <c r="E327" s="1040"/>
      <c r="F327" s="1040"/>
      <c r="G327" s="1040"/>
      <c r="H327" s="1040"/>
      <c r="I327" s="1040"/>
      <c r="J327" s="1040"/>
      <c r="K327" s="1040"/>
      <c r="L327" s="1040"/>
      <c r="M327" s="1040"/>
      <c r="N327" s="1040"/>
      <c r="O327" s="1040"/>
      <c r="P327" s="1040"/>
      <c r="Q327" s="1040"/>
      <c r="R327" s="1040"/>
      <c r="S327" s="1040"/>
      <c r="T327" s="1040"/>
      <c r="U327" s="1040"/>
      <c r="V327" s="1040"/>
      <c r="W327" s="1040"/>
      <c r="X327" s="1040"/>
      <c r="Y327" s="1040"/>
      <c r="Z327" s="1040"/>
      <c r="AA327" s="1040"/>
      <c r="AB327" s="1040"/>
      <c r="AC327" s="1040"/>
      <c r="AD327" s="1040"/>
      <c r="AE327" s="1040"/>
      <c r="AF327" s="1040"/>
      <c r="AG327" s="1040"/>
      <c r="AH327" s="1040"/>
      <c r="AI327" s="1040"/>
      <c r="AJ327" s="1039"/>
      <c r="AK327" s="1039"/>
      <c r="AL327" s="1039"/>
      <c r="AM327" s="1040"/>
      <c r="AN327" s="1040"/>
      <c r="AO327" s="1040"/>
      <c r="AP327" s="1040"/>
      <c r="AQ327" s="1040"/>
      <c r="AR327" s="1040"/>
      <c r="AS327" s="1040"/>
      <c r="AT327" s="1040"/>
      <c r="AU327" s="1040"/>
      <c r="AV327" s="1040"/>
      <c r="AW327" s="1040"/>
      <c r="AX327" s="1040"/>
    </row>
    <row r="328" spans="1:53">
      <c r="A328" s="1041"/>
      <c r="B328" s="1040"/>
      <c r="C328" s="1040"/>
      <c r="D328" s="1040"/>
      <c r="E328" s="1040"/>
      <c r="F328" s="1040"/>
      <c r="G328" s="1040"/>
      <c r="H328" s="1040"/>
      <c r="I328" s="1040"/>
      <c r="J328" s="1040"/>
      <c r="K328" s="1040"/>
      <c r="L328" s="1040"/>
      <c r="M328" s="1040"/>
      <c r="N328" s="1040"/>
      <c r="O328" s="1040"/>
      <c r="P328" s="1040"/>
      <c r="Q328" s="1040"/>
      <c r="R328" s="1040"/>
      <c r="S328" s="1040"/>
      <c r="T328" s="1040"/>
      <c r="U328" s="1040"/>
      <c r="V328" s="1040"/>
      <c r="W328" s="1040"/>
      <c r="X328" s="1040"/>
      <c r="Y328" s="1040"/>
      <c r="Z328" s="1040"/>
      <c r="AA328" s="1040"/>
      <c r="AB328" s="1040"/>
      <c r="AC328" s="1040"/>
      <c r="AD328" s="1040"/>
      <c r="AE328" s="1040"/>
      <c r="AF328" s="1040"/>
      <c r="AG328" s="1040"/>
      <c r="AH328" s="1040"/>
      <c r="AI328" s="1040"/>
      <c r="AJ328" s="1039"/>
      <c r="AK328" s="1039"/>
      <c r="AL328" s="1039"/>
      <c r="AM328" s="1040"/>
      <c r="AN328" s="1040"/>
      <c r="AO328" s="1040"/>
      <c r="AP328" s="1040"/>
      <c r="AQ328" s="1040"/>
      <c r="AR328" s="1040"/>
      <c r="AS328" s="1040"/>
      <c r="AT328" s="1040"/>
      <c r="AU328" s="1040"/>
      <c r="AV328" s="1040"/>
      <c r="AW328" s="1040"/>
      <c r="AX328" s="1040"/>
    </row>
    <row r="329" spans="1:53">
      <c r="A329" s="1041"/>
      <c r="B329" s="1040"/>
      <c r="C329" s="1040"/>
      <c r="D329" s="1040"/>
      <c r="E329" s="1040"/>
      <c r="F329" s="1040"/>
      <c r="G329" s="1040"/>
      <c r="H329" s="1040"/>
      <c r="I329" s="1040"/>
      <c r="J329" s="1040"/>
      <c r="K329" s="1040"/>
      <c r="L329" s="1040"/>
      <c r="M329" s="1040"/>
      <c r="N329" s="1040"/>
      <c r="O329" s="1040"/>
      <c r="P329" s="1040"/>
      <c r="Q329" s="1040"/>
      <c r="R329" s="1040"/>
      <c r="S329" s="1040"/>
      <c r="T329" s="1040"/>
      <c r="U329" s="1040"/>
      <c r="V329" s="1040"/>
      <c r="W329" s="1040"/>
      <c r="X329" s="1040"/>
      <c r="Y329" s="1040"/>
      <c r="Z329" s="1040"/>
      <c r="AA329" s="1040"/>
      <c r="AB329" s="1040"/>
      <c r="AC329" s="1040"/>
      <c r="AD329" s="1040"/>
      <c r="AE329" s="1040"/>
      <c r="AF329" s="1040"/>
      <c r="AG329" s="1040"/>
      <c r="AH329" s="1040"/>
      <c r="AI329" s="1040"/>
      <c r="AJ329" s="1039"/>
      <c r="AK329" s="1039"/>
      <c r="AL329" s="1039"/>
      <c r="AM329" s="1040"/>
      <c r="AN329" s="1040"/>
      <c r="AO329" s="1040"/>
      <c r="AP329" s="1040"/>
      <c r="AQ329" s="1040"/>
      <c r="AR329" s="1040"/>
      <c r="AS329" s="1040"/>
      <c r="AT329" s="1040"/>
      <c r="AU329" s="1040"/>
      <c r="AV329" s="1040"/>
      <c r="AW329" s="1040"/>
      <c r="AX329" s="1040"/>
    </row>
    <row r="330" spans="1:53">
      <c r="A330" s="1041"/>
      <c r="B330" s="1040"/>
      <c r="C330" s="1040"/>
      <c r="D330" s="1040"/>
      <c r="E330" s="1040"/>
      <c r="F330" s="1040"/>
      <c r="G330" s="1040"/>
      <c r="H330" s="1040"/>
      <c r="I330" s="1040"/>
      <c r="J330" s="1040"/>
      <c r="K330" s="1040"/>
      <c r="L330" s="1040"/>
      <c r="M330" s="1040"/>
      <c r="N330" s="1040"/>
      <c r="O330" s="1040"/>
      <c r="P330" s="1040"/>
      <c r="Q330" s="1040"/>
      <c r="R330" s="1040"/>
      <c r="S330" s="1040"/>
      <c r="T330" s="1040"/>
      <c r="U330" s="1040"/>
      <c r="V330" s="1040"/>
      <c r="W330" s="1040"/>
      <c r="X330" s="1040"/>
      <c r="Y330" s="1040"/>
      <c r="Z330" s="1040"/>
      <c r="AA330" s="1040"/>
      <c r="AB330" s="1040"/>
      <c r="AC330" s="1040"/>
      <c r="AD330" s="1040"/>
      <c r="AE330" s="1040"/>
      <c r="AF330" s="1040"/>
      <c r="AG330" s="1040"/>
      <c r="AH330" s="1040"/>
      <c r="AI330" s="1040"/>
      <c r="AJ330" s="1039"/>
      <c r="AK330" s="1039"/>
      <c r="AL330" s="1039"/>
      <c r="AM330" s="1040"/>
      <c r="AN330" s="1040"/>
      <c r="AO330" s="1040"/>
      <c r="AP330" s="1040"/>
      <c r="AQ330" s="1040"/>
      <c r="AR330" s="1040"/>
      <c r="AS330" s="1040"/>
      <c r="AT330" s="1040"/>
      <c r="AU330" s="1040"/>
      <c r="AV330" s="1040"/>
      <c r="AW330" s="1040"/>
      <c r="AX330" s="1040"/>
    </row>
    <row r="331" spans="1:53">
      <c r="A331" s="1041"/>
      <c r="B331" s="1040"/>
      <c r="C331" s="1040"/>
      <c r="D331" s="1040"/>
      <c r="E331" s="1040"/>
      <c r="F331" s="1040"/>
      <c r="G331" s="1040"/>
      <c r="H331" s="1040"/>
      <c r="I331" s="1040"/>
      <c r="J331" s="1040"/>
      <c r="K331" s="1040"/>
      <c r="L331" s="1040"/>
      <c r="M331" s="1040"/>
      <c r="N331" s="1040"/>
      <c r="O331" s="1040"/>
      <c r="P331" s="1040"/>
      <c r="Q331" s="1040"/>
      <c r="R331" s="1040"/>
      <c r="S331" s="1040"/>
      <c r="T331" s="1040"/>
      <c r="U331" s="1040"/>
      <c r="V331" s="1040"/>
      <c r="W331" s="1040"/>
      <c r="X331" s="1040"/>
      <c r="Y331" s="1040"/>
      <c r="Z331" s="1040"/>
      <c r="AA331" s="1040"/>
      <c r="AB331" s="1040"/>
      <c r="AC331" s="1040"/>
      <c r="AD331" s="1040"/>
      <c r="AE331" s="1040"/>
      <c r="AF331" s="1040"/>
      <c r="AG331" s="1040"/>
      <c r="AH331" s="1040"/>
      <c r="AI331" s="1040"/>
      <c r="AJ331" s="1039"/>
      <c r="AK331" s="1039"/>
      <c r="AL331" s="1039"/>
      <c r="AM331" s="1040"/>
      <c r="AN331" s="1040"/>
      <c r="AO331" s="1040"/>
      <c r="AP331" s="1040"/>
      <c r="AQ331" s="1040"/>
      <c r="AR331" s="1040"/>
      <c r="AS331" s="1040"/>
      <c r="AT331" s="1040"/>
      <c r="AU331" s="1040"/>
      <c r="AV331" s="1040"/>
      <c r="AW331" s="1040"/>
      <c r="AX331" s="1040"/>
    </row>
    <row r="332" spans="1:53">
      <c r="A332" s="1041"/>
      <c r="B332" s="1040"/>
      <c r="C332" s="1040"/>
      <c r="D332" s="1040"/>
      <c r="E332" s="1040"/>
      <c r="F332" s="1040"/>
      <c r="G332" s="1040"/>
      <c r="H332" s="1040"/>
      <c r="I332" s="1040"/>
      <c r="J332" s="1040"/>
      <c r="K332" s="1040"/>
      <c r="L332" s="1040"/>
      <c r="M332" s="1040"/>
      <c r="N332" s="1040"/>
      <c r="O332" s="1040"/>
      <c r="P332" s="1040"/>
      <c r="Q332" s="1040"/>
      <c r="R332" s="1040"/>
      <c r="S332" s="1040"/>
      <c r="T332" s="1040"/>
      <c r="U332" s="1040"/>
      <c r="V332" s="1040"/>
      <c r="W332" s="1040"/>
      <c r="X332" s="1040"/>
      <c r="Y332" s="1040"/>
      <c r="Z332" s="1040"/>
      <c r="AA332" s="1040"/>
      <c r="AB332" s="1040"/>
      <c r="AC332" s="1040"/>
      <c r="AD332" s="1040"/>
      <c r="AE332" s="1040"/>
      <c r="AF332" s="1040"/>
      <c r="AG332" s="1040"/>
      <c r="AH332" s="1040"/>
      <c r="AI332" s="1040"/>
      <c r="AJ332" s="1039"/>
      <c r="AK332" s="1039"/>
      <c r="AL332" s="1039"/>
      <c r="AM332" s="1040"/>
      <c r="AN332" s="1040"/>
      <c r="AO332" s="1040"/>
      <c r="AP332" s="1040"/>
      <c r="AQ332" s="1040"/>
      <c r="AR332" s="1040"/>
      <c r="AS332" s="1040"/>
      <c r="AT332" s="1040"/>
      <c r="AU332" s="1040"/>
      <c r="AV332" s="1040"/>
      <c r="AW332" s="1040"/>
      <c r="AX332" s="1040"/>
    </row>
    <row r="333" spans="1:53">
      <c r="A333" s="1041"/>
      <c r="B333" s="1040"/>
      <c r="C333" s="1040"/>
      <c r="D333" s="1040"/>
      <c r="E333" s="1040"/>
      <c r="F333" s="1040"/>
      <c r="G333" s="1040"/>
      <c r="H333" s="1040"/>
      <c r="I333" s="1040"/>
      <c r="J333" s="1040"/>
      <c r="K333" s="1040"/>
      <c r="L333" s="1040"/>
      <c r="M333" s="1040"/>
      <c r="N333" s="1040"/>
      <c r="O333" s="1040"/>
      <c r="P333" s="1040"/>
      <c r="Q333" s="1040"/>
      <c r="R333" s="1040"/>
      <c r="S333" s="1040"/>
      <c r="T333" s="1040"/>
      <c r="U333" s="1040"/>
      <c r="V333" s="1040"/>
      <c r="W333" s="1040"/>
      <c r="X333" s="1040"/>
      <c r="Y333" s="1040"/>
      <c r="Z333" s="1040"/>
      <c r="AA333" s="1040"/>
      <c r="AB333" s="1040"/>
      <c r="AC333" s="1040"/>
      <c r="AD333" s="1040"/>
      <c r="AE333" s="1040"/>
      <c r="AF333" s="1040"/>
      <c r="AG333" s="1040"/>
      <c r="AH333" s="1040"/>
      <c r="AI333" s="1040"/>
      <c r="AJ333" s="1039"/>
      <c r="AK333" s="1039"/>
      <c r="AL333" s="1039"/>
      <c r="AM333" s="1040"/>
      <c r="AN333" s="1040"/>
      <c r="AO333" s="1040"/>
      <c r="AP333" s="1040"/>
      <c r="AQ333" s="1040"/>
      <c r="AR333" s="1040"/>
      <c r="AS333" s="1040"/>
      <c r="AT333" s="1040"/>
      <c r="AU333" s="1040"/>
      <c r="AV333" s="1040"/>
      <c r="AW333" s="1040"/>
      <c r="AX333" s="1040"/>
    </row>
    <row r="334" spans="1:53">
      <c r="A334" s="1041"/>
      <c r="B334" s="1040"/>
      <c r="C334" s="1040"/>
      <c r="D334" s="1040"/>
      <c r="E334" s="1040"/>
      <c r="F334" s="1040"/>
      <c r="G334" s="1040"/>
      <c r="H334" s="1040"/>
      <c r="I334" s="1040"/>
      <c r="J334" s="1040"/>
      <c r="K334" s="1040"/>
      <c r="L334" s="1040"/>
      <c r="M334" s="1040"/>
      <c r="N334" s="1040"/>
      <c r="O334" s="1040"/>
      <c r="P334" s="1040"/>
      <c r="Q334" s="1040"/>
      <c r="R334" s="1040"/>
      <c r="S334" s="1040"/>
      <c r="T334" s="1040"/>
      <c r="U334" s="1040"/>
      <c r="V334" s="1040"/>
      <c r="W334" s="1040"/>
      <c r="X334" s="1040"/>
      <c r="Y334" s="1040"/>
      <c r="Z334" s="1040"/>
      <c r="AA334" s="1040"/>
      <c r="AB334" s="1040"/>
      <c r="AC334" s="1040"/>
      <c r="AD334" s="1040"/>
      <c r="AE334" s="1040"/>
      <c r="AF334" s="1040"/>
      <c r="AG334" s="1040"/>
      <c r="AH334" s="1040"/>
      <c r="AI334" s="1040"/>
      <c r="AJ334" s="1039"/>
      <c r="AK334" s="1039"/>
      <c r="AL334" s="1039"/>
      <c r="AM334" s="1040"/>
      <c r="AN334" s="1040"/>
      <c r="AO334" s="1040"/>
      <c r="AP334" s="1040"/>
      <c r="AQ334" s="1040"/>
      <c r="AR334" s="1040"/>
      <c r="AS334" s="1040"/>
      <c r="AT334" s="1040"/>
      <c r="AU334" s="1040"/>
      <c r="AV334" s="1040"/>
      <c r="AW334" s="1040"/>
      <c r="AX334" s="1040"/>
    </row>
    <row r="335" spans="1:53">
      <c r="A335" s="1041"/>
      <c r="B335" s="1040"/>
      <c r="C335" s="1040"/>
      <c r="D335" s="1040"/>
      <c r="E335" s="1040"/>
      <c r="F335" s="1040"/>
      <c r="G335" s="1040"/>
      <c r="H335" s="1040"/>
      <c r="I335" s="1040"/>
      <c r="J335" s="1040"/>
      <c r="K335" s="1040"/>
      <c r="L335" s="1040"/>
      <c r="M335" s="1040"/>
      <c r="N335" s="1040"/>
      <c r="O335" s="1040"/>
      <c r="P335" s="1040"/>
      <c r="Q335" s="1040"/>
      <c r="R335" s="1040"/>
      <c r="S335" s="1040"/>
      <c r="T335" s="1040"/>
      <c r="U335" s="1040"/>
      <c r="V335" s="1040"/>
      <c r="W335" s="1040"/>
      <c r="X335" s="1040"/>
      <c r="Y335" s="1040"/>
      <c r="Z335" s="1040"/>
      <c r="AA335" s="1040"/>
      <c r="AB335" s="1040"/>
      <c r="AC335" s="1040"/>
      <c r="AD335" s="1040"/>
      <c r="AE335" s="1040"/>
      <c r="AF335" s="1040"/>
      <c r="AG335" s="1040"/>
      <c r="AH335" s="1040"/>
      <c r="AI335" s="1040"/>
      <c r="AJ335" s="1039"/>
      <c r="AK335" s="1039"/>
      <c r="AL335" s="1039"/>
      <c r="AM335" s="1040"/>
      <c r="AN335" s="1040"/>
      <c r="AO335" s="1040"/>
      <c r="AP335" s="1040"/>
      <c r="AQ335" s="1040"/>
      <c r="AR335" s="1040"/>
      <c r="AS335" s="1040"/>
      <c r="AT335" s="1040"/>
      <c r="AU335" s="1040"/>
      <c r="AV335" s="1040"/>
      <c r="AW335" s="1040"/>
      <c r="AX335" s="1040"/>
    </row>
    <row r="336" spans="1:53">
      <c r="A336" s="1041"/>
      <c r="B336" s="1040"/>
      <c r="C336" s="1040"/>
      <c r="D336" s="1040"/>
      <c r="E336" s="1040"/>
      <c r="F336" s="1040"/>
      <c r="G336" s="1040"/>
      <c r="H336" s="1040"/>
      <c r="I336" s="1040"/>
      <c r="J336" s="1040"/>
      <c r="K336" s="1040"/>
      <c r="L336" s="1040"/>
      <c r="M336" s="1040"/>
      <c r="N336" s="1040"/>
      <c r="O336" s="1040"/>
      <c r="P336" s="1040"/>
      <c r="Q336" s="1040"/>
      <c r="R336" s="1040"/>
      <c r="S336" s="1040"/>
      <c r="T336" s="1040"/>
      <c r="U336" s="1040"/>
      <c r="V336" s="1040"/>
      <c r="W336" s="1040"/>
      <c r="X336" s="1040"/>
      <c r="Y336" s="1040"/>
      <c r="Z336" s="1040"/>
      <c r="AA336" s="1040"/>
      <c r="AB336" s="1040"/>
      <c r="AC336" s="1040"/>
      <c r="AD336" s="1040"/>
      <c r="AE336" s="1040"/>
      <c r="AF336" s="1040"/>
      <c r="AG336" s="1040"/>
      <c r="AH336" s="1040"/>
      <c r="AI336" s="1040"/>
      <c r="AJ336" s="1039"/>
      <c r="AK336" s="1039"/>
      <c r="AL336" s="1039"/>
      <c r="AM336" s="1040"/>
      <c r="AN336" s="1040"/>
      <c r="AO336" s="1040"/>
      <c r="AP336" s="1040"/>
      <c r="AQ336" s="1040"/>
      <c r="AR336" s="1040"/>
      <c r="AS336" s="1040"/>
      <c r="AT336" s="1040"/>
      <c r="AU336" s="1040"/>
      <c r="AV336" s="1040"/>
      <c r="AW336" s="1040"/>
      <c r="AX336" s="1040"/>
    </row>
    <row r="337" spans="1:50">
      <c r="A337" s="1041"/>
      <c r="B337" s="1040"/>
      <c r="C337" s="1040"/>
      <c r="D337" s="1040"/>
      <c r="E337" s="1040"/>
      <c r="F337" s="1040"/>
      <c r="G337" s="1040"/>
      <c r="H337" s="1040"/>
      <c r="I337" s="1040"/>
      <c r="J337" s="1040"/>
      <c r="K337" s="1040"/>
      <c r="L337" s="1040"/>
      <c r="M337" s="1040"/>
      <c r="N337" s="1040"/>
      <c r="O337" s="1040"/>
      <c r="P337" s="1040"/>
      <c r="Q337" s="1040"/>
      <c r="R337" s="1040"/>
      <c r="S337" s="1040"/>
      <c r="T337" s="1040"/>
      <c r="U337" s="1040"/>
      <c r="V337" s="1040"/>
      <c r="W337" s="1040"/>
      <c r="X337" s="1040"/>
      <c r="Y337" s="1040"/>
      <c r="Z337" s="1040"/>
      <c r="AA337" s="1040"/>
      <c r="AB337" s="1040"/>
      <c r="AC337" s="1040"/>
      <c r="AD337" s="1040"/>
      <c r="AE337" s="1040"/>
      <c r="AF337" s="1040"/>
      <c r="AG337" s="1040"/>
      <c r="AH337" s="1040"/>
      <c r="AI337" s="1040"/>
      <c r="AJ337" s="1039"/>
      <c r="AK337" s="1039"/>
      <c r="AL337" s="1039"/>
      <c r="AM337" s="1040"/>
      <c r="AN337" s="1040"/>
      <c r="AO337" s="1040"/>
      <c r="AP337" s="1040"/>
      <c r="AQ337" s="1040"/>
      <c r="AR337" s="1040"/>
      <c r="AS337" s="1040"/>
      <c r="AT337" s="1040"/>
      <c r="AU337" s="1040"/>
      <c r="AV337" s="1040"/>
      <c r="AW337" s="1040"/>
      <c r="AX337" s="1040"/>
    </row>
    <row r="338" spans="1:50">
      <c r="A338" s="1041"/>
      <c r="B338" s="1040"/>
      <c r="C338" s="1040"/>
      <c r="D338" s="1040"/>
      <c r="E338" s="1040"/>
      <c r="F338" s="1040"/>
      <c r="G338" s="1040"/>
      <c r="H338" s="1040"/>
      <c r="I338" s="1040"/>
      <c r="J338" s="1040"/>
      <c r="K338" s="1040"/>
      <c r="L338" s="1040"/>
      <c r="M338" s="1040"/>
      <c r="N338" s="1040"/>
      <c r="O338" s="1040"/>
      <c r="P338" s="1040"/>
      <c r="Q338" s="1040"/>
      <c r="R338" s="1040"/>
      <c r="S338" s="1040"/>
      <c r="T338" s="1040"/>
      <c r="U338" s="1040"/>
      <c r="V338" s="1040"/>
      <c r="W338" s="1040"/>
      <c r="X338" s="1040"/>
      <c r="Y338" s="1040"/>
      <c r="Z338" s="1040"/>
      <c r="AA338" s="1040"/>
      <c r="AB338" s="1040"/>
      <c r="AC338" s="1040"/>
      <c r="AD338" s="1040"/>
      <c r="AE338" s="1040"/>
      <c r="AF338" s="1040"/>
      <c r="AG338" s="1040"/>
      <c r="AH338" s="1040"/>
      <c r="AI338" s="1040"/>
      <c r="AJ338" s="1039"/>
      <c r="AK338" s="1039"/>
      <c r="AL338" s="1039"/>
      <c r="AM338" s="1040"/>
      <c r="AN338" s="1040"/>
      <c r="AO338" s="1040"/>
      <c r="AP338" s="1040"/>
      <c r="AQ338" s="1040"/>
      <c r="AR338" s="1040"/>
      <c r="AS338" s="1040"/>
      <c r="AT338" s="1040"/>
      <c r="AU338" s="1040"/>
      <c r="AV338" s="1040"/>
      <c r="AW338" s="1040"/>
      <c r="AX338" s="1040"/>
    </row>
    <row r="339" spans="1:50">
      <c r="A339" s="1041"/>
      <c r="B339" s="1040"/>
      <c r="C339" s="1040"/>
      <c r="D339" s="1040"/>
      <c r="E339" s="1040"/>
      <c r="F339" s="1040"/>
      <c r="G339" s="1040"/>
      <c r="H339" s="1040"/>
      <c r="I339" s="1040"/>
      <c r="J339" s="1040"/>
      <c r="K339" s="1040"/>
      <c r="L339" s="1040"/>
      <c r="M339" s="1040"/>
      <c r="N339" s="1040"/>
      <c r="O339" s="1040"/>
      <c r="P339" s="1040"/>
      <c r="Q339" s="1040"/>
      <c r="R339" s="1040"/>
      <c r="S339" s="1040"/>
      <c r="T339" s="1040"/>
      <c r="U339" s="1040"/>
      <c r="V339" s="1040"/>
      <c r="W339" s="1040"/>
      <c r="X339" s="1040"/>
      <c r="Y339" s="1040"/>
      <c r="Z339" s="1040"/>
      <c r="AA339" s="1040"/>
      <c r="AB339" s="1040"/>
      <c r="AC339" s="1040"/>
      <c r="AD339" s="1040"/>
      <c r="AE339" s="1040"/>
      <c r="AF339" s="1040"/>
      <c r="AG339" s="1040"/>
      <c r="AH339" s="1040"/>
      <c r="AI339" s="1040"/>
      <c r="AJ339" s="1039"/>
      <c r="AK339" s="1039"/>
      <c r="AL339" s="1039"/>
      <c r="AM339" s="1040"/>
      <c r="AN339" s="1040"/>
      <c r="AO339" s="1040"/>
      <c r="AP339" s="1040"/>
      <c r="AQ339" s="1040"/>
      <c r="AR339" s="1040"/>
      <c r="AS339" s="1040"/>
      <c r="AT339" s="1040"/>
      <c r="AU339" s="1040"/>
      <c r="AV339" s="1040"/>
      <c r="AW339" s="1040"/>
      <c r="AX339" s="1040"/>
    </row>
    <row r="340" spans="1:50">
      <c r="A340" s="1041"/>
      <c r="B340" s="1040"/>
      <c r="C340" s="1040"/>
      <c r="D340" s="1040"/>
      <c r="E340" s="1040"/>
      <c r="F340" s="1040"/>
      <c r="G340" s="1040"/>
      <c r="H340" s="1040"/>
      <c r="I340" s="1040"/>
      <c r="J340" s="1040"/>
      <c r="K340" s="1040"/>
      <c r="L340" s="1040"/>
      <c r="M340" s="1040"/>
      <c r="N340" s="1040"/>
      <c r="O340" s="1040"/>
      <c r="P340" s="1040"/>
      <c r="Q340" s="1040"/>
      <c r="R340" s="1040"/>
      <c r="S340" s="1040"/>
      <c r="T340" s="1040"/>
      <c r="U340" s="1040"/>
      <c r="V340" s="1040"/>
      <c r="W340" s="1040"/>
      <c r="X340" s="1040"/>
      <c r="Y340" s="1040"/>
      <c r="Z340" s="1040"/>
      <c r="AA340" s="1040"/>
      <c r="AB340" s="1040"/>
      <c r="AC340" s="1040"/>
      <c r="AD340" s="1040"/>
      <c r="AE340" s="1040"/>
      <c r="AF340" s="1040"/>
      <c r="AG340" s="1040"/>
      <c r="AH340" s="1040"/>
      <c r="AI340" s="1040"/>
      <c r="AJ340" s="1039"/>
      <c r="AK340" s="1039"/>
      <c r="AL340" s="1039"/>
      <c r="AM340" s="1040"/>
      <c r="AN340" s="1040"/>
      <c r="AO340" s="1040"/>
      <c r="AP340" s="1040"/>
      <c r="AQ340" s="1040"/>
      <c r="AR340" s="1040"/>
      <c r="AS340" s="1040"/>
      <c r="AT340" s="1040"/>
      <c r="AU340" s="1040"/>
      <c r="AV340" s="1040"/>
      <c r="AW340" s="1040"/>
      <c r="AX340" s="1040"/>
    </row>
    <row r="341" spans="1:50">
      <c r="A341" s="1041"/>
      <c r="B341" s="1040"/>
      <c r="C341" s="1040"/>
      <c r="D341" s="1040"/>
      <c r="E341" s="1040"/>
      <c r="F341" s="1040"/>
      <c r="G341" s="1040"/>
      <c r="H341" s="1040"/>
      <c r="I341" s="1040"/>
      <c r="J341" s="1040"/>
      <c r="K341" s="1040"/>
      <c r="L341" s="1040"/>
      <c r="M341" s="1040"/>
      <c r="N341" s="1040"/>
      <c r="O341" s="1040"/>
      <c r="P341" s="1040"/>
      <c r="Q341" s="1040"/>
      <c r="R341" s="1040"/>
      <c r="S341" s="1040"/>
      <c r="T341" s="1040"/>
      <c r="U341" s="1040"/>
      <c r="V341" s="1040"/>
      <c r="W341" s="1040"/>
      <c r="X341" s="1040"/>
      <c r="Y341" s="1040"/>
      <c r="Z341" s="1040"/>
      <c r="AA341" s="1040"/>
      <c r="AB341" s="1040"/>
      <c r="AC341" s="1040"/>
      <c r="AD341" s="1040"/>
      <c r="AE341" s="1040"/>
      <c r="AF341" s="1040"/>
      <c r="AG341" s="1040"/>
      <c r="AH341" s="1040"/>
      <c r="AI341" s="1040"/>
      <c r="AJ341" s="1039"/>
      <c r="AK341" s="1039"/>
      <c r="AL341" s="1039"/>
      <c r="AM341" s="1040"/>
      <c r="AN341" s="1040"/>
      <c r="AO341" s="1040"/>
      <c r="AP341" s="1040"/>
      <c r="AQ341" s="1040"/>
      <c r="AR341" s="1040"/>
      <c r="AS341" s="1040"/>
      <c r="AT341" s="1040"/>
      <c r="AU341" s="1040"/>
      <c r="AV341" s="1040"/>
      <c r="AW341" s="1040"/>
      <c r="AX341" s="1040"/>
    </row>
    <row r="342" spans="1:50">
      <c r="A342" s="1041"/>
      <c r="B342" s="1040"/>
      <c r="C342" s="1040"/>
      <c r="D342" s="1040"/>
      <c r="E342" s="1040"/>
      <c r="F342" s="1040"/>
      <c r="G342" s="1040"/>
      <c r="H342" s="1040"/>
      <c r="I342" s="1040"/>
      <c r="J342" s="1040"/>
      <c r="K342" s="1040"/>
      <c r="L342" s="1040"/>
      <c r="M342" s="1040"/>
      <c r="N342" s="1040"/>
      <c r="O342" s="1040"/>
      <c r="P342" s="1040"/>
      <c r="Q342" s="1040"/>
      <c r="R342" s="1040"/>
      <c r="S342" s="1040"/>
      <c r="T342" s="1040"/>
      <c r="U342" s="1040"/>
      <c r="V342" s="1040"/>
      <c r="W342" s="1040"/>
      <c r="X342" s="1040"/>
      <c r="Y342" s="1040"/>
      <c r="Z342" s="1040"/>
      <c r="AA342" s="1040"/>
      <c r="AB342" s="1040"/>
      <c r="AC342" s="1040"/>
      <c r="AD342" s="1040"/>
      <c r="AE342" s="1040"/>
      <c r="AF342" s="1040"/>
      <c r="AG342" s="1040"/>
      <c r="AH342" s="1040"/>
      <c r="AI342" s="1040"/>
      <c r="AJ342" s="1039"/>
      <c r="AK342" s="1039"/>
      <c r="AL342" s="1039"/>
      <c r="AM342" s="1040"/>
      <c r="AN342" s="1040"/>
      <c r="AO342" s="1040"/>
      <c r="AP342" s="1040"/>
      <c r="AQ342" s="1040"/>
      <c r="AR342" s="1040"/>
      <c r="AS342" s="1040"/>
      <c r="AT342" s="1040"/>
      <c r="AU342" s="1040"/>
      <c r="AV342" s="1040"/>
      <c r="AW342" s="1040"/>
      <c r="AX342" s="1040"/>
    </row>
    <row r="343" spans="1:50">
      <c r="A343" s="1041"/>
      <c r="B343" s="1040"/>
      <c r="C343" s="1040"/>
      <c r="D343" s="1040"/>
      <c r="E343" s="1040"/>
      <c r="F343" s="1040"/>
      <c r="G343" s="1040"/>
      <c r="H343" s="1040"/>
      <c r="I343" s="1040"/>
      <c r="J343" s="1040"/>
      <c r="K343" s="1040"/>
      <c r="L343" s="1040"/>
      <c r="M343" s="1040"/>
      <c r="N343" s="1040"/>
      <c r="O343" s="1040"/>
      <c r="P343" s="1040"/>
      <c r="Q343" s="1040"/>
      <c r="R343" s="1040"/>
      <c r="S343" s="1040"/>
      <c r="T343" s="1040"/>
      <c r="U343" s="1040"/>
      <c r="V343" s="1040"/>
      <c r="W343" s="1040"/>
      <c r="X343" s="1040"/>
      <c r="Y343" s="1040"/>
      <c r="Z343" s="1040"/>
      <c r="AA343" s="1040"/>
      <c r="AB343" s="1040"/>
      <c r="AC343" s="1040"/>
      <c r="AD343" s="1040"/>
      <c r="AE343" s="1040"/>
      <c r="AF343" s="1040"/>
      <c r="AG343" s="1040"/>
      <c r="AH343" s="1040"/>
      <c r="AI343" s="1040"/>
      <c r="AJ343" s="1039"/>
      <c r="AK343" s="1039"/>
      <c r="AL343" s="1039"/>
      <c r="AM343" s="1040"/>
      <c r="AN343" s="1040"/>
      <c r="AO343" s="1040"/>
      <c r="AP343" s="1040"/>
      <c r="AQ343" s="1040"/>
      <c r="AR343" s="1040"/>
      <c r="AS343" s="1040"/>
      <c r="AT343" s="1040"/>
      <c r="AU343" s="1040"/>
      <c r="AV343" s="1040"/>
      <c r="AW343" s="1040"/>
      <c r="AX343" s="1040"/>
    </row>
    <row r="344" spans="1:50">
      <c r="A344" s="1041"/>
      <c r="B344" s="1040"/>
      <c r="C344" s="1040"/>
      <c r="D344" s="1040"/>
      <c r="E344" s="1040"/>
      <c r="F344" s="1040"/>
      <c r="G344" s="1040"/>
      <c r="H344" s="1040"/>
      <c r="I344" s="1040"/>
      <c r="J344" s="1040"/>
      <c r="K344" s="1040"/>
      <c r="L344" s="1040"/>
      <c r="M344" s="1040"/>
      <c r="N344" s="1040"/>
      <c r="O344" s="1040"/>
      <c r="P344" s="1040"/>
      <c r="Q344" s="1040"/>
      <c r="R344" s="1040"/>
      <c r="S344" s="1040"/>
      <c r="T344" s="1040"/>
      <c r="U344" s="1040"/>
      <c r="V344" s="1040"/>
      <c r="W344" s="1040"/>
      <c r="X344" s="1040"/>
      <c r="Y344" s="1040"/>
      <c r="Z344" s="1040"/>
      <c r="AA344" s="1040"/>
      <c r="AB344" s="1040"/>
      <c r="AC344" s="1040"/>
      <c r="AD344" s="1040"/>
      <c r="AE344" s="1040"/>
      <c r="AF344" s="1040"/>
      <c r="AG344" s="1040"/>
      <c r="AH344" s="1040"/>
      <c r="AI344" s="1040"/>
      <c r="AJ344" s="1039"/>
      <c r="AK344" s="1039"/>
      <c r="AL344" s="1039"/>
      <c r="AM344" s="1040"/>
      <c r="AN344" s="1040"/>
      <c r="AO344" s="1040"/>
      <c r="AP344" s="1040"/>
      <c r="AQ344" s="1040"/>
      <c r="AR344" s="1040"/>
      <c r="AS344" s="1040"/>
      <c r="AT344" s="1040"/>
      <c r="AU344" s="1040"/>
      <c r="AV344" s="1040"/>
      <c r="AW344" s="1040"/>
      <c r="AX344" s="1040"/>
    </row>
    <row r="345" spans="1:50">
      <c r="A345" s="1041"/>
      <c r="B345" s="1040"/>
      <c r="C345" s="1040"/>
      <c r="D345" s="1040"/>
      <c r="E345" s="1040"/>
      <c r="F345" s="1040"/>
      <c r="G345" s="1040"/>
      <c r="H345" s="1040"/>
      <c r="I345" s="1040"/>
      <c r="J345" s="1040"/>
      <c r="K345" s="1040"/>
      <c r="L345" s="1040"/>
      <c r="M345" s="1040"/>
      <c r="N345" s="1040"/>
      <c r="O345" s="1040"/>
      <c r="P345" s="1040"/>
      <c r="Q345" s="1040"/>
      <c r="R345" s="1040"/>
      <c r="S345" s="1040"/>
      <c r="T345" s="1040"/>
      <c r="U345" s="1040"/>
      <c r="V345" s="1040"/>
      <c r="W345" s="1040"/>
      <c r="X345" s="1040"/>
      <c r="Y345" s="1040"/>
      <c r="Z345" s="1040"/>
      <c r="AA345" s="1040"/>
      <c r="AB345" s="1040"/>
      <c r="AC345" s="1040"/>
      <c r="AD345" s="1040"/>
      <c r="AE345" s="1040"/>
      <c r="AF345" s="1040"/>
      <c r="AG345" s="1040"/>
      <c r="AH345" s="1040"/>
      <c r="AI345" s="1040"/>
      <c r="AJ345" s="1039"/>
      <c r="AK345" s="1039"/>
      <c r="AL345" s="1039"/>
      <c r="AM345" s="1040"/>
      <c r="AN345" s="1040"/>
      <c r="AO345" s="1040"/>
      <c r="AP345" s="1040"/>
      <c r="AQ345" s="1040"/>
      <c r="AR345" s="1040"/>
      <c r="AS345" s="1040"/>
      <c r="AT345" s="1040"/>
      <c r="AU345" s="1040"/>
      <c r="AV345" s="1040"/>
      <c r="AW345" s="1040"/>
      <c r="AX345" s="1040"/>
    </row>
    <row r="346" spans="1:50">
      <c r="A346" s="1041"/>
      <c r="B346" s="1040"/>
      <c r="C346" s="1040"/>
      <c r="D346" s="1040"/>
      <c r="E346" s="1040"/>
      <c r="F346" s="1040"/>
      <c r="G346" s="1040"/>
      <c r="H346" s="1040"/>
      <c r="I346" s="1040"/>
      <c r="J346" s="1040"/>
      <c r="K346" s="1040"/>
      <c r="L346" s="1040"/>
      <c r="M346" s="1040"/>
      <c r="N346" s="1040"/>
      <c r="O346" s="1040"/>
      <c r="P346" s="1040"/>
      <c r="Q346" s="1040"/>
      <c r="R346" s="1040"/>
      <c r="S346" s="1040"/>
      <c r="T346" s="1040"/>
      <c r="U346" s="1040"/>
      <c r="V346" s="1040"/>
      <c r="W346" s="1040"/>
      <c r="X346" s="1040"/>
      <c r="Y346" s="1040"/>
      <c r="Z346" s="1040"/>
      <c r="AA346" s="1040"/>
      <c r="AB346" s="1040"/>
      <c r="AC346" s="1040"/>
      <c r="AD346" s="1040"/>
      <c r="AE346" s="1040"/>
      <c r="AF346" s="1040"/>
      <c r="AG346" s="1040"/>
      <c r="AH346" s="1040"/>
      <c r="AI346" s="1040"/>
      <c r="AJ346" s="1039"/>
      <c r="AK346" s="1039"/>
      <c r="AL346" s="1039"/>
      <c r="AM346" s="1040"/>
      <c r="AN346" s="1040"/>
      <c r="AO346" s="1040"/>
      <c r="AP346" s="1040"/>
      <c r="AQ346" s="1040"/>
      <c r="AR346" s="1040"/>
      <c r="AS346" s="1040"/>
      <c r="AT346" s="1040"/>
      <c r="AU346" s="1040"/>
      <c r="AV346" s="1040"/>
      <c r="AW346" s="1040"/>
      <c r="AX346" s="1040"/>
    </row>
    <row r="347" spans="1:50">
      <c r="A347" s="1041"/>
      <c r="B347" s="1040"/>
      <c r="C347" s="1040"/>
      <c r="D347" s="1040"/>
      <c r="E347" s="1040"/>
      <c r="F347" s="1040"/>
      <c r="G347" s="1040"/>
      <c r="H347" s="1040"/>
      <c r="I347" s="1040"/>
      <c r="J347" s="1040"/>
      <c r="K347" s="1040"/>
      <c r="L347" s="1040"/>
      <c r="M347" s="1040"/>
      <c r="N347" s="1040"/>
      <c r="O347" s="1040"/>
      <c r="P347" s="1040"/>
      <c r="Q347" s="1040"/>
      <c r="R347" s="1040"/>
      <c r="S347" s="1040"/>
      <c r="T347" s="1040"/>
      <c r="U347" s="1040"/>
      <c r="V347" s="1040"/>
      <c r="W347" s="1040"/>
      <c r="X347" s="1040"/>
      <c r="Y347" s="1040"/>
      <c r="Z347" s="1040"/>
      <c r="AA347" s="1040"/>
      <c r="AB347" s="1040"/>
      <c r="AC347" s="1040"/>
      <c r="AD347" s="1040"/>
      <c r="AE347" s="1040"/>
      <c r="AF347" s="1040"/>
      <c r="AG347" s="1040"/>
      <c r="AH347" s="1040"/>
      <c r="AI347" s="1040"/>
      <c r="AJ347" s="1039"/>
      <c r="AK347" s="1039"/>
      <c r="AL347" s="1039"/>
      <c r="AM347" s="1040"/>
      <c r="AN347" s="1040"/>
      <c r="AO347" s="1040"/>
      <c r="AP347" s="1040"/>
      <c r="AQ347" s="1040"/>
      <c r="AR347" s="1040"/>
      <c r="AS347" s="1040"/>
      <c r="AT347" s="1040"/>
      <c r="AU347" s="1040"/>
      <c r="AV347" s="1040"/>
      <c r="AW347" s="1040"/>
      <c r="AX347" s="1040"/>
    </row>
    <row r="348" spans="1:50">
      <c r="A348" s="1041"/>
      <c r="B348" s="1040"/>
      <c r="C348" s="1040"/>
      <c r="D348" s="1040"/>
      <c r="E348" s="1040"/>
      <c r="F348" s="1040"/>
      <c r="G348" s="1040"/>
      <c r="H348" s="1040"/>
      <c r="I348" s="1040"/>
      <c r="J348" s="1040"/>
      <c r="K348" s="1040"/>
      <c r="L348" s="1040"/>
      <c r="M348" s="1040"/>
      <c r="N348" s="1040"/>
      <c r="O348" s="1040"/>
      <c r="P348" s="1040"/>
      <c r="Q348" s="1040"/>
      <c r="R348" s="1040"/>
      <c r="S348" s="1040"/>
      <c r="T348" s="1040"/>
      <c r="U348" s="1040"/>
      <c r="V348" s="1040"/>
      <c r="W348" s="1040"/>
      <c r="X348" s="1040"/>
      <c r="Y348" s="1040"/>
      <c r="Z348" s="1040"/>
      <c r="AA348" s="1040"/>
      <c r="AB348" s="1040"/>
      <c r="AC348" s="1040"/>
      <c r="AD348" s="1040"/>
      <c r="AE348" s="1040"/>
      <c r="AF348" s="1040"/>
      <c r="AG348" s="1040"/>
      <c r="AH348" s="1040"/>
      <c r="AI348" s="1040"/>
      <c r="AJ348" s="1039"/>
      <c r="AK348" s="1039"/>
      <c r="AL348" s="1039"/>
      <c r="AM348" s="1040"/>
      <c r="AN348" s="1040"/>
      <c r="AO348" s="1040"/>
      <c r="AP348" s="1040"/>
      <c r="AQ348" s="1040"/>
      <c r="AR348" s="1040"/>
      <c r="AS348" s="1040"/>
      <c r="AT348" s="1040"/>
      <c r="AU348" s="1040"/>
      <c r="AV348" s="1040"/>
      <c r="AW348" s="1040"/>
      <c r="AX348" s="1040"/>
    </row>
    <row r="349" spans="1:50">
      <c r="A349" s="1041"/>
      <c r="B349" s="1040"/>
      <c r="C349" s="1040"/>
      <c r="D349" s="1040"/>
      <c r="E349" s="1040"/>
      <c r="F349" s="1040"/>
      <c r="G349" s="1040"/>
      <c r="H349" s="1040"/>
      <c r="I349" s="1040"/>
      <c r="J349" s="1040"/>
      <c r="K349" s="1040"/>
      <c r="L349" s="1040"/>
      <c r="M349" s="1040"/>
      <c r="N349" s="1040"/>
      <c r="O349" s="1040"/>
      <c r="P349" s="1040"/>
      <c r="Q349" s="1040"/>
      <c r="R349" s="1040"/>
      <c r="S349" s="1040"/>
      <c r="T349" s="1040"/>
      <c r="U349" s="1040"/>
      <c r="V349" s="1040"/>
      <c r="W349" s="1040"/>
      <c r="X349" s="1040"/>
      <c r="Y349" s="1040"/>
      <c r="Z349" s="1040"/>
      <c r="AA349" s="1040"/>
      <c r="AB349" s="1040"/>
      <c r="AC349" s="1040"/>
      <c r="AD349" s="1040"/>
      <c r="AE349" s="1040"/>
      <c r="AF349" s="1040"/>
      <c r="AG349" s="1040"/>
      <c r="AH349" s="1040"/>
      <c r="AI349" s="1040"/>
      <c r="AJ349" s="1039"/>
      <c r="AK349" s="1039"/>
      <c r="AL349" s="1039"/>
      <c r="AM349" s="1040"/>
      <c r="AN349" s="1040"/>
      <c r="AO349" s="1040"/>
      <c r="AP349" s="1040"/>
      <c r="AQ349" s="1040"/>
      <c r="AR349" s="1040"/>
      <c r="AS349" s="1040"/>
      <c r="AT349" s="1040"/>
      <c r="AU349" s="1040"/>
      <c r="AV349" s="1040"/>
      <c r="AW349" s="1040"/>
      <c r="AX349" s="1040"/>
    </row>
    <row r="350" spans="1:50">
      <c r="A350" s="1041"/>
      <c r="B350" s="1040"/>
      <c r="C350" s="1040"/>
      <c r="D350" s="1040"/>
      <c r="E350" s="1040"/>
      <c r="F350" s="1040"/>
      <c r="G350" s="1040"/>
      <c r="H350" s="1040"/>
      <c r="I350" s="1040"/>
      <c r="J350" s="1040"/>
      <c r="K350" s="1040"/>
      <c r="L350" s="1040"/>
      <c r="M350" s="1040"/>
      <c r="N350" s="1040"/>
      <c r="O350" s="1040"/>
      <c r="P350" s="1040"/>
      <c r="Q350" s="1040"/>
      <c r="R350" s="1040"/>
      <c r="S350" s="1040"/>
      <c r="T350" s="1040"/>
      <c r="U350" s="1040"/>
      <c r="V350" s="1040"/>
      <c r="W350" s="1040"/>
      <c r="X350" s="1040"/>
      <c r="Y350" s="1040"/>
      <c r="Z350" s="1040"/>
      <c r="AA350" s="1040"/>
      <c r="AB350" s="1040"/>
      <c r="AC350" s="1040"/>
      <c r="AD350" s="1040"/>
      <c r="AE350" s="1040"/>
      <c r="AF350" s="1040"/>
      <c r="AG350" s="1040"/>
      <c r="AH350" s="1040"/>
      <c r="AI350" s="1040"/>
      <c r="AJ350" s="1039"/>
      <c r="AK350" s="1039"/>
      <c r="AL350" s="1039"/>
      <c r="AM350" s="1040"/>
      <c r="AN350" s="1040"/>
      <c r="AO350" s="1040"/>
      <c r="AP350" s="1040"/>
      <c r="AQ350" s="1040"/>
      <c r="AR350" s="1040"/>
      <c r="AS350" s="1040"/>
      <c r="AT350" s="1040"/>
      <c r="AU350" s="1040"/>
      <c r="AV350" s="1040"/>
      <c r="AW350" s="1040"/>
      <c r="AX350" s="1040"/>
    </row>
    <row r="351" spans="1:50">
      <c r="A351" s="1041"/>
      <c r="B351" s="1040"/>
      <c r="C351" s="1040"/>
      <c r="D351" s="1040"/>
      <c r="E351" s="1040"/>
      <c r="F351" s="1040"/>
      <c r="G351" s="1040"/>
      <c r="H351" s="1040"/>
      <c r="I351" s="1040"/>
      <c r="J351" s="1040"/>
      <c r="K351" s="1040"/>
      <c r="L351" s="1040"/>
      <c r="M351" s="1040"/>
      <c r="N351" s="1040"/>
      <c r="O351" s="1040"/>
      <c r="P351" s="1040"/>
      <c r="Q351" s="1040"/>
      <c r="R351" s="1040"/>
      <c r="S351" s="1040"/>
      <c r="T351" s="1040"/>
      <c r="U351" s="1040"/>
      <c r="V351" s="1040"/>
      <c r="W351" s="1040"/>
      <c r="X351" s="1040"/>
      <c r="Y351" s="1040"/>
      <c r="Z351" s="1040"/>
      <c r="AA351" s="1040"/>
      <c r="AB351" s="1040"/>
      <c r="AC351" s="1040"/>
      <c r="AD351" s="1040"/>
      <c r="AE351" s="1040"/>
      <c r="AF351" s="1040"/>
      <c r="AG351" s="1040"/>
      <c r="AH351" s="1040"/>
      <c r="AI351" s="1040"/>
      <c r="AJ351" s="1039"/>
      <c r="AK351" s="1039"/>
      <c r="AL351" s="1039"/>
      <c r="AM351" s="1040"/>
      <c r="AN351" s="1040"/>
      <c r="AO351" s="1040"/>
      <c r="AP351" s="1040"/>
      <c r="AQ351" s="1040"/>
      <c r="AR351" s="1040"/>
      <c r="AS351" s="1040"/>
      <c r="AT351" s="1040"/>
      <c r="AU351" s="1040"/>
      <c r="AV351" s="1040"/>
      <c r="AW351" s="1040"/>
      <c r="AX351" s="1040"/>
    </row>
    <row r="352" spans="1:50">
      <c r="A352" s="1041"/>
      <c r="B352" s="1040"/>
      <c r="C352" s="1040"/>
      <c r="D352" s="1040"/>
      <c r="E352" s="1040"/>
      <c r="F352" s="1040"/>
      <c r="G352" s="1040"/>
      <c r="H352" s="1040"/>
      <c r="I352" s="1040"/>
      <c r="J352" s="1040"/>
      <c r="K352" s="1040"/>
      <c r="L352" s="1040"/>
      <c r="M352" s="1040"/>
      <c r="N352" s="1040"/>
      <c r="O352" s="1040"/>
      <c r="P352" s="1040"/>
      <c r="Q352" s="1040"/>
      <c r="R352" s="1040"/>
      <c r="S352" s="1040"/>
      <c r="T352" s="1040"/>
      <c r="U352" s="1040"/>
      <c r="V352" s="1040"/>
      <c r="W352" s="1040"/>
      <c r="X352" s="1040"/>
      <c r="Y352" s="1040"/>
      <c r="Z352" s="1040"/>
      <c r="AA352" s="1040"/>
      <c r="AB352" s="1040"/>
      <c r="AC352" s="1040"/>
      <c r="AD352" s="1040"/>
      <c r="AE352" s="1040"/>
      <c r="AF352" s="1040"/>
      <c r="AG352" s="1040"/>
      <c r="AH352" s="1040"/>
      <c r="AI352" s="1040"/>
      <c r="AJ352" s="1039"/>
      <c r="AK352" s="1039"/>
      <c r="AL352" s="1039"/>
      <c r="AM352" s="1040"/>
      <c r="AN352" s="1040"/>
      <c r="AO352" s="1040"/>
      <c r="AP352" s="1040"/>
      <c r="AQ352" s="1040"/>
      <c r="AR352" s="1040"/>
      <c r="AS352" s="1040"/>
      <c r="AT352" s="1040"/>
      <c r="AU352" s="1040"/>
      <c r="AV352" s="1040"/>
      <c r="AW352" s="1040"/>
      <c r="AX352" s="1040"/>
    </row>
    <row r="353" spans="1:50">
      <c r="A353" s="1041"/>
      <c r="B353" s="1040"/>
      <c r="C353" s="1040"/>
      <c r="D353" s="1040"/>
      <c r="E353" s="1040"/>
      <c r="F353" s="1040"/>
      <c r="G353" s="1040"/>
      <c r="H353" s="1040"/>
      <c r="I353" s="1040"/>
      <c r="J353" s="1040"/>
      <c r="K353" s="1040"/>
      <c r="L353" s="1040"/>
      <c r="M353" s="1040"/>
      <c r="N353" s="1040"/>
      <c r="O353" s="1040"/>
      <c r="P353" s="1040"/>
      <c r="Q353" s="1040"/>
      <c r="R353" s="1040"/>
      <c r="S353" s="1040"/>
      <c r="T353" s="1040"/>
      <c r="U353" s="1040"/>
      <c r="V353" s="1040"/>
      <c r="W353" s="1040"/>
      <c r="X353" s="1040"/>
      <c r="Y353" s="1040"/>
      <c r="Z353" s="1040"/>
      <c r="AA353" s="1040"/>
      <c r="AB353" s="1040"/>
      <c r="AC353" s="1040"/>
      <c r="AD353" s="1040"/>
      <c r="AE353" s="1040"/>
      <c r="AF353" s="1040"/>
      <c r="AG353" s="1040"/>
      <c r="AH353" s="1040"/>
      <c r="AI353" s="1040"/>
      <c r="AJ353" s="1039"/>
      <c r="AK353" s="1039"/>
      <c r="AL353" s="1039"/>
      <c r="AM353" s="1040"/>
      <c r="AN353" s="1040"/>
      <c r="AO353" s="1040"/>
      <c r="AP353" s="1040"/>
      <c r="AQ353" s="1040"/>
      <c r="AR353" s="1040"/>
      <c r="AS353" s="1040"/>
      <c r="AT353" s="1040"/>
      <c r="AU353" s="1040"/>
      <c r="AV353" s="1040"/>
      <c r="AW353" s="1040"/>
      <c r="AX353" s="1040"/>
    </row>
    <row r="354" spans="1:50">
      <c r="A354" s="1041"/>
      <c r="B354" s="1040"/>
      <c r="C354" s="1040"/>
      <c r="D354" s="1040"/>
      <c r="E354" s="1040"/>
      <c r="F354" s="1040"/>
      <c r="G354" s="1040"/>
      <c r="H354" s="1040"/>
      <c r="I354" s="1040"/>
      <c r="J354" s="1040"/>
      <c r="K354" s="1040"/>
      <c r="L354" s="1040"/>
      <c r="M354" s="1040"/>
      <c r="N354" s="1040"/>
      <c r="O354" s="1040"/>
      <c r="P354" s="1040"/>
      <c r="Q354" s="1040"/>
      <c r="R354" s="1040"/>
      <c r="S354" s="1040"/>
      <c r="T354" s="1040"/>
      <c r="U354" s="1040"/>
      <c r="V354" s="1040"/>
      <c r="W354" s="1040"/>
      <c r="X354" s="1040"/>
      <c r="Y354" s="1040"/>
      <c r="Z354" s="1040"/>
      <c r="AA354" s="1040"/>
      <c r="AB354" s="1040"/>
      <c r="AC354" s="1040"/>
      <c r="AD354" s="1040"/>
      <c r="AE354" s="1040"/>
      <c r="AF354" s="1040"/>
      <c r="AG354" s="1040"/>
      <c r="AH354" s="1040"/>
      <c r="AI354" s="1040"/>
      <c r="AJ354" s="1039"/>
      <c r="AK354" s="1039"/>
      <c r="AL354" s="1039"/>
      <c r="AM354" s="1040"/>
      <c r="AN354" s="1040"/>
      <c r="AO354" s="1040"/>
      <c r="AP354" s="1040"/>
      <c r="AQ354" s="1040"/>
      <c r="AR354" s="1040"/>
      <c r="AS354" s="1040"/>
      <c r="AT354" s="1040"/>
      <c r="AU354" s="1040"/>
      <c r="AV354" s="1040"/>
      <c r="AW354" s="1040"/>
      <c r="AX354" s="1040"/>
    </row>
    <row r="355" spans="1:50">
      <c r="A355" s="1041"/>
      <c r="B355" s="1040"/>
      <c r="C355" s="1040"/>
      <c r="D355" s="1040"/>
      <c r="E355" s="1040"/>
      <c r="F355" s="1040"/>
      <c r="G355" s="1040"/>
      <c r="H355" s="1040"/>
      <c r="I355" s="1040"/>
      <c r="J355" s="1040"/>
      <c r="K355" s="1040"/>
      <c r="L355" s="1040"/>
      <c r="M355" s="1040"/>
      <c r="N355" s="1040"/>
      <c r="O355" s="1040"/>
      <c r="P355" s="1040"/>
      <c r="Q355" s="1040"/>
      <c r="R355" s="1040"/>
      <c r="S355" s="1040"/>
      <c r="T355" s="1040"/>
      <c r="U355" s="1040"/>
      <c r="V355" s="1040"/>
      <c r="W355" s="1040"/>
      <c r="X355" s="1040"/>
      <c r="Y355" s="1040"/>
      <c r="Z355" s="1040"/>
      <c r="AA355" s="1040"/>
      <c r="AB355" s="1040"/>
      <c r="AC355" s="1040"/>
      <c r="AD355" s="1040"/>
      <c r="AE355" s="1040"/>
      <c r="AF355" s="1040"/>
      <c r="AG355" s="1040"/>
      <c r="AH355" s="1040"/>
      <c r="AI355" s="1040"/>
      <c r="AJ355" s="1039"/>
      <c r="AK355" s="1039"/>
      <c r="AL355" s="1039"/>
      <c r="AM355" s="1040"/>
      <c r="AN355" s="1040"/>
      <c r="AO355" s="1040"/>
      <c r="AP355" s="1040"/>
      <c r="AQ355" s="1040"/>
      <c r="AR355" s="1040"/>
      <c r="AS355" s="1040"/>
      <c r="AT355" s="1040"/>
      <c r="AU355" s="1040"/>
      <c r="AV355" s="1040"/>
      <c r="AW355" s="1040"/>
      <c r="AX355" s="1040"/>
    </row>
    <row r="356" spans="1:50">
      <c r="A356" s="1041"/>
      <c r="B356" s="1040"/>
      <c r="C356" s="1040"/>
      <c r="D356" s="1040"/>
      <c r="E356" s="1040"/>
      <c r="F356" s="1040"/>
      <c r="G356" s="1040"/>
      <c r="H356" s="1040"/>
      <c r="I356" s="1040"/>
      <c r="J356" s="1040"/>
      <c r="K356" s="1040"/>
      <c r="L356" s="1040"/>
      <c r="M356" s="1040"/>
      <c r="N356" s="1040"/>
      <c r="O356" s="1040"/>
      <c r="P356" s="1040"/>
      <c r="Q356" s="1040"/>
      <c r="R356" s="1040"/>
      <c r="S356" s="1040"/>
      <c r="T356" s="1040"/>
      <c r="U356" s="1040"/>
      <c r="V356" s="1040"/>
      <c r="W356" s="1040"/>
      <c r="X356" s="1040"/>
      <c r="Y356" s="1040"/>
      <c r="Z356" s="1040"/>
      <c r="AA356" s="1040"/>
      <c r="AB356" s="1040"/>
      <c r="AC356" s="1040"/>
      <c r="AD356" s="1040"/>
      <c r="AE356" s="1040"/>
      <c r="AF356" s="1040"/>
      <c r="AG356" s="1040"/>
      <c r="AH356" s="1040"/>
      <c r="AI356" s="1040"/>
      <c r="AJ356" s="1039"/>
      <c r="AK356" s="1039"/>
      <c r="AL356" s="1039"/>
      <c r="AM356" s="1040"/>
      <c r="AN356" s="1040"/>
      <c r="AO356" s="1040"/>
      <c r="AP356" s="1040"/>
      <c r="AQ356" s="1040"/>
      <c r="AR356" s="1040"/>
      <c r="AS356" s="1040"/>
      <c r="AT356" s="1040"/>
      <c r="AU356" s="1040"/>
      <c r="AV356" s="1040"/>
      <c r="AW356" s="1040"/>
      <c r="AX356" s="1040"/>
    </row>
    <row r="357" spans="1:50">
      <c r="A357" s="1041"/>
      <c r="B357" s="1040"/>
      <c r="C357" s="1040"/>
      <c r="D357" s="1040"/>
      <c r="E357" s="1040"/>
      <c r="F357" s="1040"/>
      <c r="G357" s="1040"/>
      <c r="H357" s="1040"/>
      <c r="I357" s="1040"/>
      <c r="J357" s="1040"/>
      <c r="K357" s="1040"/>
      <c r="L357" s="1040"/>
      <c r="M357" s="1040"/>
      <c r="N357" s="1040"/>
      <c r="O357" s="1040"/>
      <c r="P357" s="1040"/>
      <c r="Q357" s="1040"/>
      <c r="R357" s="1040"/>
      <c r="S357" s="1040"/>
      <c r="T357" s="1040"/>
      <c r="U357" s="1040"/>
      <c r="V357" s="1040"/>
      <c r="W357" s="1040"/>
      <c r="X357" s="1040"/>
      <c r="Y357" s="1040"/>
      <c r="Z357" s="1040"/>
      <c r="AA357" s="1040"/>
      <c r="AB357" s="1040"/>
      <c r="AC357" s="1040"/>
      <c r="AD357" s="1040"/>
      <c r="AE357" s="1040"/>
      <c r="AF357" s="1040"/>
      <c r="AG357" s="1040"/>
      <c r="AH357" s="1040"/>
      <c r="AI357" s="1040"/>
      <c r="AJ357" s="1039"/>
      <c r="AK357" s="1039"/>
      <c r="AL357" s="1039"/>
      <c r="AM357" s="1040"/>
      <c r="AN357" s="1040"/>
      <c r="AO357" s="1040"/>
      <c r="AP357" s="1040"/>
      <c r="AQ357" s="1040"/>
      <c r="AR357" s="1040"/>
      <c r="AS357" s="1040"/>
      <c r="AT357" s="1040"/>
      <c r="AU357" s="1040"/>
      <c r="AV357" s="1040"/>
      <c r="AW357" s="1040"/>
      <c r="AX357" s="1040"/>
    </row>
    <row r="358" spans="1:50">
      <c r="A358" s="1041"/>
      <c r="B358" s="1040"/>
      <c r="C358" s="1040"/>
      <c r="D358" s="1040"/>
      <c r="E358" s="1040"/>
      <c r="F358" s="1040"/>
      <c r="G358" s="1040"/>
      <c r="H358" s="1040"/>
      <c r="I358" s="1040"/>
      <c r="J358" s="1040"/>
      <c r="K358" s="1040"/>
      <c r="L358" s="1040"/>
      <c r="M358" s="1040"/>
      <c r="N358" s="1040"/>
      <c r="O358" s="1040"/>
      <c r="P358" s="1040"/>
      <c r="Q358" s="1040"/>
      <c r="R358" s="1040"/>
      <c r="S358" s="1040"/>
      <c r="T358" s="1040"/>
      <c r="U358" s="1040"/>
      <c r="V358" s="1040"/>
      <c r="W358" s="1040"/>
      <c r="X358" s="1040"/>
      <c r="Y358" s="1040"/>
      <c r="Z358" s="1040"/>
      <c r="AA358" s="1040"/>
      <c r="AB358" s="1040"/>
      <c r="AC358" s="1040"/>
      <c r="AD358" s="1040"/>
      <c r="AE358" s="1040"/>
      <c r="AF358" s="1040"/>
      <c r="AG358" s="1040"/>
      <c r="AH358" s="1040"/>
      <c r="AI358" s="1040"/>
      <c r="AJ358" s="1039"/>
      <c r="AK358" s="1039"/>
      <c r="AL358" s="1039"/>
      <c r="AM358" s="1040"/>
      <c r="AN358" s="1040"/>
      <c r="AO358" s="1040"/>
      <c r="AP358" s="1040"/>
      <c r="AQ358" s="1040"/>
      <c r="AR358" s="1040"/>
      <c r="AS358" s="1040"/>
      <c r="AT358" s="1040"/>
      <c r="AU358" s="1040"/>
      <c r="AV358" s="1040"/>
      <c r="AW358" s="1040"/>
      <c r="AX358" s="1040"/>
    </row>
    <row r="359" spans="1:50">
      <c r="A359" s="1041"/>
      <c r="B359" s="1040"/>
      <c r="C359" s="1040"/>
      <c r="D359" s="1040"/>
      <c r="E359" s="1040"/>
      <c r="F359" s="1040"/>
      <c r="G359" s="1040"/>
      <c r="H359" s="1040"/>
      <c r="I359" s="1040"/>
      <c r="J359" s="1040"/>
      <c r="K359" s="1040"/>
      <c r="L359" s="1040"/>
      <c r="M359" s="1040"/>
      <c r="N359" s="1040"/>
      <c r="O359" s="1040"/>
      <c r="P359" s="1040"/>
      <c r="Q359" s="1040"/>
      <c r="R359" s="1040"/>
      <c r="S359" s="1040"/>
      <c r="T359" s="1040"/>
      <c r="U359" s="1040"/>
      <c r="V359" s="1040"/>
      <c r="W359" s="1040"/>
      <c r="X359" s="1040"/>
      <c r="Y359" s="1040"/>
      <c r="Z359" s="1040"/>
      <c r="AA359" s="1040"/>
      <c r="AB359" s="1040"/>
      <c r="AC359" s="1040"/>
      <c r="AD359" s="1040"/>
      <c r="AE359" s="1040"/>
      <c r="AF359" s="1040"/>
      <c r="AG359" s="1040"/>
      <c r="AH359" s="1040"/>
      <c r="AI359" s="1040"/>
      <c r="AJ359" s="1039"/>
      <c r="AK359" s="1039"/>
      <c r="AL359" s="1039"/>
      <c r="AM359" s="1040"/>
      <c r="AN359" s="1040"/>
      <c r="AO359" s="1040"/>
      <c r="AP359" s="1040"/>
      <c r="AQ359" s="1040"/>
      <c r="AR359" s="1040"/>
      <c r="AS359" s="1040"/>
      <c r="AT359" s="1040"/>
      <c r="AU359" s="1040"/>
      <c r="AV359" s="1040"/>
      <c r="AW359" s="1040"/>
      <c r="AX359" s="1040"/>
    </row>
    <row r="360" spans="1:50">
      <c r="A360" s="1041"/>
      <c r="B360" s="1040"/>
      <c r="C360" s="1040"/>
      <c r="D360" s="1040"/>
      <c r="E360" s="1040"/>
      <c r="F360" s="1040"/>
      <c r="G360" s="1040"/>
      <c r="H360" s="1040"/>
      <c r="I360" s="1040"/>
      <c r="J360" s="1040"/>
      <c r="K360" s="1040"/>
      <c r="L360" s="1040"/>
      <c r="M360" s="1040"/>
      <c r="N360" s="1040"/>
      <c r="O360" s="1040"/>
      <c r="P360" s="1040"/>
      <c r="Q360" s="1040"/>
      <c r="R360" s="1040"/>
      <c r="S360" s="1040"/>
      <c r="T360" s="1040"/>
      <c r="U360" s="1040"/>
      <c r="V360" s="1040"/>
      <c r="W360" s="1040"/>
      <c r="X360" s="1040"/>
      <c r="Y360" s="1040"/>
      <c r="Z360" s="1040"/>
      <c r="AA360" s="1040"/>
      <c r="AB360" s="1040"/>
      <c r="AC360" s="1040"/>
      <c r="AD360" s="1040"/>
      <c r="AE360" s="1040"/>
      <c r="AF360" s="1040"/>
      <c r="AG360" s="1040"/>
      <c r="AH360" s="1040"/>
      <c r="AI360" s="1040"/>
      <c r="AJ360" s="1039"/>
      <c r="AK360" s="1039"/>
      <c r="AL360" s="1039"/>
      <c r="AM360" s="1040"/>
      <c r="AN360" s="1040"/>
      <c r="AO360" s="1040"/>
      <c r="AP360" s="1040"/>
      <c r="AQ360" s="1040"/>
      <c r="AR360" s="1040"/>
      <c r="AS360" s="1040"/>
      <c r="AT360" s="1040"/>
      <c r="AU360" s="1040"/>
      <c r="AV360" s="1040"/>
      <c r="AW360" s="1040"/>
      <c r="AX360" s="1040"/>
    </row>
    <row r="361" spans="1:50">
      <c r="A361" s="1041"/>
      <c r="B361" s="1040"/>
      <c r="C361" s="1040"/>
      <c r="D361" s="1040"/>
      <c r="E361" s="1040"/>
      <c r="F361" s="1040"/>
      <c r="G361" s="1040"/>
      <c r="H361" s="1040"/>
      <c r="I361" s="1040"/>
      <c r="J361" s="1040"/>
      <c r="K361" s="1040"/>
      <c r="L361" s="1040"/>
      <c r="M361" s="1040"/>
      <c r="N361" s="1040"/>
      <c r="O361" s="1040"/>
      <c r="P361" s="1040"/>
      <c r="Q361" s="1040"/>
      <c r="R361" s="1040"/>
      <c r="S361" s="1040"/>
      <c r="T361" s="1040"/>
      <c r="U361" s="1040"/>
      <c r="V361" s="1040"/>
      <c r="W361" s="1040"/>
      <c r="X361" s="1040"/>
      <c r="Y361" s="1040"/>
      <c r="Z361" s="1040"/>
      <c r="AA361" s="1040"/>
      <c r="AB361" s="1040"/>
      <c r="AC361" s="1040"/>
      <c r="AD361" s="1040"/>
      <c r="AE361" s="1040"/>
      <c r="AF361" s="1040"/>
      <c r="AG361" s="1040"/>
      <c r="AH361" s="1040"/>
      <c r="AI361" s="1040"/>
      <c r="AJ361" s="1039"/>
      <c r="AK361" s="1039"/>
      <c r="AL361" s="1039"/>
      <c r="AM361" s="1040"/>
      <c r="AN361" s="1040"/>
      <c r="AO361" s="1040"/>
      <c r="AP361" s="1040"/>
      <c r="AQ361" s="1040"/>
      <c r="AR361" s="1040"/>
      <c r="AS361" s="1040"/>
      <c r="AT361" s="1040"/>
      <c r="AU361" s="1040"/>
      <c r="AV361" s="1040"/>
      <c r="AW361" s="1040"/>
      <c r="AX361" s="1040"/>
    </row>
    <row r="362" spans="1:50">
      <c r="A362" s="1041"/>
      <c r="B362" s="1040"/>
      <c r="C362" s="1040"/>
      <c r="D362" s="1040"/>
      <c r="E362" s="1040"/>
      <c r="F362" s="1040"/>
      <c r="G362" s="1040"/>
      <c r="H362" s="1040"/>
      <c r="I362" s="1040"/>
      <c r="J362" s="1040"/>
      <c r="K362" s="1040"/>
      <c r="L362" s="1040"/>
      <c r="M362" s="1040"/>
      <c r="N362" s="1040"/>
      <c r="O362" s="1040"/>
      <c r="P362" s="1040"/>
      <c r="Q362" s="1040"/>
      <c r="R362" s="1040"/>
      <c r="S362" s="1040"/>
      <c r="T362" s="1040"/>
      <c r="U362" s="1040"/>
      <c r="V362" s="1040"/>
      <c r="W362" s="1040"/>
      <c r="X362" s="1040"/>
      <c r="Y362" s="1040"/>
      <c r="Z362" s="1040"/>
      <c r="AA362" s="1040"/>
      <c r="AB362" s="1040"/>
      <c r="AC362" s="1040"/>
      <c r="AD362" s="1040"/>
      <c r="AE362" s="1040"/>
      <c r="AF362" s="1040"/>
      <c r="AG362" s="1040"/>
      <c r="AH362" s="1040"/>
      <c r="AI362" s="1040"/>
      <c r="AJ362" s="1039"/>
      <c r="AK362" s="1039"/>
      <c r="AL362" s="1039"/>
      <c r="AM362" s="1040"/>
      <c r="AN362" s="1040"/>
      <c r="AO362" s="1040"/>
      <c r="AP362" s="1040"/>
      <c r="AQ362" s="1040"/>
      <c r="AR362" s="1040"/>
      <c r="AS362" s="1040"/>
      <c r="AT362" s="1040"/>
      <c r="AU362" s="1040"/>
      <c r="AV362" s="1040"/>
      <c r="AW362" s="1040"/>
      <c r="AX362" s="1040"/>
    </row>
    <row r="363" spans="1:50">
      <c r="A363" s="1041"/>
      <c r="B363" s="1040"/>
      <c r="C363" s="1040"/>
      <c r="D363" s="1040"/>
      <c r="E363" s="1040"/>
      <c r="F363" s="1040"/>
      <c r="G363" s="1040"/>
      <c r="H363" s="1040"/>
      <c r="I363" s="1040"/>
      <c r="J363" s="1040"/>
      <c r="K363" s="1040"/>
      <c r="L363" s="1040"/>
      <c r="M363" s="1040"/>
      <c r="N363" s="1040"/>
      <c r="O363" s="1040"/>
      <c r="P363" s="1040"/>
      <c r="Q363" s="1040"/>
      <c r="R363" s="1040"/>
      <c r="S363" s="1040"/>
      <c r="T363" s="1040"/>
      <c r="U363" s="1040"/>
      <c r="V363" s="1040"/>
      <c r="W363" s="1040"/>
      <c r="X363" s="1040"/>
      <c r="Y363" s="1040"/>
      <c r="Z363" s="1040"/>
      <c r="AA363" s="1040"/>
      <c r="AB363" s="1040"/>
      <c r="AC363" s="1040"/>
      <c r="AD363" s="1040"/>
      <c r="AE363" s="1040"/>
      <c r="AF363" s="1040"/>
      <c r="AG363" s="1040"/>
      <c r="AH363" s="1040"/>
      <c r="AI363" s="1040"/>
      <c r="AJ363" s="1039"/>
      <c r="AK363" s="1039"/>
      <c r="AL363" s="1039"/>
      <c r="AM363" s="1040"/>
      <c r="AN363" s="1040"/>
      <c r="AO363" s="1040"/>
      <c r="AP363" s="1040"/>
      <c r="AQ363" s="1040"/>
      <c r="AR363" s="1040"/>
      <c r="AS363" s="1040"/>
      <c r="AT363" s="1040"/>
      <c r="AU363" s="1040"/>
      <c r="AV363" s="1040"/>
      <c r="AW363" s="1040"/>
      <c r="AX363" s="1040"/>
    </row>
    <row r="364" spans="1:50">
      <c r="A364" s="1041"/>
      <c r="B364" s="1040"/>
      <c r="C364" s="1040"/>
      <c r="D364" s="1040"/>
      <c r="E364" s="1040"/>
      <c r="F364" s="1040"/>
      <c r="G364" s="1040"/>
      <c r="H364" s="1040"/>
      <c r="I364" s="1040"/>
      <c r="J364" s="1040"/>
      <c r="K364" s="1040"/>
      <c r="L364" s="1040"/>
      <c r="M364" s="1040"/>
      <c r="N364" s="1040"/>
      <c r="O364" s="1040"/>
      <c r="P364" s="1040"/>
      <c r="Q364" s="1040"/>
      <c r="R364" s="1040"/>
      <c r="S364" s="1040"/>
      <c r="T364" s="1040"/>
      <c r="U364" s="1040"/>
      <c r="V364" s="1040"/>
      <c r="W364" s="1040"/>
      <c r="X364" s="1040"/>
      <c r="Y364" s="1040"/>
      <c r="Z364" s="1040"/>
      <c r="AA364" s="1040"/>
      <c r="AB364" s="1040"/>
      <c r="AC364" s="1040"/>
      <c r="AD364" s="1040"/>
      <c r="AE364" s="1040"/>
      <c r="AF364" s="1040"/>
      <c r="AG364" s="1040"/>
      <c r="AH364" s="1040"/>
      <c r="AI364" s="1040"/>
      <c r="AJ364" s="1039"/>
      <c r="AK364" s="1039"/>
      <c r="AL364" s="1039"/>
      <c r="AM364" s="1040"/>
      <c r="AN364" s="1040"/>
      <c r="AO364" s="1040"/>
      <c r="AP364" s="1040"/>
      <c r="AQ364" s="1040"/>
      <c r="AR364" s="1040"/>
      <c r="AS364" s="1040"/>
      <c r="AT364" s="1040"/>
      <c r="AU364" s="1040"/>
      <c r="AV364" s="1040"/>
      <c r="AW364" s="1040"/>
      <c r="AX364" s="1040"/>
    </row>
    <row r="365" spans="1:50">
      <c r="A365" s="1041"/>
      <c r="B365" s="1040"/>
      <c r="C365" s="1040"/>
      <c r="D365" s="1040"/>
      <c r="E365" s="1040"/>
      <c r="F365" s="1040"/>
      <c r="G365" s="1040"/>
      <c r="H365" s="1040"/>
      <c r="I365" s="1040"/>
      <c r="J365" s="1040"/>
      <c r="K365" s="1040"/>
      <c r="L365" s="1040"/>
      <c r="M365" s="1040"/>
      <c r="N365" s="1040"/>
      <c r="O365" s="1040"/>
      <c r="P365" s="1040"/>
      <c r="Q365" s="1040"/>
      <c r="R365" s="1040"/>
      <c r="S365" s="1040"/>
      <c r="T365" s="1040"/>
      <c r="U365" s="1040"/>
      <c r="V365" s="1040"/>
      <c r="W365" s="1040"/>
      <c r="X365" s="1040"/>
      <c r="Y365" s="1040"/>
      <c r="Z365" s="1040"/>
      <c r="AA365" s="1040"/>
      <c r="AB365" s="1040"/>
      <c r="AC365" s="1040"/>
      <c r="AD365" s="1040"/>
      <c r="AE365" s="1040"/>
      <c r="AF365" s="1040"/>
      <c r="AG365" s="1040"/>
      <c r="AH365" s="1040"/>
      <c r="AI365" s="1040"/>
      <c r="AJ365" s="1039"/>
      <c r="AK365" s="1039"/>
      <c r="AL365" s="1039"/>
      <c r="AM365" s="1040"/>
      <c r="AN365" s="1040"/>
      <c r="AO365" s="1040"/>
      <c r="AP365" s="1040"/>
      <c r="AQ365" s="1040"/>
      <c r="AR365" s="1040"/>
      <c r="AS365" s="1040"/>
      <c r="AT365" s="1040"/>
      <c r="AU365" s="1040"/>
      <c r="AV365" s="1040"/>
      <c r="AW365" s="1040"/>
      <c r="AX365" s="1040"/>
    </row>
    <row r="366" spans="1:50">
      <c r="A366" s="1041"/>
      <c r="B366" s="1040"/>
      <c r="C366" s="1040"/>
      <c r="D366" s="1040"/>
      <c r="E366" s="1040"/>
      <c r="F366" s="1040"/>
      <c r="G366" s="1040"/>
      <c r="H366" s="1040"/>
      <c r="I366" s="1040"/>
      <c r="J366" s="1040"/>
      <c r="K366" s="1040"/>
      <c r="L366" s="1040"/>
      <c r="M366" s="1040"/>
      <c r="N366" s="1040"/>
      <c r="O366" s="1040"/>
      <c r="P366" s="1040"/>
      <c r="Q366" s="1040"/>
      <c r="R366" s="1040"/>
      <c r="S366" s="1040"/>
      <c r="T366" s="1040"/>
      <c r="U366" s="1040"/>
      <c r="V366" s="1040"/>
      <c r="W366" s="1040"/>
      <c r="X366" s="1040"/>
      <c r="Y366" s="1040"/>
      <c r="Z366" s="1040"/>
      <c r="AA366" s="1040"/>
      <c r="AB366" s="1040"/>
      <c r="AC366" s="1040"/>
      <c r="AD366" s="1040"/>
      <c r="AE366" s="1040"/>
      <c r="AF366" s="1040"/>
      <c r="AG366" s="1040"/>
      <c r="AH366" s="1040"/>
      <c r="AI366" s="1040"/>
      <c r="AJ366" s="1039"/>
      <c r="AK366" s="1039"/>
      <c r="AL366" s="1039"/>
      <c r="AM366" s="1040"/>
      <c r="AN366" s="1040"/>
      <c r="AO366" s="1040"/>
      <c r="AP366" s="1040"/>
      <c r="AQ366" s="1040"/>
      <c r="AR366" s="1040"/>
      <c r="AS366" s="1040"/>
      <c r="AT366" s="1040"/>
      <c r="AU366" s="1040"/>
      <c r="AV366" s="1040"/>
      <c r="AW366" s="1040"/>
      <c r="AX366" s="1040"/>
    </row>
    <row r="367" spans="1:50">
      <c r="A367" s="1041"/>
      <c r="B367" s="1040"/>
      <c r="C367" s="1040"/>
      <c r="D367" s="1040"/>
      <c r="E367" s="1040"/>
      <c r="F367" s="1040"/>
      <c r="G367" s="1040"/>
      <c r="H367" s="1040"/>
      <c r="I367" s="1040"/>
      <c r="J367" s="1040"/>
      <c r="K367" s="1040"/>
      <c r="L367" s="1040"/>
      <c r="M367" s="1040"/>
      <c r="N367" s="1040"/>
      <c r="O367" s="1040"/>
      <c r="P367" s="1040"/>
      <c r="Q367" s="1040"/>
      <c r="R367" s="1040"/>
      <c r="S367" s="1040"/>
      <c r="T367" s="1040"/>
      <c r="U367" s="1040"/>
      <c r="V367" s="1040"/>
      <c r="W367" s="1040"/>
      <c r="X367" s="1040"/>
      <c r="Y367" s="1040"/>
      <c r="Z367" s="1040"/>
      <c r="AA367" s="1040"/>
      <c r="AB367" s="1040"/>
      <c r="AC367" s="1040"/>
      <c r="AD367" s="1040"/>
      <c r="AE367" s="1040"/>
      <c r="AF367" s="1040"/>
      <c r="AG367" s="1040"/>
      <c r="AH367" s="1040"/>
      <c r="AI367" s="1040"/>
      <c r="AJ367" s="1039"/>
      <c r="AK367" s="1039"/>
      <c r="AL367" s="1039"/>
      <c r="AM367" s="1040"/>
      <c r="AN367" s="1040"/>
      <c r="AO367" s="1040"/>
      <c r="AP367" s="1040"/>
      <c r="AQ367" s="1040"/>
      <c r="AR367" s="1040"/>
      <c r="AS367" s="1040"/>
      <c r="AT367" s="1040"/>
      <c r="AU367" s="1040"/>
      <c r="AV367" s="1040"/>
      <c r="AW367" s="1040"/>
      <c r="AX367" s="1040"/>
    </row>
    <row r="368" spans="1:50">
      <c r="A368" s="1041"/>
      <c r="B368" s="1040"/>
      <c r="C368" s="1040"/>
      <c r="D368" s="1040"/>
      <c r="E368" s="1040"/>
      <c r="F368" s="1040"/>
      <c r="G368" s="1040"/>
      <c r="H368" s="1040"/>
      <c r="I368" s="1040"/>
      <c r="J368" s="1040"/>
      <c r="K368" s="1040"/>
      <c r="L368" s="1040"/>
      <c r="M368" s="1040"/>
      <c r="N368" s="1040"/>
      <c r="O368" s="1040"/>
      <c r="P368" s="1040"/>
      <c r="Q368" s="1040"/>
      <c r="R368" s="1040"/>
      <c r="S368" s="1040"/>
      <c r="T368" s="1040"/>
      <c r="U368" s="1040"/>
      <c r="V368" s="1040"/>
      <c r="W368" s="1040"/>
      <c r="X368" s="1040"/>
      <c r="Y368" s="1040"/>
      <c r="Z368" s="1040"/>
      <c r="AA368" s="1040"/>
      <c r="AB368" s="1040"/>
      <c r="AC368" s="1040"/>
      <c r="AD368" s="1040"/>
      <c r="AE368" s="1040"/>
      <c r="AF368" s="1040"/>
      <c r="AG368" s="1040"/>
      <c r="AH368" s="1040"/>
      <c r="AI368" s="1040"/>
      <c r="AJ368" s="1039"/>
      <c r="AK368" s="1039"/>
      <c r="AL368" s="1039"/>
      <c r="AM368" s="1040"/>
      <c r="AN368" s="1040"/>
      <c r="AO368" s="1040"/>
      <c r="AP368" s="1040"/>
      <c r="AQ368" s="1040"/>
      <c r="AR368" s="1040"/>
      <c r="AS368" s="1040"/>
      <c r="AT368" s="1040"/>
      <c r="AU368" s="1040"/>
      <c r="AV368" s="1040"/>
      <c r="AW368" s="1040"/>
      <c r="AX368" s="1040"/>
    </row>
    <row r="369" spans="1:50">
      <c r="A369" s="1041"/>
      <c r="B369" s="1040"/>
      <c r="C369" s="1040"/>
      <c r="D369" s="1040"/>
      <c r="E369" s="1040"/>
      <c r="F369" s="1040"/>
      <c r="G369" s="1040"/>
      <c r="H369" s="1040"/>
      <c r="I369" s="1040"/>
      <c r="J369" s="1040"/>
      <c r="K369" s="1040"/>
      <c r="L369" s="1040"/>
      <c r="M369" s="1040"/>
      <c r="N369" s="1040"/>
      <c r="O369" s="1040"/>
      <c r="P369" s="1040"/>
      <c r="Q369" s="1040"/>
      <c r="R369" s="1040"/>
      <c r="S369" s="1040"/>
      <c r="T369" s="1040"/>
      <c r="U369" s="1040"/>
      <c r="V369" s="1040"/>
      <c r="W369" s="1040"/>
      <c r="X369" s="1040"/>
      <c r="Y369" s="1040"/>
      <c r="Z369" s="1040"/>
      <c r="AA369" s="1040"/>
      <c r="AB369" s="1040"/>
      <c r="AC369" s="1040"/>
      <c r="AD369" s="1040"/>
      <c r="AE369" s="1040"/>
      <c r="AF369" s="1040"/>
      <c r="AG369" s="1040"/>
      <c r="AH369" s="1040"/>
      <c r="AI369" s="1040"/>
      <c r="AJ369" s="1039"/>
      <c r="AK369" s="1039"/>
      <c r="AL369" s="1039"/>
      <c r="AM369" s="1040"/>
      <c r="AN369" s="1040"/>
      <c r="AO369" s="1040"/>
      <c r="AP369" s="1040"/>
      <c r="AQ369" s="1040"/>
      <c r="AR369" s="1040"/>
      <c r="AS369" s="1040"/>
      <c r="AT369" s="1040"/>
      <c r="AU369" s="1040"/>
      <c r="AV369" s="1040"/>
      <c r="AW369" s="1040"/>
      <c r="AX369" s="1040"/>
    </row>
    <row r="370" spans="1:50">
      <c r="A370" s="1041"/>
      <c r="B370" s="1040"/>
      <c r="C370" s="1040"/>
      <c r="D370" s="1040"/>
      <c r="E370" s="1040"/>
      <c r="F370" s="1040"/>
      <c r="G370" s="1040"/>
      <c r="H370" s="1040"/>
      <c r="I370" s="1040"/>
      <c r="J370" s="1040"/>
      <c r="K370" s="1040"/>
      <c r="L370" s="1040"/>
      <c r="M370" s="1040"/>
      <c r="N370" s="1040"/>
      <c r="O370" s="1040"/>
      <c r="P370" s="1040"/>
      <c r="Q370" s="1040"/>
      <c r="R370" s="1040"/>
      <c r="S370" s="1040"/>
      <c r="T370" s="1040"/>
      <c r="U370" s="1040"/>
      <c r="V370" s="1040"/>
      <c r="W370" s="1040"/>
      <c r="X370" s="1040"/>
      <c r="Y370" s="1040"/>
      <c r="Z370" s="1040"/>
      <c r="AA370" s="1040"/>
      <c r="AB370" s="1040"/>
      <c r="AC370" s="1040"/>
      <c r="AD370" s="1040"/>
      <c r="AE370" s="1040"/>
      <c r="AF370" s="1040"/>
      <c r="AG370" s="1040"/>
      <c r="AH370" s="1040"/>
      <c r="AI370" s="1040"/>
      <c r="AJ370" s="1039"/>
      <c r="AK370" s="1039"/>
      <c r="AL370" s="1039"/>
      <c r="AM370" s="1040"/>
      <c r="AN370" s="1040"/>
      <c r="AO370" s="1040"/>
      <c r="AP370" s="1040"/>
      <c r="AQ370" s="1040"/>
      <c r="AR370" s="1040"/>
      <c r="AS370" s="1040"/>
      <c r="AT370" s="1040"/>
      <c r="AU370" s="1040"/>
      <c r="AV370" s="1040"/>
      <c r="AW370" s="1040"/>
      <c r="AX370" s="1040"/>
    </row>
    <row r="371" spans="1:50">
      <c r="A371" s="1041"/>
      <c r="B371" s="1040"/>
      <c r="C371" s="1040"/>
      <c r="D371" s="1040"/>
      <c r="E371" s="1040"/>
      <c r="F371" s="1040"/>
      <c r="G371" s="1040"/>
      <c r="H371" s="1040"/>
      <c r="I371" s="1040"/>
      <c r="J371" s="1040"/>
      <c r="K371" s="1040"/>
      <c r="L371" s="1040"/>
      <c r="M371" s="1040"/>
      <c r="N371" s="1040"/>
      <c r="O371" s="1040"/>
      <c r="P371" s="1040"/>
      <c r="Q371" s="1040"/>
      <c r="R371" s="1040"/>
      <c r="S371" s="1040"/>
      <c r="T371" s="1040"/>
      <c r="U371" s="1040"/>
      <c r="V371" s="1040"/>
      <c r="W371" s="1040"/>
      <c r="X371" s="1040"/>
      <c r="Y371" s="1040"/>
      <c r="Z371" s="1040"/>
      <c r="AA371" s="1040"/>
      <c r="AB371" s="1040"/>
      <c r="AC371" s="1040"/>
      <c r="AD371" s="1040"/>
      <c r="AE371" s="1040"/>
      <c r="AF371" s="1040"/>
      <c r="AG371" s="1040"/>
      <c r="AH371" s="1040"/>
      <c r="AI371" s="1040"/>
      <c r="AJ371" s="1039"/>
      <c r="AK371" s="1039"/>
      <c r="AL371" s="1039"/>
      <c r="AM371" s="1040"/>
      <c r="AN371" s="1040"/>
      <c r="AO371" s="1040"/>
      <c r="AP371" s="1040"/>
      <c r="AQ371" s="1040"/>
      <c r="AR371" s="1040"/>
      <c r="AS371" s="1040"/>
      <c r="AT371" s="1040"/>
      <c r="AU371" s="1040"/>
      <c r="AV371" s="1040"/>
      <c r="AW371" s="1040"/>
      <c r="AX371" s="1040"/>
    </row>
    <row r="372" spans="1:50">
      <c r="A372" s="1041"/>
      <c r="B372" s="1040"/>
      <c r="C372" s="1040"/>
      <c r="D372" s="1040"/>
      <c r="E372" s="1040"/>
      <c r="F372" s="1040"/>
      <c r="G372" s="1040"/>
      <c r="H372" s="1040"/>
      <c r="I372" s="1040"/>
      <c r="J372" s="1040"/>
      <c r="K372" s="1040"/>
      <c r="L372" s="1040"/>
      <c r="M372" s="1040"/>
      <c r="N372" s="1040"/>
      <c r="O372" s="1040"/>
      <c r="P372" s="1040"/>
      <c r="Q372" s="1040"/>
      <c r="R372" s="1040"/>
      <c r="S372" s="1040"/>
      <c r="T372" s="1040"/>
      <c r="U372" s="1040"/>
      <c r="V372" s="1040"/>
      <c r="W372" s="1040"/>
      <c r="X372" s="1040"/>
      <c r="Y372" s="1040"/>
      <c r="Z372" s="1040"/>
      <c r="AA372" s="1040"/>
      <c r="AB372" s="1040"/>
      <c r="AC372" s="1040"/>
      <c r="AD372" s="1040"/>
      <c r="AE372" s="1040"/>
      <c r="AF372" s="1040"/>
      <c r="AG372" s="1040"/>
      <c r="AH372" s="1040"/>
      <c r="AI372" s="1040"/>
      <c r="AJ372" s="1039"/>
      <c r="AK372" s="1039"/>
      <c r="AL372" s="1039"/>
      <c r="AM372" s="1040"/>
      <c r="AN372" s="1040"/>
      <c r="AO372" s="1040"/>
      <c r="AP372" s="1040"/>
      <c r="AQ372" s="1040"/>
      <c r="AR372" s="1040"/>
      <c r="AS372" s="1040"/>
      <c r="AT372" s="1040"/>
      <c r="AU372" s="1040"/>
      <c r="AV372" s="1040"/>
      <c r="AW372" s="1040"/>
      <c r="AX372" s="1040"/>
    </row>
    <row r="373" spans="1:50">
      <c r="A373" s="1041"/>
      <c r="B373" s="1040"/>
      <c r="C373" s="1040"/>
      <c r="D373" s="1040"/>
      <c r="E373" s="1040"/>
      <c r="F373" s="1040"/>
      <c r="G373" s="1040"/>
      <c r="H373" s="1040"/>
      <c r="I373" s="1040"/>
      <c r="J373" s="1040"/>
      <c r="K373" s="1040"/>
      <c r="L373" s="1040"/>
      <c r="M373" s="1040"/>
      <c r="N373" s="1040"/>
      <c r="O373" s="1040"/>
      <c r="P373" s="1040"/>
      <c r="Q373" s="1040"/>
      <c r="R373" s="1040"/>
      <c r="S373" s="1040"/>
      <c r="T373" s="1040"/>
      <c r="U373" s="1040"/>
      <c r="V373" s="1040"/>
      <c r="W373" s="1040"/>
      <c r="X373" s="1040"/>
      <c r="Y373" s="1040"/>
      <c r="Z373" s="1040"/>
      <c r="AA373" s="1040"/>
      <c r="AB373" s="1040"/>
      <c r="AC373" s="1040"/>
      <c r="AD373" s="1040"/>
      <c r="AE373" s="1040"/>
      <c r="AF373" s="1040"/>
      <c r="AG373" s="1040"/>
      <c r="AH373" s="1040"/>
      <c r="AI373" s="1040"/>
      <c r="AJ373" s="1039"/>
      <c r="AK373" s="1039"/>
      <c r="AL373" s="1039"/>
      <c r="AM373" s="1040"/>
      <c r="AN373" s="1040"/>
      <c r="AO373" s="1040"/>
      <c r="AP373" s="1040"/>
      <c r="AQ373" s="1040"/>
      <c r="AR373" s="1040"/>
      <c r="AS373" s="1040"/>
      <c r="AT373" s="1040"/>
      <c r="AU373" s="1040"/>
      <c r="AV373" s="1040"/>
      <c r="AW373" s="1040"/>
      <c r="AX373" s="1040"/>
    </row>
    <row r="374" spans="1:50">
      <c r="A374" s="1041"/>
      <c r="B374" s="1040"/>
      <c r="C374" s="1040"/>
      <c r="D374" s="1040"/>
      <c r="E374" s="1040"/>
      <c r="F374" s="1040"/>
      <c r="G374" s="1040"/>
      <c r="H374" s="1040"/>
      <c r="I374" s="1040"/>
      <c r="J374" s="1040"/>
      <c r="K374" s="1040"/>
      <c r="L374" s="1040"/>
      <c r="M374" s="1040"/>
      <c r="N374" s="1040"/>
      <c r="O374" s="1040"/>
      <c r="P374" s="1040"/>
      <c r="Q374" s="1040"/>
      <c r="R374" s="1040"/>
      <c r="S374" s="1040"/>
      <c r="T374" s="1040"/>
      <c r="U374" s="1040"/>
      <c r="V374" s="1040"/>
      <c r="W374" s="1040"/>
      <c r="X374" s="1040"/>
      <c r="Y374" s="1040"/>
      <c r="Z374" s="1040"/>
      <c r="AA374" s="1040"/>
      <c r="AB374" s="1040"/>
      <c r="AC374" s="1040"/>
      <c r="AD374" s="1040"/>
      <c r="AE374" s="1040"/>
      <c r="AF374" s="1040"/>
      <c r="AG374" s="1040"/>
      <c r="AH374" s="1040"/>
      <c r="AI374" s="1040"/>
      <c r="AJ374" s="1039"/>
      <c r="AK374" s="1039"/>
      <c r="AL374" s="1039"/>
      <c r="AM374" s="1040"/>
      <c r="AN374" s="1040"/>
      <c r="AO374" s="1040"/>
      <c r="AP374" s="1040"/>
      <c r="AQ374" s="1040"/>
      <c r="AR374" s="1040"/>
      <c r="AS374" s="1040"/>
      <c r="AT374" s="1040"/>
      <c r="AU374" s="1040"/>
      <c r="AV374" s="1040"/>
      <c r="AW374" s="1040"/>
      <c r="AX374" s="1040"/>
    </row>
    <row r="375" spans="1:50">
      <c r="A375" s="1041"/>
      <c r="B375" s="1040"/>
      <c r="C375" s="1040"/>
      <c r="D375" s="1040"/>
      <c r="E375" s="1040"/>
      <c r="F375" s="1040"/>
      <c r="G375" s="1040"/>
      <c r="H375" s="1040"/>
      <c r="I375" s="1040"/>
      <c r="J375" s="1040"/>
      <c r="K375" s="1040"/>
      <c r="L375" s="1040"/>
      <c r="M375" s="1040"/>
      <c r="N375" s="1040"/>
      <c r="O375" s="1040"/>
      <c r="P375" s="1040"/>
      <c r="Q375" s="1040"/>
      <c r="R375" s="1040"/>
      <c r="S375" s="1040"/>
      <c r="T375" s="1040"/>
      <c r="U375" s="1040"/>
      <c r="V375" s="1040"/>
      <c r="W375" s="1040"/>
      <c r="X375" s="1040"/>
      <c r="Y375" s="1040"/>
      <c r="Z375" s="1040"/>
      <c r="AA375" s="1040"/>
      <c r="AB375" s="1040"/>
      <c r="AC375" s="1040"/>
      <c r="AD375" s="1040"/>
      <c r="AE375" s="1040"/>
      <c r="AF375" s="1040"/>
      <c r="AG375" s="1040"/>
      <c r="AH375" s="1040"/>
      <c r="AI375" s="1040"/>
      <c r="AJ375" s="1039"/>
      <c r="AK375" s="1039"/>
      <c r="AL375" s="1039"/>
      <c r="AM375" s="1040"/>
      <c r="AN375" s="1040"/>
      <c r="AO375" s="1040"/>
      <c r="AP375" s="1040"/>
      <c r="AQ375" s="1040"/>
      <c r="AR375" s="1040"/>
      <c r="AS375" s="1040"/>
      <c r="AT375" s="1040"/>
      <c r="AU375" s="1040"/>
      <c r="AV375" s="1040"/>
      <c r="AW375" s="1040"/>
      <c r="AX375" s="1040"/>
    </row>
    <row r="376" spans="1:50">
      <c r="A376" s="1041"/>
      <c r="B376" s="1040"/>
      <c r="C376" s="1040"/>
      <c r="D376" s="1040"/>
      <c r="E376" s="1040"/>
      <c r="F376" s="1040"/>
      <c r="G376" s="1040"/>
      <c r="H376" s="1040"/>
      <c r="I376" s="1040"/>
      <c r="J376" s="1040"/>
      <c r="K376" s="1040"/>
      <c r="L376" s="1040"/>
      <c r="M376" s="1040"/>
      <c r="N376" s="1040"/>
      <c r="O376" s="1040"/>
      <c r="P376" s="1040"/>
      <c r="Q376" s="1040"/>
      <c r="R376" s="1040"/>
      <c r="S376" s="1040"/>
      <c r="T376" s="1040"/>
      <c r="U376" s="1040"/>
      <c r="V376" s="1040"/>
      <c r="W376" s="1040"/>
      <c r="X376" s="1040"/>
      <c r="Y376" s="1040"/>
      <c r="Z376" s="1040"/>
      <c r="AA376" s="1040"/>
      <c r="AB376" s="1040"/>
      <c r="AC376" s="1040"/>
      <c r="AD376" s="1040"/>
      <c r="AE376" s="1040"/>
      <c r="AF376" s="1040"/>
      <c r="AG376" s="1040"/>
      <c r="AH376" s="1040"/>
      <c r="AI376" s="1040"/>
      <c r="AJ376" s="1039"/>
      <c r="AK376" s="1039"/>
      <c r="AL376" s="1039"/>
      <c r="AM376" s="1040"/>
      <c r="AN376" s="1040"/>
      <c r="AO376" s="1040"/>
      <c r="AP376" s="1040"/>
      <c r="AQ376" s="1040"/>
      <c r="AR376" s="1040"/>
      <c r="AS376" s="1040"/>
      <c r="AT376" s="1040"/>
      <c r="AU376" s="1040"/>
      <c r="AV376" s="1040"/>
      <c r="AW376" s="1040"/>
      <c r="AX376" s="1040"/>
    </row>
    <row r="377" spans="1:50">
      <c r="A377" s="1041"/>
      <c r="B377" s="1040"/>
      <c r="C377" s="1040"/>
      <c r="D377" s="1040"/>
      <c r="E377" s="1040"/>
      <c r="F377" s="1040"/>
      <c r="G377" s="1040"/>
      <c r="H377" s="1040"/>
      <c r="I377" s="1040"/>
      <c r="J377" s="1040"/>
      <c r="K377" s="1040"/>
      <c r="L377" s="1040"/>
      <c r="M377" s="1040"/>
      <c r="N377" s="1040"/>
      <c r="O377" s="1040"/>
      <c r="P377" s="1040"/>
      <c r="Q377" s="1040"/>
      <c r="R377" s="1040"/>
      <c r="S377" s="1040"/>
      <c r="T377" s="1040"/>
      <c r="U377" s="1040"/>
      <c r="V377" s="1040"/>
      <c r="W377" s="1040"/>
      <c r="X377" s="1040"/>
      <c r="Y377" s="1040"/>
      <c r="Z377" s="1040"/>
      <c r="AA377" s="1040"/>
      <c r="AB377" s="1040"/>
      <c r="AC377" s="1040"/>
      <c r="AD377" s="1040"/>
      <c r="AE377" s="1040"/>
      <c r="AF377" s="1040"/>
      <c r="AG377" s="1040"/>
      <c r="AH377" s="1040"/>
      <c r="AI377" s="1040"/>
      <c r="AJ377" s="1039"/>
      <c r="AK377" s="1039"/>
      <c r="AL377" s="1039"/>
      <c r="AM377" s="1040"/>
      <c r="AN377" s="1040"/>
      <c r="AO377" s="1040"/>
      <c r="AP377" s="1040"/>
      <c r="AQ377" s="1040"/>
      <c r="AR377" s="1040"/>
      <c r="AS377" s="1040"/>
      <c r="AT377" s="1040"/>
      <c r="AU377" s="1040"/>
      <c r="AV377" s="1040"/>
      <c r="AW377" s="1040"/>
      <c r="AX377" s="1040"/>
    </row>
    <row r="378" spans="1:50">
      <c r="A378" s="1041"/>
      <c r="B378" s="1040"/>
      <c r="C378" s="1040"/>
      <c r="D378" s="1040"/>
      <c r="E378" s="1040"/>
      <c r="F378" s="1040"/>
      <c r="G378" s="1040"/>
      <c r="H378" s="1040"/>
      <c r="I378" s="1040"/>
      <c r="J378" s="1040"/>
      <c r="K378" s="1040"/>
      <c r="L378" s="1040"/>
      <c r="M378" s="1040"/>
      <c r="N378" s="1040"/>
      <c r="O378" s="1040"/>
      <c r="P378" s="1040"/>
      <c r="Q378" s="1040"/>
      <c r="R378" s="1040"/>
      <c r="S378" s="1040"/>
      <c r="T378" s="1040"/>
      <c r="U378" s="1040"/>
      <c r="V378" s="1040"/>
      <c r="W378" s="1040"/>
      <c r="X378" s="1040"/>
      <c r="Y378" s="1040"/>
      <c r="Z378" s="1040"/>
      <c r="AA378" s="1040"/>
      <c r="AB378" s="1040"/>
      <c r="AC378" s="1040"/>
      <c r="AD378" s="1040"/>
      <c r="AE378" s="1040"/>
      <c r="AF378" s="1040"/>
      <c r="AG378" s="1040"/>
      <c r="AH378" s="1040"/>
      <c r="AI378" s="1040"/>
      <c r="AJ378" s="1039"/>
      <c r="AK378" s="1039"/>
      <c r="AL378" s="1039"/>
      <c r="AM378" s="1040"/>
      <c r="AN378" s="1040"/>
      <c r="AO378" s="1040"/>
      <c r="AP378" s="1040"/>
      <c r="AQ378" s="1040"/>
      <c r="AR378" s="1040"/>
      <c r="AS378" s="1040"/>
      <c r="AT378" s="1040"/>
      <c r="AU378" s="1040"/>
      <c r="AV378" s="1040"/>
      <c r="AW378" s="1040"/>
      <c r="AX378" s="1040"/>
    </row>
    <row r="379" spans="1:50">
      <c r="A379" s="1041"/>
      <c r="B379" s="1040"/>
      <c r="C379" s="1040"/>
      <c r="D379" s="1040"/>
      <c r="E379" s="1040"/>
      <c r="F379" s="1040"/>
      <c r="G379" s="1040"/>
      <c r="H379" s="1040"/>
      <c r="I379" s="1040"/>
      <c r="J379" s="1040"/>
      <c r="K379" s="1040"/>
      <c r="L379" s="1040"/>
      <c r="M379" s="1040"/>
      <c r="N379" s="1040"/>
      <c r="O379" s="1040"/>
      <c r="P379" s="1040"/>
      <c r="Q379" s="1040"/>
      <c r="R379" s="1040"/>
      <c r="S379" s="1040"/>
      <c r="T379" s="1040"/>
      <c r="U379" s="1040"/>
      <c r="V379" s="1040"/>
      <c r="W379" s="1040"/>
      <c r="X379" s="1040"/>
      <c r="Y379" s="1040"/>
      <c r="Z379" s="1040"/>
      <c r="AA379" s="1040"/>
      <c r="AB379" s="1040"/>
      <c r="AC379" s="1040"/>
      <c r="AD379" s="1040"/>
      <c r="AE379" s="1040"/>
      <c r="AF379" s="1040"/>
      <c r="AG379" s="1040"/>
      <c r="AH379" s="1040"/>
      <c r="AI379" s="1040"/>
      <c r="AJ379" s="1039"/>
      <c r="AK379" s="1039"/>
      <c r="AL379" s="1039"/>
      <c r="AM379" s="1040"/>
      <c r="AN379" s="1040"/>
      <c r="AO379" s="1040"/>
      <c r="AP379" s="1040"/>
      <c r="AQ379" s="1040"/>
      <c r="AR379" s="1040"/>
      <c r="AS379" s="1040"/>
      <c r="AT379" s="1040"/>
      <c r="AU379" s="1040"/>
      <c r="AV379" s="1040"/>
      <c r="AW379" s="1040"/>
      <c r="AX379" s="1040"/>
    </row>
    <row r="380" spans="1:50">
      <c r="A380" s="1041"/>
      <c r="B380" s="1040"/>
      <c r="C380" s="1040"/>
      <c r="D380" s="1040"/>
      <c r="E380" s="1040"/>
      <c r="F380" s="1040"/>
      <c r="G380" s="1040"/>
      <c r="H380" s="1040"/>
      <c r="I380" s="1040"/>
      <c r="J380" s="1040"/>
      <c r="K380" s="1040"/>
      <c r="L380" s="1040"/>
      <c r="M380" s="1040"/>
      <c r="N380" s="1040"/>
      <c r="O380" s="1040"/>
      <c r="P380" s="1040"/>
      <c r="Q380" s="1040"/>
      <c r="R380" s="1040"/>
      <c r="S380" s="1040"/>
      <c r="T380" s="1040"/>
      <c r="U380" s="1040"/>
      <c r="V380" s="1040"/>
      <c r="W380" s="1040"/>
      <c r="X380" s="1040"/>
      <c r="Y380" s="1040"/>
      <c r="Z380" s="1040"/>
      <c r="AA380" s="1040"/>
      <c r="AB380" s="1040"/>
      <c r="AC380" s="1040"/>
      <c r="AD380" s="1040"/>
      <c r="AE380" s="1040"/>
      <c r="AF380" s="1040"/>
      <c r="AG380" s="1040"/>
      <c r="AH380" s="1040"/>
      <c r="AI380" s="1040"/>
      <c r="AJ380" s="1039"/>
      <c r="AK380" s="1039"/>
      <c r="AL380" s="1039"/>
      <c r="AM380" s="1040"/>
      <c r="AN380" s="1040"/>
      <c r="AO380" s="1040"/>
      <c r="AP380" s="1040"/>
      <c r="AQ380" s="1040"/>
      <c r="AR380" s="1040"/>
      <c r="AS380" s="1040"/>
      <c r="AT380" s="1040"/>
      <c r="AU380" s="1040"/>
      <c r="AV380" s="1040"/>
      <c r="AW380" s="1040"/>
      <c r="AX380" s="1040"/>
    </row>
    <row r="381" spans="1:50">
      <c r="A381" s="1041"/>
      <c r="B381" s="1040"/>
      <c r="C381" s="1040"/>
      <c r="D381" s="1040"/>
      <c r="E381" s="1040"/>
      <c r="F381" s="1040"/>
      <c r="G381" s="1040"/>
      <c r="H381" s="1040"/>
      <c r="I381" s="1040"/>
      <c r="J381" s="1040"/>
      <c r="K381" s="1040"/>
      <c r="L381" s="1040"/>
      <c r="M381" s="1040"/>
      <c r="N381" s="1040"/>
      <c r="O381" s="1040"/>
      <c r="P381" s="1040"/>
      <c r="Q381" s="1040"/>
      <c r="R381" s="1040"/>
      <c r="S381" s="1040"/>
      <c r="T381" s="1040"/>
      <c r="U381" s="1040"/>
      <c r="V381" s="1040"/>
      <c r="W381" s="1040"/>
      <c r="X381" s="1040"/>
      <c r="Y381" s="1040"/>
      <c r="Z381" s="1040"/>
      <c r="AA381" s="1040"/>
      <c r="AB381" s="1040"/>
      <c r="AC381" s="1040"/>
      <c r="AD381" s="1040"/>
      <c r="AE381" s="1040"/>
      <c r="AF381" s="1040"/>
      <c r="AG381" s="1040"/>
      <c r="AH381" s="1040"/>
      <c r="AI381" s="1040"/>
      <c r="AJ381" s="1039"/>
      <c r="AK381" s="1039"/>
      <c r="AL381" s="1039"/>
      <c r="AM381" s="1040"/>
      <c r="AN381" s="1040"/>
      <c r="AO381" s="1040"/>
      <c r="AP381" s="1040"/>
      <c r="AQ381" s="1040"/>
      <c r="AR381" s="1040"/>
      <c r="AS381" s="1040"/>
      <c r="AT381" s="1040"/>
      <c r="AU381" s="1040"/>
      <c r="AV381" s="1040"/>
      <c r="AW381" s="1040"/>
      <c r="AX381" s="1040"/>
    </row>
    <row r="382" spans="1:50">
      <c r="A382" s="1041"/>
      <c r="B382" s="1040"/>
      <c r="C382" s="1040"/>
      <c r="D382" s="1040"/>
      <c r="E382" s="1040"/>
      <c r="F382" s="1040"/>
      <c r="G382" s="1040"/>
      <c r="H382" s="1040"/>
      <c r="I382" s="1040"/>
      <c r="J382" s="1040"/>
      <c r="K382" s="1040"/>
      <c r="L382" s="1040"/>
      <c r="M382" s="1040"/>
      <c r="N382" s="1040"/>
      <c r="O382" s="1040"/>
      <c r="P382" s="1040"/>
      <c r="Q382" s="1040"/>
      <c r="R382" s="1040"/>
      <c r="S382" s="1040"/>
      <c r="T382" s="1040"/>
      <c r="U382" s="1040"/>
      <c r="V382" s="1040"/>
      <c r="W382" s="1040"/>
      <c r="X382" s="1040"/>
      <c r="Y382" s="1040"/>
      <c r="Z382" s="1040"/>
      <c r="AA382" s="1040"/>
      <c r="AB382" s="1040"/>
      <c r="AC382" s="1040"/>
      <c r="AD382" s="1040"/>
      <c r="AE382" s="1040"/>
      <c r="AF382" s="1040"/>
      <c r="AG382" s="1040"/>
      <c r="AH382" s="1040"/>
      <c r="AI382" s="1040"/>
      <c r="AJ382" s="1039"/>
      <c r="AK382" s="1039"/>
      <c r="AL382" s="1039"/>
      <c r="AM382" s="1040"/>
      <c r="AN382" s="1040"/>
      <c r="AO382" s="1040"/>
      <c r="AP382" s="1040"/>
      <c r="AQ382" s="1040"/>
      <c r="AR382" s="1040"/>
      <c r="AS382" s="1040"/>
      <c r="AT382" s="1040"/>
      <c r="AU382" s="1040"/>
      <c r="AV382" s="1040"/>
      <c r="AW382" s="1040"/>
      <c r="AX382" s="1040"/>
    </row>
    <row r="383" spans="1:50">
      <c r="A383" s="1041"/>
      <c r="B383" s="1040"/>
      <c r="C383" s="1040"/>
      <c r="D383" s="1040"/>
      <c r="E383" s="1040"/>
      <c r="F383" s="1040"/>
      <c r="G383" s="1040"/>
      <c r="H383" s="1040"/>
      <c r="I383" s="1040"/>
      <c r="J383" s="1040"/>
      <c r="K383" s="1040"/>
      <c r="L383" s="1040"/>
      <c r="M383" s="1040"/>
      <c r="N383" s="1040"/>
      <c r="O383" s="1040"/>
      <c r="P383" s="1040"/>
      <c r="Q383" s="1040"/>
      <c r="R383" s="1040"/>
      <c r="S383" s="1040"/>
      <c r="T383" s="1040"/>
      <c r="U383" s="1040"/>
      <c r="V383" s="1040"/>
      <c r="W383" s="1040"/>
      <c r="X383" s="1040"/>
      <c r="Y383" s="1040"/>
      <c r="Z383" s="1040"/>
      <c r="AA383" s="1040"/>
      <c r="AB383" s="1040"/>
      <c r="AC383" s="1040"/>
      <c r="AD383" s="1040"/>
      <c r="AE383" s="1040"/>
      <c r="AF383" s="1040"/>
      <c r="AG383" s="1040"/>
      <c r="AH383" s="1040"/>
      <c r="AI383" s="1040"/>
      <c r="AJ383" s="1039"/>
      <c r="AK383" s="1039"/>
      <c r="AL383" s="1039"/>
      <c r="AM383" s="1040"/>
      <c r="AN383" s="1040"/>
      <c r="AO383" s="1040"/>
      <c r="AP383" s="1040"/>
      <c r="AQ383" s="1040"/>
      <c r="AR383" s="1040"/>
      <c r="AS383" s="1040"/>
      <c r="AT383" s="1040"/>
      <c r="AU383" s="1040"/>
      <c r="AV383" s="1040"/>
      <c r="AW383" s="1040"/>
      <c r="AX383" s="1040"/>
    </row>
    <row r="384" spans="1:50">
      <c r="A384" s="1041"/>
      <c r="B384" s="1040"/>
      <c r="C384" s="1040"/>
      <c r="D384" s="1040"/>
      <c r="E384" s="1040"/>
      <c r="F384" s="1040"/>
      <c r="G384" s="1040"/>
      <c r="H384" s="1040"/>
      <c r="I384" s="1040"/>
      <c r="J384" s="1040"/>
      <c r="K384" s="1040"/>
      <c r="L384" s="1040"/>
      <c r="M384" s="1040"/>
      <c r="N384" s="1040"/>
      <c r="O384" s="1040"/>
      <c r="P384" s="1040"/>
      <c r="Q384" s="1040"/>
      <c r="R384" s="1040"/>
      <c r="S384" s="1040"/>
      <c r="T384" s="1040"/>
      <c r="U384" s="1040"/>
      <c r="V384" s="1040"/>
      <c r="W384" s="1040"/>
      <c r="X384" s="1040"/>
      <c r="Y384" s="1040"/>
      <c r="Z384" s="1040"/>
      <c r="AA384" s="1040"/>
      <c r="AB384" s="1040"/>
      <c r="AC384" s="1040"/>
      <c r="AD384" s="1040"/>
      <c r="AE384" s="1040"/>
      <c r="AF384" s="1040"/>
      <c r="AG384" s="1040"/>
      <c r="AH384" s="1040"/>
      <c r="AI384" s="1040"/>
      <c r="AJ384" s="1039"/>
      <c r="AK384" s="1039"/>
      <c r="AL384" s="1039"/>
      <c r="AM384" s="1040"/>
      <c r="AN384" s="1040"/>
      <c r="AO384" s="1040"/>
      <c r="AP384" s="1040"/>
      <c r="AQ384" s="1040"/>
      <c r="AR384" s="1040"/>
      <c r="AS384" s="1040"/>
      <c r="AT384" s="1040"/>
      <c r="AU384" s="1040"/>
      <c r="AV384" s="1040"/>
      <c r="AW384" s="1040"/>
      <c r="AX384" s="1040"/>
    </row>
    <row r="385" spans="1:50">
      <c r="A385" s="1041"/>
      <c r="B385" s="1040"/>
      <c r="C385" s="1040"/>
      <c r="D385" s="1040"/>
      <c r="E385" s="1040"/>
      <c r="F385" s="1040"/>
      <c r="G385" s="1040"/>
      <c r="H385" s="1040"/>
      <c r="I385" s="1040"/>
      <c r="J385" s="1040"/>
      <c r="K385" s="1040"/>
      <c r="L385" s="1040"/>
      <c r="M385" s="1040"/>
      <c r="N385" s="1040"/>
      <c r="O385" s="1040"/>
      <c r="P385" s="1040"/>
      <c r="Q385" s="1040"/>
      <c r="R385" s="1040"/>
      <c r="S385" s="1040"/>
      <c r="T385" s="1040"/>
      <c r="U385" s="1040"/>
      <c r="V385" s="1040"/>
      <c r="W385" s="1040"/>
      <c r="X385" s="1040"/>
      <c r="Y385" s="1040"/>
      <c r="Z385" s="1040"/>
      <c r="AA385" s="1040"/>
      <c r="AB385" s="1040"/>
      <c r="AC385" s="1040"/>
      <c r="AD385" s="1040"/>
      <c r="AE385" s="1040"/>
      <c r="AF385" s="1040"/>
      <c r="AG385" s="1040"/>
      <c r="AH385" s="1040"/>
      <c r="AI385" s="1040"/>
      <c r="AJ385" s="1039"/>
      <c r="AK385" s="1039"/>
      <c r="AL385" s="1039"/>
      <c r="AM385" s="1040"/>
      <c r="AN385" s="1040"/>
      <c r="AO385" s="1040"/>
      <c r="AP385" s="1040"/>
      <c r="AQ385" s="1040"/>
      <c r="AR385" s="1040"/>
      <c r="AS385" s="1040"/>
      <c r="AT385" s="1040"/>
      <c r="AU385" s="1040"/>
      <c r="AV385" s="1040"/>
      <c r="AW385" s="1040"/>
      <c r="AX385" s="1040"/>
    </row>
    <row r="386" spans="1:50">
      <c r="A386" s="1041"/>
      <c r="B386" s="1040"/>
      <c r="C386" s="1040"/>
      <c r="D386" s="1040"/>
      <c r="E386" s="1040"/>
      <c r="F386" s="1040"/>
      <c r="G386" s="1040"/>
      <c r="H386" s="1040"/>
      <c r="I386" s="1040"/>
      <c r="J386" s="1040"/>
      <c r="K386" s="1040"/>
      <c r="L386" s="1040"/>
      <c r="M386" s="1040"/>
      <c r="N386" s="1040"/>
      <c r="O386" s="1040"/>
      <c r="P386" s="1040"/>
      <c r="Q386" s="1040"/>
      <c r="R386" s="1040"/>
      <c r="S386" s="1040"/>
      <c r="T386" s="1040"/>
      <c r="U386" s="1040"/>
      <c r="V386" s="1040"/>
      <c r="W386" s="1040"/>
      <c r="X386" s="1040"/>
      <c r="Y386" s="1040"/>
      <c r="Z386" s="1040"/>
      <c r="AA386" s="1040"/>
      <c r="AB386" s="1040"/>
      <c r="AC386" s="1040"/>
      <c r="AD386" s="1040"/>
      <c r="AE386" s="1040"/>
      <c r="AF386" s="1040"/>
      <c r="AG386" s="1040"/>
      <c r="AH386" s="1040"/>
      <c r="AI386" s="1040"/>
      <c r="AJ386" s="1039"/>
      <c r="AK386" s="1039"/>
      <c r="AL386" s="1039"/>
      <c r="AM386" s="1040"/>
      <c r="AN386" s="1040"/>
      <c r="AO386" s="1040"/>
      <c r="AP386" s="1040"/>
      <c r="AQ386" s="1040"/>
      <c r="AR386" s="1040"/>
      <c r="AS386" s="1040"/>
      <c r="AT386" s="1040"/>
      <c r="AU386" s="1040"/>
      <c r="AV386" s="1040"/>
      <c r="AW386" s="1040"/>
      <c r="AX386" s="1040"/>
    </row>
    <row r="387" spans="1:50">
      <c r="A387" s="1041"/>
      <c r="B387" s="1040"/>
      <c r="C387" s="1040"/>
      <c r="D387" s="1040"/>
      <c r="E387" s="1040"/>
      <c r="F387" s="1040"/>
      <c r="G387" s="1040"/>
      <c r="H387" s="1040"/>
      <c r="I387" s="1040"/>
      <c r="J387" s="1040"/>
      <c r="K387" s="1040"/>
      <c r="L387" s="1040"/>
      <c r="M387" s="1040"/>
      <c r="N387" s="1040"/>
      <c r="O387" s="1040"/>
      <c r="P387" s="1040"/>
      <c r="Q387" s="1040"/>
      <c r="R387" s="1040"/>
      <c r="S387" s="1040"/>
      <c r="T387" s="1040"/>
      <c r="U387" s="1040"/>
      <c r="V387" s="1040"/>
      <c r="W387" s="1040"/>
      <c r="X387" s="1040"/>
      <c r="Y387" s="1040"/>
      <c r="Z387" s="1040"/>
      <c r="AA387" s="1040"/>
      <c r="AB387" s="1040"/>
      <c r="AC387" s="1040"/>
      <c r="AD387" s="1040"/>
      <c r="AE387" s="1040"/>
      <c r="AF387" s="1040"/>
      <c r="AG387" s="1040"/>
      <c r="AH387" s="1040"/>
      <c r="AI387" s="1040"/>
      <c r="AJ387" s="1039"/>
      <c r="AK387" s="1039"/>
      <c r="AL387" s="1039"/>
      <c r="AM387" s="1040"/>
      <c r="AN387" s="1040"/>
      <c r="AO387" s="1040"/>
      <c r="AP387" s="1040"/>
      <c r="AQ387" s="1040"/>
      <c r="AR387" s="1040"/>
      <c r="AS387" s="1040"/>
      <c r="AT387" s="1040"/>
      <c r="AU387" s="1040"/>
      <c r="AV387" s="1040"/>
      <c r="AW387" s="1040"/>
      <c r="AX387" s="1040"/>
    </row>
    <row r="388" spans="1:50">
      <c r="A388" s="1041"/>
      <c r="B388" s="1040"/>
      <c r="C388" s="1040"/>
      <c r="D388" s="1040"/>
      <c r="E388" s="1040"/>
      <c r="F388" s="1040"/>
      <c r="G388" s="1040"/>
      <c r="H388" s="1040"/>
      <c r="I388" s="1040"/>
      <c r="J388" s="1040"/>
      <c r="K388" s="1040"/>
      <c r="L388" s="1040"/>
      <c r="M388" s="1040"/>
      <c r="N388" s="1040"/>
      <c r="O388" s="1040"/>
      <c r="P388" s="1040"/>
      <c r="Q388" s="1040"/>
      <c r="R388" s="1040"/>
      <c r="S388" s="1040"/>
      <c r="T388" s="1040"/>
      <c r="U388" s="1040"/>
      <c r="V388" s="1040"/>
      <c r="W388" s="1040"/>
      <c r="X388" s="1040"/>
      <c r="Y388" s="1040"/>
      <c r="Z388" s="1040"/>
      <c r="AA388" s="1040"/>
      <c r="AB388" s="1040"/>
      <c r="AC388" s="1040"/>
      <c r="AD388" s="1040"/>
      <c r="AE388" s="1040"/>
      <c r="AF388" s="1040"/>
      <c r="AG388" s="1040"/>
      <c r="AH388" s="1040"/>
      <c r="AI388" s="1040"/>
      <c r="AJ388" s="1039"/>
      <c r="AK388" s="1039"/>
      <c r="AL388" s="1039"/>
      <c r="AM388" s="1040"/>
      <c r="AN388" s="1040"/>
      <c r="AO388" s="1040"/>
      <c r="AP388" s="1040"/>
      <c r="AQ388" s="1040"/>
      <c r="AR388" s="1040"/>
      <c r="AS388" s="1040"/>
      <c r="AT388" s="1040"/>
      <c r="AU388" s="1040"/>
      <c r="AV388" s="1040"/>
      <c r="AW388" s="1040"/>
      <c r="AX388" s="1040"/>
    </row>
    <row r="389" spans="1:50">
      <c r="A389" s="1041"/>
      <c r="B389" s="1040"/>
      <c r="C389" s="1040"/>
      <c r="D389" s="1040"/>
      <c r="E389" s="1040"/>
      <c r="F389" s="1040"/>
      <c r="G389" s="1040"/>
      <c r="H389" s="1040"/>
      <c r="I389" s="1040"/>
      <c r="J389" s="1040"/>
      <c r="K389" s="1040"/>
      <c r="L389" s="1040"/>
      <c r="M389" s="1040"/>
      <c r="N389" s="1040"/>
      <c r="O389" s="1040"/>
      <c r="P389" s="1040"/>
      <c r="Q389" s="1040"/>
      <c r="R389" s="1040"/>
      <c r="S389" s="1040"/>
      <c r="T389" s="1040"/>
      <c r="U389" s="1040"/>
      <c r="V389" s="1040"/>
      <c r="W389" s="1040"/>
      <c r="X389" s="1040"/>
      <c r="Y389" s="1040"/>
      <c r="Z389" s="1040"/>
      <c r="AA389" s="1040"/>
      <c r="AB389" s="1040"/>
      <c r="AC389" s="1040"/>
      <c r="AD389" s="1040"/>
      <c r="AE389" s="1040"/>
      <c r="AF389" s="1040"/>
      <c r="AG389" s="1040"/>
      <c r="AH389" s="1040"/>
      <c r="AI389" s="1040"/>
      <c r="AJ389" s="1039"/>
      <c r="AK389" s="1039"/>
      <c r="AL389" s="1039"/>
      <c r="AM389" s="1040"/>
      <c r="AN389" s="1040"/>
      <c r="AO389" s="1040"/>
      <c r="AP389" s="1040"/>
      <c r="AQ389" s="1040"/>
      <c r="AR389" s="1040"/>
      <c r="AS389" s="1040"/>
      <c r="AT389" s="1040"/>
      <c r="AU389" s="1040"/>
      <c r="AV389" s="1040"/>
      <c r="AW389" s="1040"/>
      <c r="AX389" s="1040"/>
    </row>
    <row r="390" spans="1:50">
      <c r="A390" s="1041"/>
      <c r="B390" s="1040"/>
      <c r="C390" s="1040"/>
      <c r="D390" s="1040"/>
      <c r="E390" s="1040"/>
      <c r="F390" s="1040"/>
      <c r="G390" s="1040"/>
      <c r="H390" s="1040"/>
      <c r="I390" s="1040"/>
      <c r="J390" s="1040"/>
      <c r="K390" s="1040"/>
      <c r="L390" s="1040"/>
      <c r="M390" s="1040"/>
      <c r="N390" s="1040"/>
      <c r="O390" s="1040"/>
      <c r="P390" s="1040"/>
      <c r="Q390" s="1040"/>
      <c r="R390" s="1040"/>
      <c r="S390" s="1040"/>
      <c r="T390" s="1040"/>
      <c r="U390" s="1040"/>
      <c r="V390" s="1040"/>
      <c r="W390" s="1040"/>
      <c r="X390" s="1040"/>
      <c r="Y390" s="1040"/>
      <c r="Z390" s="1040"/>
      <c r="AA390" s="1040"/>
      <c r="AB390" s="1040"/>
      <c r="AC390" s="1040"/>
      <c r="AD390" s="1040"/>
      <c r="AE390" s="1040"/>
      <c r="AF390" s="1040"/>
      <c r="AG390" s="1040"/>
      <c r="AH390" s="1040"/>
      <c r="AI390" s="1040"/>
      <c r="AJ390" s="1039"/>
      <c r="AK390" s="1039"/>
      <c r="AL390" s="1039"/>
      <c r="AM390" s="1040"/>
      <c r="AN390" s="1040"/>
      <c r="AO390" s="1040"/>
      <c r="AP390" s="1040"/>
      <c r="AQ390" s="1040"/>
      <c r="AR390" s="1040"/>
      <c r="AS390" s="1040"/>
      <c r="AT390" s="1040"/>
      <c r="AU390" s="1040"/>
      <c r="AV390" s="1040"/>
      <c r="AW390" s="1040"/>
      <c r="AX390" s="1040"/>
    </row>
    <row r="391" spans="1:50">
      <c r="A391" s="1041"/>
      <c r="B391" s="1040"/>
      <c r="C391" s="1040"/>
      <c r="D391" s="1040"/>
      <c r="E391" s="1040"/>
      <c r="F391" s="1040"/>
      <c r="G391" s="1040"/>
      <c r="H391" s="1040"/>
      <c r="I391" s="1040"/>
      <c r="J391" s="1040"/>
      <c r="K391" s="1040"/>
      <c r="L391" s="1040"/>
      <c r="M391" s="1040"/>
      <c r="N391" s="1040"/>
      <c r="O391" s="1040"/>
      <c r="P391" s="1040"/>
      <c r="Q391" s="1040"/>
      <c r="R391" s="1040"/>
      <c r="S391" s="1040"/>
      <c r="T391" s="1040"/>
      <c r="U391" s="1040"/>
      <c r="V391" s="1040"/>
      <c r="W391" s="1040"/>
      <c r="X391" s="1040"/>
      <c r="Y391" s="1040"/>
      <c r="Z391" s="1040"/>
      <c r="AA391" s="1040"/>
      <c r="AB391" s="1040"/>
      <c r="AC391" s="1040"/>
      <c r="AD391" s="1040"/>
      <c r="AE391" s="1040"/>
      <c r="AF391" s="1040"/>
      <c r="AG391" s="1040"/>
      <c r="AH391" s="1040"/>
      <c r="AI391" s="1040"/>
      <c r="AJ391" s="1039"/>
      <c r="AK391" s="1039"/>
      <c r="AL391" s="1039"/>
      <c r="AM391" s="1040"/>
      <c r="AN391" s="1040"/>
      <c r="AO391" s="1040"/>
      <c r="AP391" s="1040"/>
      <c r="AQ391" s="1040"/>
      <c r="AR391" s="1040"/>
      <c r="AS391" s="1040"/>
      <c r="AT391" s="1040"/>
      <c r="AU391" s="1040"/>
      <c r="AV391" s="1040"/>
      <c r="AW391" s="1040"/>
      <c r="AX391" s="1040"/>
    </row>
    <row r="392" spans="1:50">
      <c r="A392" s="1041"/>
      <c r="B392" s="1040"/>
      <c r="C392" s="1040"/>
      <c r="D392" s="1040"/>
      <c r="E392" s="1040"/>
      <c r="F392" s="1040"/>
      <c r="G392" s="1040"/>
      <c r="H392" s="1040"/>
      <c r="I392" s="1040"/>
      <c r="J392" s="1040"/>
      <c r="K392" s="1040"/>
      <c r="L392" s="1040"/>
      <c r="M392" s="1040"/>
      <c r="N392" s="1040"/>
      <c r="O392" s="1040"/>
      <c r="P392" s="1040"/>
      <c r="Q392" s="1040"/>
      <c r="R392" s="1040"/>
      <c r="S392" s="1040"/>
      <c r="T392" s="1040"/>
      <c r="U392" s="1040"/>
      <c r="V392" s="1040"/>
      <c r="W392" s="1040"/>
      <c r="X392" s="1040"/>
      <c r="Y392" s="1040"/>
      <c r="Z392" s="1040"/>
      <c r="AA392" s="1040"/>
      <c r="AB392" s="1040"/>
      <c r="AC392" s="1040"/>
      <c r="AD392" s="1040"/>
      <c r="AE392" s="1040"/>
      <c r="AF392" s="1040"/>
      <c r="AG392" s="1040"/>
      <c r="AH392" s="1040"/>
      <c r="AI392" s="1040"/>
      <c r="AJ392" s="1039"/>
      <c r="AK392" s="1039"/>
      <c r="AL392" s="1039"/>
      <c r="AM392" s="1040"/>
      <c r="AN392" s="1040"/>
      <c r="AO392" s="1040"/>
      <c r="AP392" s="1040"/>
      <c r="AQ392" s="1040"/>
      <c r="AR392" s="1040"/>
      <c r="AS392" s="1040"/>
      <c r="AT392" s="1040"/>
      <c r="AU392" s="1040"/>
      <c r="AV392" s="1040"/>
      <c r="AW392" s="1040"/>
      <c r="AX392" s="1040"/>
    </row>
    <row r="393" spans="1:50">
      <c r="A393" s="1041"/>
      <c r="B393" s="1040"/>
      <c r="C393" s="1040"/>
      <c r="D393" s="1040"/>
      <c r="E393" s="1040"/>
      <c r="F393" s="1040"/>
      <c r="G393" s="1040"/>
      <c r="H393" s="1040"/>
      <c r="I393" s="1040"/>
      <c r="J393" s="1040"/>
      <c r="K393" s="1040"/>
      <c r="L393" s="1040"/>
      <c r="M393" s="1040"/>
      <c r="N393" s="1040"/>
      <c r="O393" s="1040"/>
      <c r="P393" s="1040"/>
      <c r="Q393" s="1040"/>
      <c r="R393" s="1040"/>
      <c r="S393" s="1040"/>
      <c r="T393" s="1040"/>
      <c r="U393" s="1040"/>
      <c r="V393" s="1040"/>
      <c r="W393" s="1040"/>
      <c r="X393" s="1040"/>
      <c r="Y393" s="1040"/>
      <c r="Z393" s="1040"/>
      <c r="AA393" s="1040"/>
      <c r="AB393" s="1040"/>
      <c r="AC393" s="1040"/>
      <c r="AD393" s="1040"/>
      <c r="AE393" s="1040"/>
      <c r="AF393" s="1040"/>
      <c r="AG393" s="1040"/>
      <c r="AH393" s="1040"/>
      <c r="AI393" s="1040"/>
      <c r="AJ393" s="1039"/>
      <c r="AK393" s="1039"/>
      <c r="AL393" s="1039"/>
      <c r="AM393" s="1040"/>
      <c r="AN393" s="1040"/>
      <c r="AO393" s="1040"/>
      <c r="AP393" s="1040"/>
      <c r="AQ393" s="1040"/>
      <c r="AR393" s="1040"/>
      <c r="AS393" s="1040"/>
      <c r="AT393" s="1040"/>
      <c r="AU393" s="1040"/>
      <c r="AV393" s="1040"/>
      <c r="AW393" s="1040"/>
      <c r="AX393" s="1040"/>
    </row>
    <row r="394" spans="1:50">
      <c r="A394" s="1041"/>
      <c r="B394" s="1040"/>
      <c r="C394" s="1040"/>
      <c r="D394" s="1040"/>
      <c r="E394" s="1040"/>
      <c r="F394" s="1040"/>
      <c r="G394" s="1040"/>
      <c r="H394" s="1040"/>
      <c r="I394" s="1040"/>
      <c r="J394" s="1040"/>
      <c r="K394" s="1040"/>
      <c r="L394" s="1040"/>
      <c r="M394" s="1040"/>
      <c r="N394" s="1040"/>
      <c r="O394" s="1040"/>
      <c r="P394" s="1040"/>
      <c r="Q394" s="1040"/>
      <c r="R394" s="1040"/>
      <c r="S394" s="1040"/>
      <c r="T394" s="1040"/>
      <c r="U394" s="1040"/>
      <c r="V394" s="1040"/>
      <c r="W394" s="1040"/>
      <c r="X394" s="1040"/>
      <c r="Y394" s="1040"/>
      <c r="Z394" s="1040"/>
      <c r="AA394" s="1040"/>
      <c r="AB394" s="1040"/>
      <c r="AC394" s="1040"/>
      <c r="AD394" s="1040"/>
      <c r="AE394" s="1040"/>
      <c r="AF394" s="1040"/>
      <c r="AG394" s="1040"/>
      <c r="AH394" s="1040"/>
      <c r="AI394" s="1040"/>
      <c r="AJ394" s="1039"/>
      <c r="AK394" s="1039"/>
      <c r="AL394" s="1039"/>
      <c r="AM394" s="1040"/>
      <c r="AN394" s="1040"/>
      <c r="AO394" s="1040"/>
      <c r="AP394" s="1040"/>
      <c r="AQ394" s="1040"/>
      <c r="AR394" s="1040"/>
      <c r="AS394" s="1040"/>
      <c r="AT394" s="1040"/>
      <c r="AU394" s="1040"/>
      <c r="AV394" s="1040"/>
      <c r="AW394" s="1040"/>
      <c r="AX394" s="1040"/>
    </row>
    <row r="395" spans="1:50">
      <c r="A395" s="1041"/>
      <c r="B395" s="1040"/>
      <c r="C395" s="1040"/>
      <c r="D395" s="1040"/>
      <c r="E395" s="1040"/>
      <c r="F395" s="1040"/>
      <c r="G395" s="1040"/>
      <c r="H395" s="1040"/>
      <c r="I395" s="1040"/>
      <c r="J395" s="1040"/>
      <c r="K395" s="1040"/>
      <c r="L395" s="1040"/>
      <c r="M395" s="1040"/>
      <c r="N395" s="1040"/>
      <c r="O395" s="1040"/>
      <c r="P395" s="1040"/>
      <c r="Q395" s="1040"/>
      <c r="R395" s="1040"/>
      <c r="S395" s="1040"/>
      <c r="T395" s="1040"/>
      <c r="U395" s="1040"/>
      <c r="V395" s="1040"/>
      <c r="W395" s="1040"/>
      <c r="X395" s="1040"/>
      <c r="Y395" s="1040"/>
      <c r="Z395" s="1040"/>
      <c r="AA395" s="1040"/>
      <c r="AB395" s="1040"/>
      <c r="AC395" s="1040"/>
      <c r="AD395" s="1040"/>
      <c r="AE395" s="1040"/>
      <c r="AF395" s="1040"/>
      <c r="AG395" s="1040"/>
      <c r="AH395" s="1040"/>
      <c r="AI395" s="1040"/>
      <c r="AJ395" s="1039"/>
      <c r="AK395" s="1039"/>
      <c r="AL395" s="1039"/>
      <c r="AM395" s="1040"/>
      <c r="AN395" s="1040"/>
      <c r="AO395" s="1040"/>
      <c r="AP395" s="1040"/>
      <c r="AQ395" s="1040"/>
      <c r="AR395" s="1040"/>
      <c r="AS395" s="1040"/>
      <c r="AT395" s="1040"/>
      <c r="AU395" s="1040"/>
      <c r="AV395" s="1040"/>
      <c r="AW395" s="1040"/>
      <c r="AX395" s="1040"/>
    </row>
    <row r="396" spans="1:50">
      <c r="A396" s="1041"/>
      <c r="B396" s="1040"/>
      <c r="C396" s="1040"/>
      <c r="D396" s="1040"/>
      <c r="E396" s="1040"/>
      <c r="F396" s="1040"/>
      <c r="G396" s="1040"/>
      <c r="H396" s="1040"/>
      <c r="I396" s="1040"/>
      <c r="J396" s="1040"/>
      <c r="K396" s="1040"/>
      <c r="L396" s="1040"/>
      <c r="M396" s="1040"/>
      <c r="N396" s="1040"/>
      <c r="O396" s="1040"/>
      <c r="P396" s="1040"/>
      <c r="Q396" s="1040"/>
      <c r="R396" s="1040"/>
      <c r="S396" s="1040"/>
      <c r="T396" s="1040"/>
      <c r="U396" s="1040"/>
      <c r="V396" s="1040"/>
      <c r="W396" s="1040"/>
      <c r="X396" s="1040"/>
      <c r="Y396" s="1040"/>
      <c r="Z396" s="1040"/>
      <c r="AA396" s="1040"/>
      <c r="AB396" s="1040"/>
      <c r="AC396" s="1040"/>
      <c r="AD396" s="1040"/>
      <c r="AE396" s="1040"/>
      <c r="AF396" s="1040"/>
      <c r="AG396" s="1040"/>
      <c r="AH396" s="1040"/>
      <c r="AI396" s="1040"/>
      <c r="AJ396" s="1039"/>
      <c r="AK396" s="1039"/>
      <c r="AL396" s="1039"/>
      <c r="AM396" s="1040"/>
      <c r="AN396" s="1040"/>
      <c r="AO396" s="1040"/>
      <c r="AP396" s="1040"/>
      <c r="AQ396" s="1040"/>
      <c r="AR396" s="1040"/>
      <c r="AS396" s="1040"/>
      <c r="AT396" s="1040"/>
      <c r="AU396" s="1040"/>
      <c r="AV396" s="1040"/>
      <c r="AW396" s="1040"/>
      <c r="AX396" s="1040"/>
    </row>
    <row r="397" spans="1:50">
      <c r="A397" s="1041"/>
      <c r="B397" s="1040"/>
      <c r="C397" s="1040"/>
      <c r="D397" s="1040"/>
      <c r="E397" s="1040"/>
      <c r="F397" s="1040"/>
      <c r="G397" s="1040"/>
      <c r="H397" s="1040"/>
      <c r="I397" s="1040"/>
      <c r="J397" s="1040"/>
      <c r="K397" s="1040"/>
      <c r="L397" s="1040"/>
      <c r="M397" s="1040"/>
      <c r="N397" s="1040"/>
      <c r="O397" s="1040"/>
      <c r="P397" s="1040"/>
      <c r="Q397" s="1040"/>
      <c r="R397" s="1040"/>
      <c r="S397" s="1040"/>
      <c r="T397" s="1040"/>
      <c r="U397" s="1040"/>
      <c r="V397" s="1040"/>
      <c r="W397" s="1040"/>
      <c r="X397" s="1040"/>
      <c r="Y397" s="1040"/>
      <c r="Z397" s="1040"/>
      <c r="AA397" s="1040"/>
      <c r="AB397" s="1040"/>
      <c r="AC397" s="1040"/>
      <c r="AD397" s="1040"/>
      <c r="AE397" s="1040"/>
      <c r="AF397" s="1040"/>
      <c r="AG397" s="1040"/>
      <c r="AH397" s="1040"/>
      <c r="AI397" s="1040"/>
      <c r="AJ397" s="1039"/>
      <c r="AK397" s="1039"/>
      <c r="AL397" s="1039"/>
      <c r="AM397" s="1040"/>
      <c r="AN397" s="1040"/>
      <c r="AO397" s="1040"/>
      <c r="AP397" s="1040"/>
      <c r="AQ397" s="1040"/>
      <c r="AR397" s="1040"/>
      <c r="AS397" s="1040"/>
      <c r="AT397" s="1040"/>
      <c r="AU397" s="1040"/>
      <c r="AV397" s="1040"/>
      <c r="AW397" s="1040"/>
      <c r="AX397" s="1040"/>
    </row>
    <row r="398" spans="1:50">
      <c r="A398" s="1041"/>
      <c r="B398" s="1040"/>
      <c r="C398" s="1040"/>
      <c r="D398" s="1040"/>
      <c r="E398" s="1040"/>
      <c r="F398" s="1040"/>
      <c r="G398" s="1040"/>
      <c r="H398" s="1040"/>
      <c r="I398" s="1040"/>
      <c r="J398" s="1040"/>
      <c r="K398" s="1040"/>
      <c r="L398" s="1040"/>
      <c r="M398" s="1040"/>
      <c r="N398" s="1040"/>
      <c r="O398" s="1040"/>
      <c r="P398" s="1040"/>
      <c r="Q398" s="1040"/>
      <c r="R398" s="1040"/>
      <c r="S398" s="1040"/>
      <c r="T398" s="1040"/>
      <c r="U398" s="1040"/>
      <c r="V398" s="1040"/>
      <c r="W398" s="1040"/>
      <c r="X398" s="1040"/>
      <c r="Y398" s="1040"/>
      <c r="Z398" s="1040"/>
      <c r="AA398" s="1040"/>
      <c r="AB398" s="1040"/>
      <c r="AC398" s="1040"/>
      <c r="AD398" s="1040"/>
      <c r="AE398" s="1040"/>
      <c r="AF398" s="1040"/>
      <c r="AG398" s="1040"/>
      <c r="AH398" s="1040"/>
      <c r="AI398" s="1040"/>
      <c r="AJ398" s="1039"/>
      <c r="AK398" s="1039"/>
      <c r="AL398" s="1039"/>
      <c r="AM398" s="1040"/>
      <c r="AN398" s="1040"/>
      <c r="AO398" s="1040"/>
      <c r="AP398" s="1040"/>
      <c r="AQ398" s="1040"/>
      <c r="AR398" s="1040"/>
      <c r="AS398" s="1040"/>
      <c r="AT398" s="1040"/>
      <c r="AU398" s="1040"/>
      <c r="AV398" s="1040"/>
      <c r="AW398" s="1040"/>
      <c r="AX398" s="1040"/>
    </row>
    <row r="399" spans="1:50">
      <c r="A399" s="1041"/>
      <c r="B399" s="1040"/>
      <c r="C399" s="1040"/>
      <c r="D399" s="1040"/>
      <c r="E399" s="1040"/>
      <c r="F399" s="1040"/>
      <c r="G399" s="1040"/>
      <c r="H399" s="1040"/>
      <c r="I399" s="1040"/>
      <c r="J399" s="1040"/>
      <c r="K399" s="1040"/>
      <c r="L399" s="1040"/>
      <c r="M399" s="1040"/>
      <c r="N399" s="1040"/>
      <c r="O399" s="1040"/>
      <c r="P399" s="1040"/>
      <c r="Q399" s="1040"/>
      <c r="R399" s="1040"/>
      <c r="S399" s="1040"/>
      <c r="T399" s="1040"/>
      <c r="U399" s="1040"/>
      <c r="V399" s="1040"/>
      <c r="W399" s="1040"/>
      <c r="X399" s="1040"/>
      <c r="Y399" s="1040"/>
      <c r="Z399" s="1040"/>
      <c r="AA399" s="1040"/>
      <c r="AB399" s="1040"/>
      <c r="AC399" s="1040"/>
      <c r="AD399" s="1040"/>
      <c r="AE399" s="1040"/>
      <c r="AF399" s="1040"/>
      <c r="AG399" s="1040"/>
      <c r="AH399" s="1040"/>
      <c r="AI399" s="1040"/>
      <c r="AJ399" s="1039"/>
      <c r="AK399" s="1039"/>
      <c r="AL399" s="1039"/>
      <c r="AM399" s="1040"/>
      <c r="AN399" s="1040"/>
      <c r="AO399" s="1040"/>
      <c r="AP399" s="1040"/>
      <c r="AQ399" s="1040"/>
      <c r="AR399" s="1040"/>
      <c r="AS399" s="1040"/>
      <c r="AT399" s="1040"/>
      <c r="AU399" s="1040"/>
      <c r="AV399" s="1040"/>
      <c r="AW399" s="1040"/>
      <c r="AX399" s="1040"/>
    </row>
    <row r="400" spans="1:50">
      <c r="A400" s="1041"/>
      <c r="B400" s="1040"/>
      <c r="C400" s="1040"/>
      <c r="D400" s="1040"/>
      <c r="E400" s="1040"/>
      <c r="F400" s="1040"/>
      <c r="G400" s="1040"/>
      <c r="H400" s="1040"/>
      <c r="I400" s="1040"/>
      <c r="J400" s="1040"/>
      <c r="K400" s="1040"/>
      <c r="L400" s="1040"/>
      <c r="M400" s="1040"/>
      <c r="N400" s="1040"/>
      <c r="O400" s="1040"/>
      <c r="P400" s="1040"/>
      <c r="Q400" s="1040"/>
      <c r="R400" s="1040"/>
      <c r="S400" s="1040"/>
      <c r="T400" s="1040"/>
      <c r="U400" s="1040"/>
      <c r="V400" s="1040"/>
      <c r="W400" s="1040"/>
      <c r="X400" s="1040"/>
      <c r="Y400" s="1040"/>
      <c r="Z400" s="1040"/>
      <c r="AA400" s="1040"/>
      <c r="AB400" s="1040"/>
      <c r="AC400" s="1040"/>
      <c r="AD400" s="1040"/>
      <c r="AE400" s="1040"/>
      <c r="AF400" s="1040"/>
      <c r="AG400" s="1040"/>
      <c r="AH400" s="1040"/>
      <c r="AI400" s="1040"/>
      <c r="AJ400" s="1039"/>
      <c r="AK400" s="1039"/>
      <c r="AL400" s="1039"/>
      <c r="AM400" s="1040"/>
      <c r="AN400" s="1040"/>
      <c r="AO400" s="1040"/>
      <c r="AP400" s="1040"/>
      <c r="AQ400" s="1040"/>
      <c r="AR400" s="1040"/>
      <c r="AS400" s="1040"/>
      <c r="AT400" s="1040"/>
      <c r="AU400" s="1040"/>
      <c r="AV400" s="1040"/>
      <c r="AW400" s="1040"/>
      <c r="AX400" s="1040"/>
    </row>
    <row r="401" spans="1:50">
      <c r="A401" s="1041"/>
      <c r="B401" s="1040"/>
      <c r="C401" s="1040"/>
      <c r="D401" s="1040"/>
      <c r="E401" s="1040"/>
      <c r="F401" s="1040"/>
      <c r="G401" s="1040"/>
      <c r="H401" s="1040"/>
      <c r="I401" s="1040"/>
      <c r="J401" s="1040"/>
      <c r="K401" s="1040"/>
      <c r="L401" s="1040"/>
      <c r="M401" s="1040"/>
      <c r="N401" s="1040"/>
      <c r="O401" s="1040"/>
      <c r="P401" s="1040"/>
      <c r="Q401" s="1040"/>
      <c r="R401" s="1040"/>
      <c r="S401" s="1040"/>
      <c r="T401" s="1040"/>
      <c r="U401" s="1040"/>
      <c r="V401" s="1040"/>
      <c r="W401" s="1040"/>
      <c r="X401" s="1040"/>
      <c r="Y401" s="1040"/>
      <c r="Z401" s="1040"/>
      <c r="AA401" s="1040"/>
      <c r="AB401" s="1040"/>
      <c r="AC401" s="1040"/>
      <c r="AD401" s="1040"/>
      <c r="AE401" s="1040"/>
      <c r="AF401" s="1040"/>
      <c r="AG401" s="1040"/>
      <c r="AH401" s="1040"/>
      <c r="AI401" s="1040"/>
      <c r="AJ401" s="1039"/>
      <c r="AK401" s="1039"/>
      <c r="AL401" s="1039"/>
      <c r="AM401" s="1040"/>
      <c r="AN401" s="1040"/>
      <c r="AO401" s="1040"/>
      <c r="AP401" s="1040"/>
      <c r="AQ401" s="1040"/>
      <c r="AR401" s="1040"/>
      <c r="AS401" s="1040"/>
      <c r="AT401" s="1040"/>
      <c r="AU401" s="1040"/>
      <c r="AV401" s="1040"/>
      <c r="AW401" s="1040"/>
      <c r="AX401" s="1040"/>
    </row>
    <row r="402" spans="1:50">
      <c r="A402" s="1041"/>
      <c r="B402" s="1040"/>
      <c r="C402" s="1040"/>
      <c r="D402" s="1040"/>
      <c r="E402" s="1040"/>
      <c r="F402" s="1040"/>
      <c r="G402" s="1040"/>
      <c r="H402" s="1040"/>
      <c r="I402" s="1040"/>
      <c r="J402" s="1040"/>
      <c r="K402" s="1040"/>
      <c r="L402" s="1040"/>
      <c r="M402" s="1040"/>
      <c r="N402" s="1040"/>
      <c r="O402" s="1040"/>
      <c r="P402" s="1040"/>
      <c r="Q402" s="1040"/>
      <c r="R402" s="1040"/>
      <c r="S402" s="1040"/>
      <c r="T402" s="1040"/>
      <c r="U402" s="1040"/>
      <c r="V402" s="1040"/>
      <c r="W402" s="1040"/>
      <c r="X402" s="1040"/>
      <c r="Y402" s="1040"/>
      <c r="Z402" s="1040"/>
      <c r="AA402" s="1040"/>
      <c r="AB402" s="1040"/>
      <c r="AC402" s="1040"/>
      <c r="AD402" s="1040"/>
      <c r="AE402" s="1040"/>
      <c r="AF402" s="1040"/>
      <c r="AG402" s="1040"/>
      <c r="AH402" s="1040"/>
      <c r="AI402" s="1040"/>
      <c r="AJ402" s="1039"/>
      <c r="AK402" s="1039"/>
      <c r="AL402" s="1039"/>
      <c r="AM402" s="1040"/>
      <c r="AN402" s="1040"/>
      <c r="AO402" s="1040"/>
      <c r="AP402" s="1040"/>
      <c r="AQ402" s="1040"/>
      <c r="AR402" s="1040"/>
      <c r="AS402" s="1040"/>
      <c r="AT402" s="1040"/>
      <c r="AU402" s="1040"/>
      <c r="AV402" s="1040"/>
      <c r="AW402" s="1040"/>
      <c r="AX402" s="1040"/>
    </row>
    <row r="403" spans="1:50">
      <c r="A403" s="1041"/>
      <c r="B403" s="1040"/>
      <c r="C403" s="1040"/>
      <c r="D403" s="1040"/>
      <c r="E403" s="1040"/>
      <c r="F403" s="1040"/>
      <c r="G403" s="1040"/>
      <c r="H403" s="1040"/>
      <c r="I403" s="1040"/>
      <c r="J403" s="1040"/>
      <c r="K403" s="1040"/>
      <c r="L403" s="1040"/>
      <c r="M403" s="1040"/>
      <c r="N403" s="1040"/>
      <c r="O403" s="1040"/>
      <c r="P403" s="1040"/>
      <c r="Q403" s="1040"/>
      <c r="R403" s="1040"/>
      <c r="S403" s="1040"/>
      <c r="T403" s="1040"/>
      <c r="U403" s="1040"/>
      <c r="V403" s="1040"/>
      <c r="W403" s="1040"/>
      <c r="X403" s="1040"/>
      <c r="Y403" s="1040"/>
      <c r="Z403" s="1040"/>
      <c r="AA403" s="1040"/>
      <c r="AB403" s="1040"/>
      <c r="AC403" s="1040"/>
      <c r="AD403" s="1040"/>
      <c r="AE403" s="1040"/>
      <c r="AF403" s="1040"/>
      <c r="AG403" s="1040"/>
      <c r="AH403" s="1040"/>
      <c r="AI403" s="1040"/>
      <c r="AJ403" s="1039"/>
      <c r="AK403" s="1039"/>
      <c r="AL403" s="1039"/>
      <c r="AM403" s="1040"/>
      <c r="AN403" s="1040"/>
      <c r="AO403" s="1040"/>
      <c r="AP403" s="1040"/>
      <c r="AQ403" s="1040"/>
      <c r="AR403" s="1040"/>
      <c r="AS403" s="1040"/>
      <c r="AT403" s="1040"/>
      <c r="AU403" s="1040"/>
      <c r="AV403" s="1040"/>
      <c r="AW403" s="1040"/>
      <c r="AX403" s="1040"/>
    </row>
    <row r="404" spans="1:50">
      <c r="A404" s="1041"/>
      <c r="B404" s="1040"/>
      <c r="C404" s="1040"/>
      <c r="D404" s="1040"/>
      <c r="E404" s="1040"/>
      <c r="F404" s="1040"/>
      <c r="G404" s="1040"/>
      <c r="H404" s="1040"/>
      <c r="I404" s="1040"/>
      <c r="J404" s="1040"/>
      <c r="K404" s="1040"/>
      <c r="L404" s="1040"/>
      <c r="M404" s="1040"/>
      <c r="N404" s="1040"/>
      <c r="O404" s="1040"/>
      <c r="P404" s="1040"/>
      <c r="Q404" s="1040"/>
      <c r="R404" s="1040"/>
      <c r="S404" s="1040"/>
      <c r="T404" s="1040"/>
      <c r="U404" s="1040"/>
      <c r="V404" s="1040"/>
      <c r="W404" s="1040"/>
      <c r="X404" s="1040"/>
      <c r="Y404" s="1040"/>
      <c r="Z404" s="1040"/>
      <c r="AA404" s="1040"/>
      <c r="AB404" s="1040"/>
      <c r="AC404" s="1040"/>
      <c r="AD404" s="1040"/>
      <c r="AE404" s="1040"/>
      <c r="AF404" s="1040"/>
      <c r="AG404" s="1040"/>
      <c r="AH404" s="1040"/>
      <c r="AI404" s="1040"/>
      <c r="AJ404" s="1039"/>
      <c r="AK404" s="1039"/>
      <c r="AL404" s="1039"/>
      <c r="AM404" s="1040"/>
      <c r="AN404" s="1040"/>
      <c r="AO404" s="1040"/>
      <c r="AP404" s="1040"/>
      <c r="AQ404" s="1040"/>
      <c r="AR404" s="1040"/>
      <c r="AS404" s="1040"/>
      <c r="AT404" s="1040"/>
      <c r="AU404" s="1040"/>
      <c r="AV404" s="1040"/>
      <c r="AW404" s="1040"/>
      <c r="AX404" s="1040"/>
    </row>
    <row r="405" spans="1:50">
      <c r="A405" s="1041"/>
      <c r="B405" s="1040"/>
      <c r="C405" s="1040"/>
      <c r="D405" s="1040"/>
      <c r="E405" s="1040"/>
      <c r="F405" s="1040"/>
      <c r="G405" s="1040"/>
      <c r="H405" s="1040"/>
      <c r="I405" s="1040"/>
      <c r="J405" s="1040"/>
      <c r="K405" s="1040"/>
      <c r="L405" s="1040"/>
      <c r="M405" s="1040"/>
      <c r="N405" s="1040"/>
      <c r="O405" s="1040"/>
      <c r="P405" s="1040"/>
      <c r="Q405" s="1040"/>
      <c r="R405" s="1040"/>
      <c r="S405" s="1040"/>
      <c r="T405" s="1040"/>
      <c r="U405" s="1040"/>
      <c r="V405" s="1040"/>
      <c r="W405" s="1040"/>
      <c r="X405" s="1040"/>
      <c r="Y405" s="1040"/>
      <c r="Z405" s="1040"/>
      <c r="AA405" s="1040"/>
      <c r="AB405" s="1040"/>
      <c r="AC405" s="1040"/>
      <c r="AD405" s="1040"/>
      <c r="AE405" s="1040"/>
      <c r="AF405" s="1040"/>
      <c r="AG405" s="1040"/>
      <c r="AH405" s="1040"/>
      <c r="AI405" s="1040"/>
      <c r="AJ405" s="1039"/>
      <c r="AK405" s="1039"/>
      <c r="AL405" s="1039"/>
      <c r="AM405" s="1040"/>
      <c r="AN405" s="1040"/>
      <c r="AO405" s="1040"/>
      <c r="AP405" s="1040"/>
      <c r="AQ405" s="1040"/>
      <c r="AR405" s="1040"/>
      <c r="AS405" s="1040"/>
      <c r="AT405" s="1040"/>
      <c r="AU405" s="1040"/>
      <c r="AV405" s="1040"/>
      <c r="AW405" s="1040"/>
      <c r="AX405" s="1040"/>
    </row>
    <row r="406" spans="1:50">
      <c r="A406" s="1041"/>
      <c r="B406" s="1040"/>
      <c r="C406" s="1040"/>
      <c r="D406" s="1040"/>
      <c r="E406" s="1040"/>
      <c r="F406" s="1040"/>
      <c r="G406" s="1040"/>
      <c r="H406" s="1040"/>
      <c r="I406" s="1040"/>
      <c r="J406" s="1040"/>
      <c r="K406" s="1040"/>
      <c r="L406" s="1040"/>
      <c r="M406" s="1040"/>
      <c r="N406" s="1040"/>
      <c r="O406" s="1040"/>
      <c r="P406" s="1040"/>
      <c r="Q406" s="1040"/>
      <c r="R406" s="1040"/>
      <c r="S406" s="1040"/>
      <c r="T406" s="1040"/>
      <c r="U406" s="1040"/>
      <c r="V406" s="1040"/>
      <c r="W406" s="1040"/>
      <c r="X406" s="1040"/>
      <c r="Y406" s="1040"/>
      <c r="Z406" s="1040"/>
      <c r="AA406" s="1040"/>
      <c r="AB406" s="1040"/>
      <c r="AC406" s="1040"/>
      <c r="AD406" s="1040"/>
      <c r="AE406" s="1040"/>
      <c r="AF406" s="1040"/>
      <c r="AG406" s="1040"/>
      <c r="AH406" s="1040"/>
      <c r="AI406" s="1040"/>
      <c r="AJ406" s="1039"/>
      <c r="AK406" s="1039"/>
      <c r="AL406" s="1039"/>
      <c r="AM406" s="1040"/>
      <c r="AN406" s="1040"/>
      <c r="AO406" s="1040"/>
      <c r="AP406" s="1040"/>
      <c r="AQ406" s="1040"/>
      <c r="AR406" s="1040"/>
      <c r="AS406" s="1040"/>
      <c r="AT406" s="1040"/>
      <c r="AU406" s="1040"/>
      <c r="AV406" s="1040"/>
      <c r="AW406" s="1040"/>
      <c r="AX406" s="1040"/>
    </row>
    <row r="407" spans="1:50">
      <c r="A407" s="1041"/>
      <c r="B407" s="1040"/>
      <c r="C407" s="1040"/>
      <c r="D407" s="1040"/>
      <c r="E407" s="1040"/>
      <c r="F407" s="1040"/>
      <c r="G407" s="1040"/>
      <c r="H407" s="1040"/>
      <c r="I407" s="1040"/>
      <c r="J407" s="1040"/>
      <c r="K407" s="1040"/>
      <c r="L407" s="1040"/>
      <c r="M407" s="1040"/>
      <c r="N407" s="1040"/>
      <c r="O407" s="1040"/>
      <c r="P407" s="1040"/>
      <c r="Q407" s="1040"/>
      <c r="R407" s="1040"/>
      <c r="S407" s="1040"/>
      <c r="T407" s="1040"/>
      <c r="U407" s="1040"/>
      <c r="V407" s="1040"/>
      <c r="W407" s="1040"/>
      <c r="X407" s="1040"/>
      <c r="Y407" s="1040"/>
      <c r="Z407" s="1040"/>
      <c r="AA407" s="1040"/>
      <c r="AB407" s="1040"/>
      <c r="AC407" s="1040"/>
      <c r="AD407" s="1040"/>
      <c r="AE407" s="1040"/>
      <c r="AF407" s="1040"/>
      <c r="AG407" s="1040"/>
      <c r="AH407" s="1040"/>
      <c r="AI407" s="1040"/>
      <c r="AJ407" s="1039"/>
      <c r="AK407" s="1039"/>
      <c r="AL407" s="1039"/>
      <c r="AM407" s="1040"/>
      <c r="AN407" s="1040"/>
      <c r="AO407" s="1040"/>
      <c r="AP407" s="1040"/>
      <c r="AQ407" s="1040"/>
      <c r="AR407" s="1040"/>
      <c r="AS407" s="1040"/>
      <c r="AT407" s="1040"/>
      <c r="AU407" s="1040"/>
      <c r="AV407" s="1040"/>
      <c r="AW407" s="1040"/>
      <c r="AX407" s="1040"/>
    </row>
    <row r="408" spans="1:50">
      <c r="A408" s="1041"/>
      <c r="B408" s="1040"/>
      <c r="C408" s="1040"/>
      <c r="D408" s="1040"/>
      <c r="E408" s="1040"/>
      <c r="F408" s="1040"/>
      <c r="G408" s="1040"/>
      <c r="H408" s="1040"/>
      <c r="I408" s="1040"/>
      <c r="J408" s="1040"/>
      <c r="K408" s="1040"/>
      <c r="L408" s="1040"/>
      <c r="M408" s="1040"/>
      <c r="N408" s="1040"/>
      <c r="O408" s="1040"/>
      <c r="P408" s="1040"/>
      <c r="Q408" s="1040"/>
      <c r="R408" s="1040"/>
      <c r="S408" s="1040"/>
      <c r="T408" s="1040"/>
      <c r="U408" s="1040"/>
      <c r="V408" s="1040"/>
      <c r="W408" s="1040"/>
      <c r="X408" s="1040"/>
      <c r="Y408" s="1040"/>
      <c r="Z408" s="1040"/>
      <c r="AA408" s="1040"/>
      <c r="AB408" s="1040"/>
      <c r="AC408" s="1040"/>
      <c r="AD408" s="1040"/>
      <c r="AE408" s="1040"/>
      <c r="AF408" s="1040"/>
      <c r="AG408" s="1040"/>
      <c r="AH408" s="1040"/>
      <c r="AI408" s="1040"/>
      <c r="AJ408" s="1039"/>
      <c r="AK408" s="1039"/>
      <c r="AL408" s="1039"/>
      <c r="AM408" s="1040"/>
      <c r="AN408" s="1040"/>
      <c r="AO408" s="1040"/>
      <c r="AP408" s="1040"/>
      <c r="AQ408" s="1040"/>
      <c r="AR408" s="1040"/>
      <c r="AS408" s="1040"/>
      <c r="AT408" s="1040"/>
      <c r="AU408" s="1040"/>
      <c r="AV408" s="1040"/>
      <c r="AW408" s="1040"/>
      <c r="AX408" s="1040"/>
    </row>
    <row r="409" spans="1:50">
      <c r="A409" s="1041"/>
      <c r="B409" s="1040"/>
      <c r="C409" s="1040"/>
      <c r="D409" s="1040"/>
      <c r="E409" s="1040"/>
      <c r="F409" s="1040"/>
      <c r="G409" s="1040"/>
      <c r="H409" s="1040"/>
      <c r="I409" s="1040"/>
      <c r="J409" s="1040"/>
      <c r="K409" s="1040"/>
      <c r="L409" s="1040"/>
      <c r="M409" s="1040"/>
      <c r="N409" s="1040"/>
      <c r="O409" s="1040"/>
      <c r="P409" s="1040"/>
      <c r="Q409" s="1040"/>
      <c r="R409" s="1040"/>
      <c r="S409" s="1040"/>
      <c r="T409" s="1040"/>
      <c r="U409" s="1040"/>
      <c r="V409" s="1040"/>
      <c r="W409" s="1040"/>
      <c r="X409" s="1040"/>
      <c r="Y409" s="1040"/>
      <c r="Z409" s="1040"/>
      <c r="AA409" s="1040"/>
      <c r="AB409" s="1040"/>
      <c r="AC409" s="1040"/>
      <c r="AD409" s="1040"/>
      <c r="AE409" s="1040"/>
      <c r="AF409" s="1040"/>
      <c r="AG409" s="1040"/>
      <c r="AH409" s="1040"/>
      <c r="AI409" s="1040"/>
      <c r="AJ409" s="1039"/>
      <c r="AK409" s="1039"/>
      <c r="AL409" s="1039"/>
      <c r="AM409" s="1040"/>
      <c r="AN409" s="1040"/>
      <c r="AO409" s="1040"/>
      <c r="AP409" s="1040"/>
      <c r="AQ409" s="1040"/>
      <c r="AR409" s="1040"/>
      <c r="AS409" s="1040"/>
      <c r="AT409" s="1040"/>
      <c r="AU409" s="1040"/>
      <c r="AV409" s="1040"/>
      <c r="AW409" s="1040"/>
      <c r="AX409" s="1040"/>
    </row>
    <row r="410" spans="1:50">
      <c r="A410" s="1041"/>
      <c r="B410" s="1040"/>
      <c r="C410" s="1040"/>
      <c r="D410" s="1040"/>
      <c r="E410" s="1040"/>
      <c r="F410" s="1040"/>
      <c r="G410" s="1040"/>
      <c r="H410" s="1040"/>
      <c r="I410" s="1040"/>
      <c r="J410" s="1040"/>
      <c r="K410" s="1040"/>
      <c r="L410" s="1040"/>
      <c r="M410" s="1040"/>
      <c r="N410" s="1040"/>
      <c r="O410" s="1040"/>
      <c r="P410" s="1040"/>
      <c r="Q410" s="1040"/>
      <c r="R410" s="1040"/>
      <c r="S410" s="1040"/>
      <c r="T410" s="1040"/>
      <c r="U410" s="1040"/>
      <c r="V410" s="1040"/>
      <c r="W410" s="1040"/>
      <c r="X410" s="1040"/>
      <c r="Y410" s="1040"/>
      <c r="Z410" s="1040"/>
      <c r="AA410" s="1040"/>
      <c r="AB410" s="1040"/>
      <c r="AC410" s="1040"/>
      <c r="AD410" s="1040"/>
      <c r="AE410" s="1040"/>
      <c r="AF410" s="1040"/>
      <c r="AG410" s="1040"/>
      <c r="AH410" s="1040"/>
      <c r="AI410" s="1040"/>
      <c r="AJ410" s="1039"/>
      <c r="AK410" s="1039"/>
      <c r="AL410" s="1039"/>
      <c r="AM410" s="1040"/>
      <c r="AN410" s="1040"/>
      <c r="AO410" s="1040"/>
      <c r="AP410" s="1040"/>
      <c r="AQ410" s="1040"/>
      <c r="AR410" s="1040"/>
      <c r="AS410" s="1040"/>
      <c r="AT410" s="1040"/>
      <c r="AU410" s="1040"/>
      <c r="AV410" s="1040"/>
      <c r="AW410" s="1040"/>
      <c r="AX410" s="1040"/>
    </row>
    <row r="411" spans="1:50">
      <c r="A411" s="1041"/>
      <c r="B411" s="1040"/>
      <c r="C411" s="1040"/>
      <c r="D411" s="1040"/>
      <c r="E411" s="1040"/>
      <c r="F411" s="1040"/>
      <c r="G411" s="1040"/>
      <c r="H411" s="1040"/>
      <c r="I411" s="1040"/>
      <c r="J411" s="1040"/>
      <c r="K411" s="1040"/>
      <c r="L411" s="1040"/>
      <c r="M411" s="1040"/>
      <c r="N411" s="1040"/>
      <c r="O411" s="1040"/>
      <c r="P411" s="1040"/>
      <c r="Q411" s="1040"/>
      <c r="R411" s="1040"/>
      <c r="S411" s="1040"/>
      <c r="T411" s="1040"/>
      <c r="U411" s="1040"/>
      <c r="V411" s="1040"/>
      <c r="W411" s="1040"/>
      <c r="X411" s="1040"/>
      <c r="Y411" s="1040"/>
      <c r="Z411" s="1040"/>
      <c r="AA411" s="1040"/>
      <c r="AB411" s="1040"/>
      <c r="AC411" s="1040"/>
      <c r="AD411" s="1040"/>
      <c r="AE411" s="1040"/>
      <c r="AF411" s="1040"/>
      <c r="AG411" s="1040"/>
      <c r="AH411" s="1040"/>
      <c r="AI411" s="1040"/>
      <c r="AJ411" s="1039"/>
      <c r="AK411" s="1039"/>
      <c r="AL411" s="1039"/>
      <c r="AM411" s="1040"/>
      <c r="AN411" s="1040"/>
      <c r="AO411" s="1040"/>
      <c r="AP411" s="1040"/>
      <c r="AQ411" s="1040"/>
      <c r="AR411" s="1040"/>
      <c r="AS411" s="1040"/>
      <c r="AT411" s="1040"/>
      <c r="AU411" s="1040"/>
      <c r="AV411" s="1040"/>
      <c r="AW411" s="1040"/>
      <c r="AX411" s="1040"/>
    </row>
    <row r="412" spans="1:50">
      <c r="A412" s="1041"/>
      <c r="B412" s="1040"/>
      <c r="C412" s="1040"/>
      <c r="D412" s="1040"/>
      <c r="E412" s="1040"/>
      <c r="F412" s="1040"/>
      <c r="G412" s="1040"/>
      <c r="H412" s="1040"/>
      <c r="I412" s="1040"/>
      <c r="J412" s="1040"/>
      <c r="K412" s="1040"/>
      <c r="L412" s="1040"/>
      <c r="M412" s="1040"/>
      <c r="N412" s="1040"/>
      <c r="O412" s="1040"/>
      <c r="P412" s="1040"/>
      <c r="Q412" s="1040"/>
      <c r="R412" s="1040"/>
      <c r="S412" s="1040"/>
      <c r="T412" s="1040"/>
      <c r="U412" s="1040"/>
      <c r="V412" s="1040"/>
      <c r="W412" s="1040"/>
      <c r="X412" s="1040"/>
      <c r="Y412" s="1040"/>
      <c r="Z412" s="1040"/>
      <c r="AA412" s="1040"/>
      <c r="AB412" s="1040"/>
      <c r="AC412" s="1040"/>
      <c r="AD412" s="1040"/>
      <c r="AE412" s="1040"/>
      <c r="AF412" s="1040"/>
      <c r="AG412" s="1040"/>
      <c r="AH412" s="1040"/>
      <c r="AI412" s="1040"/>
      <c r="AJ412" s="1039"/>
      <c r="AK412" s="1039"/>
      <c r="AL412" s="1039"/>
      <c r="AM412" s="1040"/>
      <c r="AN412" s="1040"/>
      <c r="AO412" s="1040"/>
      <c r="AP412" s="1040"/>
      <c r="AQ412" s="1040"/>
      <c r="AR412" s="1040"/>
      <c r="AS412" s="1040"/>
      <c r="AT412" s="1040"/>
      <c r="AU412" s="1040"/>
      <c r="AV412" s="1040"/>
      <c r="AW412" s="1040"/>
      <c r="AX412" s="1040"/>
    </row>
    <row r="413" spans="1:50">
      <c r="A413" s="1041"/>
      <c r="B413" s="1040"/>
      <c r="C413" s="1040"/>
      <c r="D413" s="1040"/>
      <c r="E413" s="1040"/>
      <c r="F413" s="1040"/>
      <c r="G413" s="1040"/>
      <c r="H413" s="1040"/>
      <c r="I413" s="1040"/>
      <c r="J413" s="1040"/>
      <c r="K413" s="1040"/>
      <c r="L413" s="1040"/>
      <c r="M413" s="1040"/>
      <c r="N413" s="1040"/>
      <c r="O413" s="1040"/>
      <c r="P413" s="1040"/>
      <c r="Q413" s="1040"/>
      <c r="R413" s="1040"/>
      <c r="S413" s="1040"/>
      <c r="T413" s="1040"/>
      <c r="U413" s="1040"/>
      <c r="V413" s="1040"/>
      <c r="W413" s="1040"/>
      <c r="X413" s="1040"/>
      <c r="Y413" s="1040"/>
      <c r="Z413" s="1040"/>
      <c r="AA413" s="1040"/>
      <c r="AB413" s="1040"/>
      <c r="AC413" s="1040"/>
      <c r="AD413" s="1040"/>
      <c r="AE413" s="1040"/>
      <c r="AF413" s="1040"/>
      <c r="AG413" s="1040"/>
      <c r="AH413" s="1040"/>
      <c r="AI413" s="1040"/>
      <c r="AJ413" s="1039"/>
      <c r="AK413" s="1039"/>
      <c r="AL413" s="1039"/>
      <c r="AM413" s="1040"/>
      <c r="AN413" s="1040"/>
      <c r="AO413" s="1040"/>
      <c r="AP413" s="1040"/>
      <c r="AQ413" s="1040"/>
      <c r="AR413" s="1040"/>
      <c r="AS413" s="1040"/>
      <c r="AT413" s="1040"/>
      <c r="AU413" s="1040"/>
      <c r="AV413" s="1040"/>
      <c r="AW413" s="1040"/>
      <c r="AX413" s="1040"/>
    </row>
    <row r="414" spans="1:50">
      <c r="A414" s="1041"/>
      <c r="B414" s="1040"/>
      <c r="C414" s="1040"/>
      <c r="D414" s="1040"/>
      <c r="E414" s="1040"/>
      <c r="F414" s="1040"/>
      <c r="G414" s="1040"/>
      <c r="H414" s="1040"/>
      <c r="I414" s="1040"/>
      <c r="J414" s="1040"/>
      <c r="K414" s="1040"/>
      <c r="L414" s="1040"/>
      <c r="M414" s="1040"/>
      <c r="N414" s="1040"/>
      <c r="O414" s="1040"/>
      <c r="P414" s="1040"/>
      <c r="Q414" s="1040"/>
      <c r="R414" s="1040"/>
      <c r="S414" s="1040"/>
      <c r="T414" s="1040"/>
      <c r="U414" s="1040"/>
      <c r="V414" s="1040"/>
      <c r="W414" s="1040"/>
      <c r="X414" s="1040"/>
      <c r="Y414" s="1040"/>
      <c r="Z414" s="1040"/>
      <c r="AA414" s="1040"/>
      <c r="AB414" s="1040"/>
      <c r="AC414" s="1040"/>
      <c r="AD414" s="1040"/>
      <c r="AE414" s="1040"/>
      <c r="AF414" s="1040"/>
      <c r="AG414" s="1040"/>
      <c r="AH414" s="1040"/>
      <c r="AI414" s="1040"/>
      <c r="AJ414" s="1039"/>
      <c r="AK414" s="1039"/>
      <c r="AL414" s="1039"/>
      <c r="AM414" s="1040"/>
      <c r="AN414" s="1040"/>
      <c r="AO414" s="1040"/>
      <c r="AP414" s="1040"/>
      <c r="AQ414" s="1040"/>
      <c r="AR414" s="1040"/>
      <c r="AS414" s="1040"/>
      <c r="AT414" s="1040"/>
      <c r="AU414" s="1040"/>
      <c r="AV414" s="1040"/>
      <c r="AW414" s="1040"/>
      <c r="AX414" s="1040"/>
    </row>
    <row r="415" spans="1:50">
      <c r="A415" s="1041"/>
      <c r="B415" s="1040"/>
      <c r="C415" s="1040"/>
      <c r="D415" s="1040"/>
      <c r="E415" s="1040"/>
      <c r="F415" s="1040"/>
      <c r="G415" s="1040"/>
      <c r="H415" s="1040"/>
      <c r="I415" s="1040"/>
      <c r="J415" s="1040"/>
      <c r="K415" s="1040"/>
      <c r="L415" s="1040"/>
      <c r="M415" s="1040"/>
      <c r="N415" s="1040"/>
      <c r="O415" s="1040"/>
      <c r="P415" s="1040"/>
      <c r="Q415" s="1040"/>
      <c r="R415" s="1040"/>
      <c r="S415" s="1040"/>
      <c r="T415" s="1040"/>
      <c r="U415" s="1040"/>
      <c r="V415" s="1040"/>
      <c r="W415" s="1040"/>
      <c r="X415" s="1040"/>
      <c r="Y415" s="1040"/>
      <c r="Z415" s="1040"/>
      <c r="AA415" s="1040"/>
      <c r="AB415" s="1040"/>
      <c r="AC415" s="1040"/>
      <c r="AD415" s="1040"/>
      <c r="AE415" s="1040"/>
      <c r="AF415" s="1040"/>
      <c r="AG415" s="1040"/>
      <c r="AH415" s="1040"/>
      <c r="AI415" s="1040"/>
      <c r="AJ415" s="1039"/>
      <c r="AK415" s="1039"/>
      <c r="AL415" s="1039"/>
      <c r="AM415" s="1040"/>
      <c r="AN415" s="1040"/>
      <c r="AO415" s="1040"/>
      <c r="AP415" s="1040"/>
      <c r="AQ415" s="1040"/>
      <c r="AR415" s="1040"/>
      <c r="AS415" s="1040"/>
      <c r="AT415" s="1040"/>
      <c r="AU415" s="1040"/>
      <c r="AV415" s="1040"/>
      <c r="AW415" s="1040"/>
      <c r="AX415" s="1040"/>
    </row>
    <row r="416" spans="1:50">
      <c r="A416" s="1041"/>
      <c r="B416" s="1040"/>
      <c r="C416" s="1040"/>
      <c r="D416" s="1040"/>
      <c r="E416" s="1040"/>
      <c r="F416" s="1040"/>
      <c r="G416" s="1040"/>
      <c r="H416" s="1040"/>
      <c r="I416" s="1040"/>
      <c r="J416" s="1040"/>
      <c r="K416" s="1040"/>
      <c r="L416" s="1040"/>
      <c r="M416" s="1040"/>
      <c r="N416" s="1040"/>
      <c r="O416" s="1040"/>
      <c r="P416" s="1040"/>
      <c r="Q416" s="1040"/>
      <c r="R416" s="1040"/>
      <c r="S416" s="1040"/>
      <c r="T416" s="1040"/>
      <c r="U416" s="1040"/>
      <c r="V416" s="1040"/>
      <c r="W416" s="1040"/>
      <c r="X416" s="1040"/>
      <c r="Y416" s="1040"/>
      <c r="Z416" s="1040"/>
      <c r="AA416" s="1040"/>
      <c r="AB416" s="1040"/>
      <c r="AC416" s="1040"/>
      <c r="AD416" s="1040"/>
      <c r="AE416" s="1040"/>
      <c r="AF416" s="1040"/>
      <c r="AG416" s="1040"/>
      <c r="AH416" s="1040"/>
      <c r="AI416" s="1040"/>
      <c r="AJ416" s="1039"/>
      <c r="AK416" s="1039"/>
      <c r="AL416" s="1039"/>
      <c r="AM416" s="1040"/>
      <c r="AN416" s="1040"/>
      <c r="AO416" s="1040"/>
      <c r="AP416" s="1040"/>
      <c r="AQ416" s="1040"/>
      <c r="AR416" s="1040"/>
      <c r="AS416" s="1040"/>
      <c r="AT416" s="1040"/>
      <c r="AU416" s="1040"/>
      <c r="AV416" s="1040"/>
      <c r="AW416" s="1040"/>
      <c r="AX416" s="1040"/>
    </row>
    <row r="417" spans="1:50">
      <c r="A417" s="1041"/>
      <c r="B417" s="1040"/>
      <c r="C417" s="1040"/>
      <c r="D417" s="1040"/>
      <c r="E417" s="1040"/>
      <c r="F417" s="1040"/>
      <c r="G417" s="1040"/>
      <c r="H417" s="1040"/>
      <c r="I417" s="1040"/>
      <c r="J417" s="1040"/>
      <c r="K417" s="1040"/>
      <c r="L417" s="1040"/>
      <c r="M417" s="1040"/>
      <c r="N417" s="1040"/>
      <c r="O417" s="1040"/>
      <c r="P417" s="1040"/>
      <c r="Q417" s="1040"/>
      <c r="R417" s="1040"/>
      <c r="S417" s="1040"/>
      <c r="T417" s="1040"/>
      <c r="U417" s="1040"/>
      <c r="V417" s="1040"/>
      <c r="W417" s="1040"/>
      <c r="X417" s="1040"/>
      <c r="Y417" s="1040"/>
      <c r="Z417" s="1040"/>
      <c r="AA417" s="1040"/>
      <c r="AB417" s="1040"/>
      <c r="AC417" s="1040"/>
      <c r="AD417" s="1040"/>
      <c r="AE417" s="1040"/>
      <c r="AF417" s="1040"/>
      <c r="AG417" s="1040"/>
      <c r="AH417" s="1040"/>
      <c r="AI417" s="1040"/>
      <c r="AJ417" s="1039"/>
      <c r="AK417" s="1039"/>
      <c r="AL417" s="1039"/>
      <c r="AM417" s="1040"/>
      <c r="AN417" s="1040"/>
      <c r="AO417" s="1040"/>
      <c r="AP417" s="1040"/>
      <c r="AQ417" s="1040"/>
      <c r="AR417" s="1040"/>
      <c r="AS417" s="1040"/>
      <c r="AT417" s="1040"/>
      <c r="AU417" s="1040"/>
      <c r="AV417" s="1040"/>
      <c r="AW417" s="1040"/>
      <c r="AX417" s="1040"/>
    </row>
    <row r="418" spans="1:50">
      <c r="A418" s="1041"/>
      <c r="B418" s="1040"/>
      <c r="C418" s="1040"/>
      <c r="D418" s="1040"/>
      <c r="E418" s="1040"/>
      <c r="F418" s="1040"/>
      <c r="G418" s="1040"/>
      <c r="H418" s="1040"/>
      <c r="I418" s="1040"/>
      <c r="J418" s="1040"/>
      <c r="K418" s="1040"/>
      <c r="L418" s="1040"/>
      <c r="M418" s="1040"/>
      <c r="N418" s="1040"/>
      <c r="O418" s="1040"/>
      <c r="P418" s="1040"/>
      <c r="Q418" s="1040"/>
      <c r="R418" s="1040"/>
      <c r="S418" s="1040"/>
      <c r="T418" s="1040"/>
      <c r="U418" s="1040"/>
      <c r="V418" s="1040"/>
      <c r="W418" s="1040"/>
      <c r="X418" s="1040"/>
      <c r="Y418" s="1040"/>
      <c r="Z418" s="1040"/>
      <c r="AA418" s="1040"/>
      <c r="AB418" s="1040"/>
      <c r="AC418" s="1040"/>
      <c r="AD418" s="1040"/>
      <c r="AE418" s="1040"/>
      <c r="AF418" s="1040"/>
      <c r="AG418" s="1040"/>
      <c r="AH418" s="1040"/>
      <c r="AI418" s="1040"/>
      <c r="AJ418" s="1039"/>
      <c r="AK418" s="1039"/>
      <c r="AL418" s="1039"/>
      <c r="AM418" s="1040"/>
      <c r="AN418" s="1040"/>
      <c r="AO418" s="1040"/>
      <c r="AP418" s="1040"/>
      <c r="AQ418" s="1040"/>
      <c r="AR418" s="1040"/>
      <c r="AS418" s="1040"/>
      <c r="AT418" s="1040"/>
      <c r="AU418" s="1040"/>
      <c r="AV418" s="1040"/>
      <c r="AW418" s="1040"/>
      <c r="AX418" s="1040"/>
    </row>
    <row r="419" spans="1:50">
      <c r="A419" s="1041"/>
      <c r="B419" s="1040"/>
      <c r="C419" s="1040"/>
      <c r="D419" s="1040"/>
      <c r="E419" s="1040"/>
      <c r="F419" s="1040"/>
      <c r="G419" s="1040"/>
      <c r="H419" s="1040"/>
      <c r="I419" s="1040"/>
      <c r="J419" s="1040"/>
      <c r="K419" s="1040"/>
      <c r="L419" s="1040"/>
      <c r="M419" s="1040"/>
      <c r="N419" s="1040"/>
      <c r="O419" s="1040"/>
      <c r="P419" s="1040"/>
      <c r="Q419" s="1040"/>
      <c r="R419" s="1040"/>
      <c r="S419" s="1040"/>
      <c r="T419" s="1040"/>
      <c r="U419" s="1040"/>
      <c r="V419" s="1040"/>
      <c r="W419" s="1040"/>
      <c r="X419" s="1040"/>
      <c r="Y419" s="1040"/>
      <c r="Z419" s="1040"/>
      <c r="AA419" s="1040"/>
      <c r="AB419" s="1040"/>
      <c r="AC419" s="1040"/>
      <c r="AD419" s="1040"/>
      <c r="AE419" s="1040"/>
      <c r="AF419" s="1040"/>
      <c r="AG419" s="1040"/>
      <c r="AH419" s="1040"/>
      <c r="AI419" s="1040"/>
      <c r="AJ419" s="1039"/>
      <c r="AK419" s="1039"/>
      <c r="AL419" s="1039"/>
      <c r="AM419" s="1040"/>
      <c r="AN419" s="1040"/>
      <c r="AO419" s="1040"/>
      <c r="AP419" s="1040"/>
      <c r="AQ419" s="1040"/>
      <c r="AR419" s="1040"/>
      <c r="AS419" s="1040"/>
      <c r="AT419" s="1040"/>
      <c r="AU419" s="1040"/>
      <c r="AV419" s="1040"/>
      <c r="AW419" s="1040"/>
      <c r="AX419" s="1040"/>
    </row>
    <row r="420" spans="1:50">
      <c r="A420" s="1041"/>
      <c r="B420" s="1040"/>
      <c r="C420" s="1040"/>
      <c r="D420" s="1040"/>
      <c r="E420" s="1040"/>
      <c r="F420" s="1040"/>
      <c r="G420" s="1040"/>
      <c r="H420" s="1040"/>
      <c r="I420" s="1040"/>
      <c r="J420" s="1040"/>
      <c r="K420" s="1040"/>
      <c r="L420" s="1040"/>
      <c r="M420" s="1040"/>
      <c r="N420" s="1040"/>
      <c r="O420" s="1040"/>
      <c r="P420" s="1040"/>
      <c r="Q420" s="1040"/>
      <c r="R420" s="1040"/>
      <c r="S420" s="1040"/>
      <c r="T420" s="1040"/>
      <c r="U420" s="1040"/>
      <c r="V420" s="1040"/>
      <c r="W420" s="1040"/>
      <c r="X420" s="1040"/>
      <c r="Y420" s="1040"/>
      <c r="Z420" s="1040"/>
      <c r="AA420" s="1040"/>
      <c r="AB420" s="1040"/>
      <c r="AC420" s="1040"/>
      <c r="AD420" s="1040"/>
      <c r="AE420" s="1040"/>
      <c r="AF420" s="1040"/>
      <c r="AG420" s="1040"/>
      <c r="AH420" s="1040"/>
      <c r="AI420" s="1040"/>
      <c r="AJ420" s="1039"/>
      <c r="AK420" s="1039"/>
      <c r="AL420" s="1039"/>
      <c r="AM420" s="1040"/>
      <c r="AN420" s="1040"/>
      <c r="AO420" s="1040"/>
      <c r="AP420" s="1040"/>
      <c r="AQ420" s="1040"/>
      <c r="AR420" s="1040"/>
      <c r="AS420" s="1040"/>
      <c r="AT420" s="1040"/>
      <c r="AU420" s="1040"/>
      <c r="AV420" s="1040"/>
      <c r="AW420" s="1040"/>
      <c r="AX420" s="1040"/>
    </row>
    <row r="421" spans="1:50">
      <c r="A421" s="1041"/>
      <c r="B421" s="1040"/>
      <c r="C421" s="1040"/>
      <c r="D421" s="1040"/>
      <c r="E421" s="1040"/>
      <c r="F421" s="1040"/>
      <c r="G421" s="1040"/>
      <c r="H421" s="1040"/>
      <c r="I421" s="1040"/>
      <c r="J421" s="1040"/>
      <c r="K421" s="1040"/>
      <c r="L421" s="1040"/>
      <c r="M421" s="1040"/>
      <c r="N421" s="1040"/>
      <c r="O421" s="1040"/>
      <c r="P421" s="1040"/>
      <c r="Q421" s="1040"/>
      <c r="R421" s="1040"/>
      <c r="S421" s="1040"/>
      <c r="T421" s="1040"/>
      <c r="U421" s="1040"/>
      <c r="V421" s="1040"/>
      <c r="W421" s="1040"/>
      <c r="X421" s="1040"/>
      <c r="Y421" s="1040"/>
      <c r="Z421" s="1040"/>
      <c r="AA421" s="1040"/>
      <c r="AB421" s="1040"/>
      <c r="AC421" s="1040"/>
      <c r="AD421" s="1040"/>
      <c r="AE421" s="1040"/>
      <c r="AF421" s="1040"/>
      <c r="AG421" s="1040"/>
      <c r="AH421" s="1040"/>
      <c r="AI421" s="1040"/>
      <c r="AJ421" s="1039"/>
      <c r="AK421" s="1039"/>
      <c r="AL421" s="1039"/>
      <c r="AM421" s="1040"/>
      <c r="AN421" s="1040"/>
      <c r="AO421" s="1040"/>
      <c r="AP421" s="1040"/>
      <c r="AQ421" s="1040"/>
      <c r="AR421" s="1040"/>
      <c r="AS421" s="1040"/>
      <c r="AT421" s="1040"/>
      <c r="AU421" s="1040"/>
      <c r="AV421" s="1040"/>
      <c r="AW421" s="1040"/>
      <c r="AX421" s="1040"/>
    </row>
    <row r="422" spans="1:50">
      <c r="A422" s="1041"/>
      <c r="B422" s="1040"/>
      <c r="C422" s="1040"/>
      <c r="D422" s="1040"/>
      <c r="E422" s="1040"/>
      <c r="F422" s="1040"/>
      <c r="G422" s="1040"/>
      <c r="H422" s="1040"/>
      <c r="I422" s="1040"/>
      <c r="J422" s="1040"/>
      <c r="K422" s="1040"/>
      <c r="L422" s="1040"/>
      <c r="M422" s="1040"/>
      <c r="N422" s="1040"/>
      <c r="O422" s="1040"/>
      <c r="P422" s="1040"/>
      <c r="Q422" s="1040"/>
      <c r="R422" s="1040"/>
      <c r="S422" s="1040"/>
      <c r="T422" s="1040"/>
      <c r="U422" s="1040"/>
      <c r="V422" s="1040"/>
      <c r="W422" s="1040"/>
      <c r="X422" s="1040"/>
      <c r="Y422" s="1040"/>
      <c r="Z422" s="1040"/>
      <c r="AA422" s="1040"/>
      <c r="AB422" s="1040"/>
      <c r="AC422" s="1040"/>
      <c r="AD422" s="1040"/>
      <c r="AE422" s="1040"/>
      <c r="AF422" s="1040"/>
      <c r="AG422" s="1040"/>
      <c r="AH422" s="1040"/>
      <c r="AI422" s="1040"/>
      <c r="AJ422" s="1039"/>
      <c r="AK422" s="1039"/>
      <c r="AL422" s="1039"/>
      <c r="AM422" s="1040"/>
      <c r="AN422" s="1040"/>
      <c r="AO422" s="1040"/>
      <c r="AP422" s="1040"/>
      <c r="AQ422" s="1040"/>
      <c r="AR422" s="1040"/>
      <c r="AS422" s="1040"/>
      <c r="AT422" s="1040"/>
      <c r="AU422" s="1040"/>
      <c r="AV422" s="1040"/>
      <c r="AW422" s="1040"/>
      <c r="AX422" s="1040"/>
    </row>
    <row r="423" spans="1:50">
      <c r="A423" s="1041"/>
      <c r="B423" s="1040"/>
      <c r="C423" s="1040"/>
      <c r="D423" s="1040"/>
      <c r="E423" s="1040"/>
      <c r="F423" s="1040"/>
      <c r="G423" s="1040"/>
      <c r="H423" s="1040"/>
      <c r="I423" s="1040"/>
      <c r="J423" s="1040"/>
      <c r="K423" s="1040"/>
      <c r="L423" s="1040"/>
      <c r="M423" s="1040"/>
      <c r="N423" s="1040"/>
      <c r="O423" s="1040"/>
      <c r="P423" s="1040"/>
      <c r="Q423" s="1040"/>
      <c r="R423" s="1040"/>
      <c r="S423" s="1040"/>
      <c r="T423" s="1040"/>
      <c r="U423" s="1040"/>
      <c r="V423" s="1040"/>
      <c r="W423" s="1040"/>
      <c r="X423" s="1040"/>
      <c r="Y423" s="1040"/>
      <c r="Z423" s="1040"/>
      <c r="AA423" s="1040"/>
      <c r="AB423" s="1040"/>
      <c r="AC423" s="1040"/>
      <c r="AD423" s="1040"/>
      <c r="AE423" s="1040"/>
      <c r="AF423" s="1040"/>
      <c r="AG423" s="1040"/>
      <c r="AH423" s="1040"/>
      <c r="AI423" s="1040"/>
      <c r="AJ423" s="1039"/>
      <c r="AK423" s="1039"/>
      <c r="AL423" s="1039"/>
      <c r="AM423" s="1040"/>
      <c r="AN423" s="1040"/>
      <c r="AO423" s="1040"/>
      <c r="AP423" s="1040"/>
      <c r="AQ423" s="1040"/>
      <c r="AR423" s="1040"/>
      <c r="AS423" s="1040"/>
      <c r="AT423" s="1040"/>
      <c r="AU423" s="1040"/>
      <c r="AV423" s="1040"/>
      <c r="AW423" s="1040"/>
      <c r="AX423" s="1040"/>
    </row>
    <row r="424" spans="1:50">
      <c r="A424" s="1041"/>
      <c r="B424" s="1040"/>
      <c r="C424" s="1040"/>
      <c r="D424" s="1040"/>
      <c r="E424" s="1040"/>
      <c r="F424" s="1040"/>
      <c r="G424" s="1040"/>
      <c r="H424" s="1040"/>
      <c r="I424" s="1040"/>
      <c r="J424" s="1040"/>
      <c r="K424" s="1040"/>
      <c r="L424" s="1040"/>
      <c r="M424" s="1040"/>
      <c r="N424" s="1040"/>
      <c r="O424" s="1040"/>
      <c r="P424" s="1040"/>
      <c r="Q424" s="1040"/>
      <c r="R424" s="1040"/>
      <c r="S424" s="1040"/>
      <c r="T424" s="1040"/>
      <c r="U424" s="1040"/>
      <c r="V424" s="1040"/>
      <c r="W424" s="1040"/>
      <c r="X424" s="1040"/>
      <c r="Y424" s="1040"/>
      <c r="Z424" s="1040"/>
      <c r="AA424" s="1040"/>
      <c r="AB424" s="1040"/>
      <c r="AC424" s="1040"/>
      <c r="AD424" s="1040"/>
      <c r="AE424" s="1040"/>
      <c r="AF424" s="1040"/>
      <c r="AG424" s="1040"/>
      <c r="AH424" s="1040"/>
      <c r="AI424" s="1040"/>
      <c r="AJ424" s="1039"/>
      <c r="AK424" s="1039"/>
      <c r="AL424" s="1039"/>
      <c r="AM424" s="1040"/>
      <c r="AN424" s="1040"/>
      <c r="AO424" s="1040"/>
      <c r="AP424" s="1040"/>
      <c r="AQ424" s="1040"/>
      <c r="AR424" s="1040"/>
      <c r="AS424" s="1040"/>
      <c r="AT424" s="1040"/>
      <c r="AU424" s="1040"/>
      <c r="AV424" s="1040"/>
      <c r="AW424" s="1040"/>
      <c r="AX424" s="1040"/>
    </row>
    <row r="425" spans="1:50">
      <c r="A425" s="1041"/>
      <c r="B425" s="1040"/>
      <c r="C425" s="1040"/>
      <c r="D425" s="1040"/>
      <c r="E425" s="1040"/>
      <c r="F425" s="1040"/>
      <c r="G425" s="1040"/>
      <c r="H425" s="1040"/>
      <c r="I425" s="1040"/>
      <c r="J425" s="1040"/>
      <c r="K425" s="1040"/>
      <c r="L425" s="1040"/>
      <c r="M425" s="1040"/>
      <c r="N425" s="1040"/>
      <c r="O425" s="1040"/>
      <c r="P425" s="1040"/>
      <c r="Q425" s="1040"/>
      <c r="R425" s="1040"/>
      <c r="S425" s="1040"/>
      <c r="T425" s="1040"/>
      <c r="U425" s="1040"/>
      <c r="V425" s="1040"/>
      <c r="W425" s="1040"/>
      <c r="X425" s="1040"/>
      <c r="Y425" s="1040"/>
      <c r="Z425" s="1040"/>
      <c r="AA425" s="1040"/>
      <c r="AB425" s="1040"/>
      <c r="AC425" s="1040"/>
      <c r="AD425" s="1040"/>
      <c r="AE425" s="1040"/>
      <c r="AF425" s="1040"/>
      <c r="AG425" s="1040"/>
      <c r="AH425" s="1040"/>
      <c r="AI425" s="1040"/>
      <c r="AJ425" s="1039"/>
      <c r="AK425" s="1039"/>
      <c r="AL425" s="1039"/>
      <c r="AM425" s="1040"/>
      <c r="AN425" s="1040"/>
      <c r="AO425" s="1040"/>
      <c r="AP425" s="1040"/>
      <c r="AQ425" s="1040"/>
      <c r="AR425" s="1040"/>
      <c r="AS425" s="1040"/>
      <c r="AT425" s="1040"/>
      <c r="AU425" s="1040"/>
      <c r="AV425" s="1040"/>
      <c r="AW425" s="1040"/>
      <c r="AX425" s="1040"/>
    </row>
    <row r="426" spans="1:50">
      <c r="A426" s="1041"/>
      <c r="B426" s="1040"/>
      <c r="C426" s="1040"/>
      <c r="D426" s="1040"/>
      <c r="E426" s="1040"/>
      <c r="F426" s="1040"/>
      <c r="G426" s="1040"/>
      <c r="H426" s="1040"/>
      <c r="I426" s="1040"/>
      <c r="J426" s="1040"/>
      <c r="K426" s="1040"/>
      <c r="L426" s="1040"/>
      <c r="M426" s="1040"/>
      <c r="N426" s="1040"/>
      <c r="O426" s="1040"/>
      <c r="P426" s="1040"/>
      <c r="Q426" s="1040"/>
      <c r="R426" s="1040"/>
      <c r="S426" s="1040"/>
      <c r="T426" s="1040"/>
      <c r="U426" s="1040"/>
      <c r="V426" s="1040"/>
      <c r="W426" s="1040"/>
      <c r="X426" s="1040"/>
      <c r="Y426" s="1040"/>
      <c r="Z426" s="1040"/>
      <c r="AA426" s="1040"/>
      <c r="AB426" s="1040"/>
      <c r="AC426" s="1040"/>
      <c r="AD426" s="1040"/>
      <c r="AE426" s="1040"/>
      <c r="AF426" s="1040"/>
      <c r="AG426" s="1040"/>
      <c r="AH426" s="1040"/>
      <c r="AI426" s="1040"/>
      <c r="AJ426" s="1039"/>
      <c r="AK426" s="1039"/>
      <c r="AL426" s="1039"/>
      <c r="AM426" s="1040"/>
      <c r="AN426" s="1040"/>
      <c r="AO426" s="1040"/>
      <c r="AP426" s="1040"/>
      <c r="AQ426" s="1040"/>
      <c r="AR426" s="1040"/>
      <c r="AS426" s="1040"/>
      <c r="AT426" s="1040"/>
      <c r="AU426" s="1040"/>
      <c r="AV426" s="1040"/>
      <c r="AW426" s="1040"/>
      <c r="AX426" s="1040"/>
    </row>
    <row r="427" spans="1:50">
      <c r="A427" s="1041"/>
      <c r="B427" s="1040"/>
      <c r="C427" s="1040"/>
      <c r="D427" s="1040"/>
      <c r="E427" s="1040"/>
      <c r="F427" s="1040"/>
      <c r="G427" s="1040"/>
      <c r="H427" s="1040"/>
      <c r="I427" s="1040"/>
      <c r="J427" s="1040"/>
      <c r="K427" s="1040"/>
      <c r="L427" s="1040"/>
      <c r="M427" s="1040"/>
      <c r="N427" s="1040"/>
      <c r="O427" s="1040"/>
      <c r="P427" s="1040"/>
      <c r="Q427" s="1040"/>
      <c r="R427" s="1040"/>
      <c r="S427" s="1040"/>
      <c r="T427" s="1040"/>
      <c r="U427" s="1040"/>
      <c r="V427" s="1040"/>
      <c r="W427" s="1040"/>
      <c r="X427" s="1040"/>
      <c r="Y427" s="1040"/>
      <c r="Z427" s="1040"/>
      <c r="AA427" s="1040"/>
      <c r="AB427" s="1040"/>
      <c r="AC427" s="1040"/>
      <c r="AD427" s="1040"/>
      <c r="AE427" s="1040"/>
      <c r="AF427" s="1040"/>
      <c r="AG427" s="1040"/>
      <c r="AH427" s="1040"/>
      <c r="AI427" s="1040"/>
      <c r="AJ427" s="1039"/>
      <c r="AK427" s="1039"/>
      <c r="AL427" s="1039"/>
      <c r="AM427" s="1040"/>
      <c r="AN427" s="1040"/>
      <c r="AO427" s="1040"/>
      <c r="AP427" s="1040"/>
      <c r="AQ427" s="1040"/>
      <c r="AR427" s="1040"/>
      <c r="AS427" s="1040"/>
      <c r="AT427" s="1040"/>
      <c r="AU427" s="1040"/>
      <c r="AV427" s="1040"/>
      <c r="AW427" s="1040"/>
      <c r="AX427" s="1040"/>
    </row>
    <row r="428" spans="1:50">
      <c r="A428" s="1041"/>
      <c r="B428" s="1040"/>
      <c r="C428" s="1040"/>
      <c r="D428" s="1040"/>
      <c r="E428" s="1040"/>
      <c r="F428" s="1040"/>
      <c r="G428" s="1040"/>
      <c r="H428" s="1040"/>
      <c r="I428" s="1040"/>
      <c r="J428" s="1040"/>
      <c r="K428" s="1040"/>
      <c r="L428" s="1040"/>
      <c r="M428" s="1040"/>
      <c r="N428" s="1040"/>
      <c r="O428" s="1040"/>
      <c r="P428" s="1040"/>
      <c r="Q428" s="1040"/>
      <c r="R428" s="1040"/>
      <c r="S428" s="1040"/>
      <c r="T428" s="1040"/>
      <c r="U428" s="1040"/>
      <c r="V428" s="1040"/>
      <c r="W428" s="1040"/>
      <c r="X428" s="1040"/>
      <c r="Y428" s="1040"/>
      <c r="Z428" s="1040"/>
      <c r="AA428" s="1040"/>
      <c r="AB428" s="1040"/>
      <c r="AC428" s="1040"/>
      <c r="AD428" s="1040"/>
      <c r="AE428" s="1040"/>
      <c r="AF428" s="1040"/>
      <c r="AG428" s="1040"/>
      <c r="AH428" s="1040"/>
      <c r="AI428" s="1040"/>
      <c r="AJ428" s="1039"/>
      <c r="AK428" s="1039"/>
      <c r="AL428" s="1039"/>
      <c r="AM428" s="1040"/>
      <c r="AN428" s="1040"/>
      <c r="AO428" s="1040"/>
      <c r="AP428" s="1040"/>
      <c r="AQ428" s="1040"/>
      <c r="AR428" s="1040"/>
      <c r="AS428" s="1040"/>
      <c r="AT428" s="1040"/>
      <c r="AU428" s="1040"/>
      <c r="AV428" s="1040"/>
      <c r="AW428" s="1040"/>
      <c r="AX428" s="1040"/>
    </row>
    <row r="429" spans="1:50">
      <c r="A429" s="1041"/>
      <c r="B429" s="1040"/>
      <c r="C429" s="1040"/>
      <c r="D429" s="1040"/>
      <c r="E429" s="1040"/>
      <c r="F429" s="1040"/>
      <c r="G429" s="1040"/>
      <c r="H429" s="1040"/>
      <c r="I429" s="1040"/>
      <c r="J429" s="1040"/>
      <c r="K429" s="1040"/>
      <c r="L429" s="1040"/>
      <c r="M429" s="1040"/>
      <c r="N429" s="1040"/>
      <c r="O429" s="1040"/>
      <c r="P429" s="1040"/>
      <c r="Q429" s="1040"/>
      <c r="R429" s="1040"/>
      <c r="S429" s="1040"/>
      <c r="T429" s="1040"/>
      <c r="U429" s="1040"/>
      <c r="V429" s="1040"/>
      <c r="W429" s="1040"/>
      <c r="X429" s="1040"/>
      <c r="Y429" s="1040"/>
      <c r="Z429" s="1040"/>
      <c r="AA429" s="1040"/>
      <c r="AB429" s="1040"/>
      <c r="AC429" s="1040"/>
      <c r="AD429" s="1040"/>
      <c r="AE429" s="1040"/>
      <c r="AF429" s="1040"/>
      <c r="AG429" s="1040"/>
      <c r="AH429" s="1040"/>
      <c r="AI429" s="1040"/>
      <c r="AJ429" s="1039"/>
      <c r="AK429" s="1039"/>
      <c r="AL429" s="1039"/>
      <c r="AM429" s="1040"/>
      <c r="AN429" s="1040"/>
      <c r="AO429" s="1040"/>
      <c r="AP429" s="1040"/>
      <c r="AQ429" s="1040"/>
      <c r="AR429" s="1040"/>
      <c r="AS429" s="1040"/>
      <c r="AT429" s="1040"/>
      <c r="AU429" s="1040"/>
      <c r="AV429" s="1040"/>
      <c r="AW429" s="1040"/>
      <c r="AX429" s="1040"/>
    </row>
    <row r="430" spans="1:50">
      <c r="A430" s="1041"/>
      <c r="B430" s="1040"/>
      <c r="C430" s="1040"/>
      <c r="D430" s="1040"/>
      <c r="E430" s="1040"/>
      <c r="F430" s="1040"/>
      <c r="G430" s="1040"/>
      <c r="H430" s="1040"/>
      <c r="I430" s="1040"/>
      <c r="J430" s="1040"/>
      <c r="K430" s="1040"/>
      <c r="L430" s="1040"/>
      <c r="M430" s="1040"/>
      <c r="N430" s="1040"/>
      <c r="O430" s="1040"/>
      <c r="P430" s="1040"/>
      <c r="Q430" s="1040"/>
      <c r="R430" s="1040"/>
      <c r="S430" s="1040"/>
      <c r="T430" s="1040"/>
      <c r="U430" s="1040"/>
      <c r="V430" s="1040"/>
      <c r="W430" s="1040"/>
      <c r="X430" s="1040"/>
      <c r="Y430" s="1040"/>
      <c r="Z430" s="1040"/>
      <c r="AA430" s="1040"/>
      <c r="AB430" s="1040"/>
      <c r="AC430" s="1040"/>
      <c r="AD430" s="1040"/>
      <c r="AE430" s="1040"/>
      <c r="AF430" s="1040"/>
      <c r="AG430" s="1040"/>
      <c r="AH430" s="1040"/>
      <c r="AI430" s="1040"/>
      <c r="AJ430" s="1039"/>
      <c r="AK430" s="1039"/>
      <c r="AL430" s="1039"/>
      <c r="AM430" s="1040"/>
      <c r="AN430" s="1040"/>
      <c r="AO430" s="1040"/>
      <c r="AP430" s="1040"/>
      <c r="AQ430" s="1040"/>
      <c r="AR430" s="1040"/>
      <c r="AS430" s="1040"/>
      <c r="AT430" s="1040"/>
      <c r="AU430" s="1040"/>
      <c r="AV430" s="1040"/>
      <c r="AW430" s="1040"/>
      <c r="AX430" s="1040"/>
    </row>
    <row r="431" spans="1:50">
      <c r="A431" s="1041"/>
      <c r="B431" s="1040"/>
      <c r="C431" s="1040"/>
      <c r="D431" s="1040"/>
      <c r="E431" s="1040"/>
      <c r="F431" s="1040"/>
      <c r="G431" s="1040"/>
      <c r="H431" s="1040"/>
      <c r="I431" s="1040"/>
      <c r="J431" s="1040"/>
      <c r="K431" s="1040"/>
      <c r="L431" s="1040"/>
      <c r="M431" s="1040"/>
      <c r="N431" s="1040"/>
      <c r="O431" s="1040"/>
      <c r="P431" s="1040"/>
      <c r="Q431" s="1040"/>
      <c r="R431" s="1040"/>
      <c r="S431" s="1040"/>
      <c r="T431" s="1040"/>
      <c r="U431" s="1040"/>
      <c r="V431" s="1040"/>
      <c r="W431" s="1040"/>
      <c r="X431" s="1040"/>
      <c r="Y431" s="1040"/>
      <c r="Z431" s="1040"/>
      <c r="AA431" s="1040"/>
      <c r="AB431" s="1040"/>
      <c r="AC431" s="1040"/>
      <c r="AD431" s="1040"/>
      <c r="AE431" s="1040"/>
      <c r="AF431" s="1040"/>
      <c r="AG431" s="1040"/>
      <c r="AH431" s="1040"/>
      <c r="AI431" s="1040"/>
      <c r="AJ431" s="1039"/>
      <c r="AK431" s="1039"/>
      <c r="AL431" s="1039"/>
      <c r="AM431" s="1040"/>
      <c r="AN431" s="1040"/>
      <c r="AO431" s="1040"/>
      <c r="AP431" s="1040"/>
      <c r="AQ431" s="1040"/>
      <c r="AR431" s="1040"/>
      <c r="AS431" s="1040"/>
      <c r="AT431" s="1040"/>
      <c r="AU431" s="1040"/>
      <c r="AV431" s="1040"/>
      <c r="AW431" s="1040"/>
      <c r="AX431" s="1040"/>
    </row>
    <row r="432" spans="1:50">
      <c r="A432" s="1041"/>
      <c r="B432" s="1040"/>
      <c r="C432" s="1040"/>
      <c r="D432" s="1040"/>
      <c r="E432" s="1040"/>
      <c r="F432" s="1040"/>
      <c r="G432" s="1040"/>
      <c r="H432" s="1040"/>
      <c r="I432" s="1040"/>
      <c r="J432" s="1040"/>
      <c r="K432" s="1040"/>
      <c r="L432" s="1040"/>
      <c r="M432" s="1040"/>
      <c r="N432" s="1040"/>
      <c r="O432" s="1040"/>
      <c r="P432" s="1040"/>
      <c r="Q432" s="1040"/>
      <c r="R432" s="1040"/>
      <c r="S432" s="1040"/>
      <c r="T432" s="1040"/>
      <c r="U432" s="1040"/>
      <c r="V432" s="1040"/>
      <c r="W432" s="1040"/>
      <c r="X432" s="1040"/>
      <c r="Y432" s="1040"/>
      <c r="Z432" s="1040"/>
      <c r="AA432" s="1040"/>
      <c r="AB432" s="1040"/>
      <c r="AC432" s="1040"/>
      <c r="AD432" s="1040"/>
      <c r="AE432" s="1040"/>
      <c r="AF432" s="1040"/>
      <c r="AG432" s="1040"/>
      <c r="AH432" s="1040"/>
      <c r="AI432" s="1040"/>
      <c r="AJ432" s="1039"/>
      <c r="AK432" s="1039"/>
      <c r="AL432" s="1039"/>
      <c r="AM432" s="1040"/>
      <c r="AN432" s="1040"/>
      <c r="AO432" s="1040"/>
      <c r="AP432" s="1040"/>
      <c r="AQ432" s="1040"/>
      <c r="AR432" s="1040"/>
      <c r="AS432" s="1040"/>
      <c r="AT432" s="1040"/>
      <c r="AU432" s="1040"/>
      <c r="AV432" s="1040"/>
      <c r="AW432" s="1040"/>
      <c r="AX432" s="1040"/>
    </row>
    <row r="433" spans="1:50">
      <c r="A433" s="1041"/>
      <c r="B433" s="1040"/>
      <c r="C433" s="1040"/>
      <c r="D433" s="1040"/>
      <c r="E433" s="1040"/>
      <c r="F433" s="1040"/>
      <c r="G433" s="1040"/>
      <c r="H433" s="1040"/>
      <c r="I433" s="1040"/>
      <c r="J433" s="1040"/>
      <c r="K433" s="1040"/>
      <c r="L433" s="1040"/>
      <c r="M433" s="1040"/>
      <c r="N433" s="1040"/>
      <c r="O433" s="1040"/>
      <c r="P433" s="1040"/>
      <c r="Q433" s="1040"/>
      <c r="R433" s="1040"/>
      <c r="S433" s="1040"/>
      <c r="T433" s="1040"/>
      <c r="U433" s="1040"/>
      <c r="V433" s="1040"/>
      <c r="W433" s="1040"/>
      <c r="X433" s="1040"/>
      <c r="Y433" s="1040"/>
      <c r="Z433" s="1040"/>
      <c r="AA433" s="1040"/>
      <c r="AB433" s="1040"/>
      <c r="AC433" s="1040"/>
      <c r="AD433" s="1040"/>
      <c r="AE433" s="1040"/>
      <c r="AF433" s="1040"/>
      <c r="AG433" s="1040"/>
      <c r="AH433" s="1040"/>
      <c r="AI433" s="1040"/>
      <c r="AJ433" s="1039"/>
      <c r="AK433" s="1039"/>
      <c r="AL433" s="1039"/>
      <c r="AM433" s="1040"/>
      <c r="AN433" s="1040"/>
      <c r="AO433" s="1040"/>
      <c r="AP433" s="1040"/>
      <c r="AQ433" s="1040"/>
      <c r="AR433" s="1040"/>
      <c r="AS433" s="1040"/>
      <c r="AT433" s="1040"/>
      <c r="AU433" s="1040"/>
      <c r="AV433" s="1040"/>
      <c r="AW433" s="1040"/>
      <c r="AX433" s="1040"/>
    </row>
    <row r="434" spans="1:50">
      <c r="A434" s="1041"/>
      <c r="B434" s="1040"/>
      <c r="C434" s="1040"/>
      <c r="D434" s="1040"/>
      <c r="E434" s="1040"/>
      <c r="F434" s="1040"/>
      <c r="G434" s="1040"/>
      <c r="H434" s="1040"/>
      <c r="I434" s="1040"/>
      <c r="J434" s="1040"/>
      <c r="K434" s="1040"/>
      <c r="L434" s="1040"/>
      <c r="M434" s="1040"/>
      <c r="N434" s="1040"/>
      <c r="O434" s="1040"/>
      <c r="P434" s="1040"/>
      <c r="Q434" s="1040"/>
      <c r="R434" s="1040"/>
      <c r="S434" s="1040"/>
      <c r="T434" s="1040"/>
      <c r="U434" s="1040"/>
      <c r="V434" s="1040"/>
      <c r="W434" s="1040"/>
      <c r="X434" s="1040"/>
      <c r="Y434" s="1040"/>
      <c r="Z434" s="1040"/>
      <c r="AA434" s="1040"/>
      <c r="AB434" s="1040"/>
      <c r="AC434" s="1040"/>
      <c r="AD434" s="1040"/>
      <c r="AE434" s="1040"/>
      <c r="AF434" s="1040"/>
      <c r="AG434" s="1040"/>
      <c r="AH434" s="1040"/>
      <c r="AI434" s="1040"/>
      <c r="AJ434" s="1039"/>
      <c r="AK434" s="1039"/>
      <c r="AL434" s="1039"/>
      <c r="AM434" s="1040"/>
      <c r="AN434" s="1040"/>
      <c r="AO434" s="1040"/>
      <c r="AP434" s="1040"/>
      <c r="AQ434" s="1040"/>
      <c r="AR434" s="1040"/>
      <c r="AS434" s="1040"/>
      <c r="AT434" s="1040"/>
      <c r="AU434" s="1040"/>
      <c r="AV434" s="1040"/>
      <c r="AW434" s="1040"/>
      <c r="AX434" s="1040"/>
    </row>
    <row r="435" spans="1:50">
      <c r="A435" s="1041"/>
      <c r="B435" s="1040"/>
      <c r="C435" s="1040"/>
      <c r="D435" s="1040"/>
      <c r="E435" s="1040"/>
      <c r="F435" s="1040"/>
      <c r="G435" s="1040"/>
      <c r="H435" s="1040"/>
      <c r="I435" s="1040"/>
      <c r="J435" s="1040"/>
      <c r="K435" s="1040"/>
      <c r="L435" s="1040"/>
      <c r="M435" s="1040"/>
      <c r="N435" s="1040"/>
      <c r="O435" s="1040"/>
      <c r="P435" s="1040"/>
      <c r="Q435" s="1040"/>
      <c r="R435" s="1040"/>
      <c r="S435" s="1040"/>
      <c r="T435" s="1040"/>
      <c r="U435" s="1040"/>
      <c r="V435" s="1040"/>
      <c r="W435" s="1040"/>
      <c r="X435" s="1040"/>
      <c r="Y435" s="1040"/>
      <c r="Z435" s="1040"/>
      <c r="AA435" s="1040"/>
      <c r="AB435" s="1040"/>
      <c r="AC435" s="1040"/>
      <c r="AD435" s="1040"/>
      <c r="AE435" s="1040"/>
      <c r="AF435" s="1040"/>
      <c r="AG435" s="1040"/>
      <c r="AH435" s="1040"/>
      <c r="AI435" s="1040"/>
      <c r="AJ435" s="1039"/>
      <c r="AK435" s="1039"/>
      <c r="AL435" s="1039"/>
      <c r="AM435" s="1040"/>
      <c r="AN435" s="1040"/>
      <c r="AO435" s="1040"/>
      <c r="AP435" s="1040"/>
      <c r="AQ435" s="1040"/>
      <c r="AR435" s="1040"/>
      <c r="AS435" s="1040"/>
      <c r="AT435" s="1040"/>
      <c r="AU435" s="1040"/>
      <c r="AV435" s="1040"/>
      <c r="AW435" s="1040"/>
      <c r="AX435" s="1040"/>
    </row>
    <row r="436" spans="1:50">
      <c r="A436" s="1041"/>
      <c r="B436" s="1040"/>
      <c r="C436" s="1040"/>
      <c r="D436" s="1040"/>
      <c r="E436" s="1040"/>
      <c r="F436" s="1040"/>
      <c r="G436" s="1040"/>
      <c r="H436" s="1040"/>
      <c r="I436" s="1040"/>
      <c r="J436" s="1040"/>
      <c r="K436" s="1040"/>
      <c r="L436" s="1040"/>
      <c r="M436" s="1040"/>
      <c r="N436" s="1040"/>
      <c r="O436" s="1040"/>
      <c r="P436" s="1040"/>
      <c r="Q436" s="1040"/>
      <c r="R436" s="1040"/>
      <c r="S436" s="1040"/>
      <c r="T436" s="1040"/>
      <c r="U436" s="1040"/>
      <c r="V436" s="1040"/>
      <c r="W436" s="1040"/>
      <c r="X436" s="1040"/>
      <c r="Y436" s="1040"/>
      <c r="Z436" s="1040"/>
      <c r="AA436" s="1040"/>
      <c r="AB436" s="1040"/>
      <c r="AC436" s="1040"/>
      <c r="AD436" s="1040"/>
      <c r="AE436" s="1040"/>
      <c r="AF436" s="1040"/>
      <c r="AG436" s="1040"/>
      <c r="AH436" s="1040"/>
      <c r="AI436" s="1040"/>
      <c r="AJ436" s="1039"/>
      <c r="AK436" s="1039"/>
      <c r="AL436" s="1039"/>
      <c r="AM436" s="1040"/>
      <c r="AN436" s="1040"/>
      <c r="AO436" s="1040"/>
      <c r="AP436" s="1040"/>
      <c r="AQ436" s="1040"/>
      <c r="AR436" s="1040"/>
      <c r="AS436" s="1040"/>
      <c r="AT436" s="1040"/>
      <c r="AU436" s="1040"/>
      <c r="AV436" s="1040"/>
      <c r="AW436" s="1040"/>
      <c r="AX436" s="1040"/>
    </row>
    <row r="437" spans="1:50">
      <c r="A437" s="1041"/>
      <c r="B437" s="1040"/>
      <c r="C437" s="1040"/>
      <c r="D437" s="1040"/>
      <c r="E437" s="1040"/>
      <c r="F437" s="1040"/>
      <c r="G437" s="1040"/>
      <c r="H437" s="1040"/>
      <c r="I437" s="1040"/>
      <c r="J437" s="1040"/>
      <c r="K437" s="1040"/>
      <c r="L437" s="1040"/>
      <c r="M437" s="1040"/>
      <c r="N437" s="1040"/>
      <c r="O437" s="1040"/>
      <c r="P437" s="1040"/>
      <c r="Q437" s="1040"/>
      <c r="R437" s="1040"/>
      <c r="S437" s="1040"/>
      <c r="T437" s="1040"/>
      <c r="U437" s="1040"/>
      <c r="V437" s="1040"/>
      <c r="W437" s="1040"/>
      <c r="X437" s="1040"/>
      <c r="Y437" s="1040"/>
      <c r="Z437" s="1040"/>
      <c r="AA437" s="1040"/>
      <c r="AB437" s="1040"/>
      <c r="AC437" s="1040"/>
      <c r="AD437" s="1040"/>
      <c r="AE437" s="1040"/>
      <c r="AF437" s="1040"/>
      <c r="AG437" s="1040"/>
      <c r="AH437" s="1040"/>
      <c r="AI437" s="1040"/>
      <c r="AJ437" s="1039"/>
      <c r="AK437" s="1039"/>
      <c r="AL437" s="1039"/>
      <c r="AM437" s="1040"/>
      <c r="AN437" s="1040"/>
      <c r="AO437" s="1040"/>
      <c r="AP437" s="1040"/>
      <c r="AQ437" s="1040"/>
      <c r="AR437" s="1040"/>
      <c r="AS437" s="1040"/>
      <c r="AT437" s="1040"/>
      <c r="AU437" s="1040"/>
      <c r="AV437" s="1040"/>
      <c r="AW437" s="1040"/>
      <c r="AX437" s="1040"/>
    </row>
    <row r="438" spans="1:50">
      <c r="A438" s="1041"/>
      <c r="B438" s="1040"/>
      <c r="C438" s="1040"/>
      <c r="D438" s="1040"/>
      <c r="E438" s="1040"/>
      <c r="F438" s="1040"/>
      <c r="G438" s="1040"/>
      <c r="H438" s="1040"/>
      <c r="I438" s="1040"/>
      <c r="J438" s="1040"/>
      <c r="K438" s="1040"/>
      <c r="L438" s="1040"/>
      <c r="M438" s="1040"/>
      <c r="N438" s="1040"/>
      <c r="O438" s="1040"/>
      <c r="P438" s="1040"/>
      <c r="Q438" s="1040"/>
      <c r="R438" s="1040"/>
      <c r="S438" s="1040"/>
      <c r="T438" s="1040"/>
      <c r="U438" s="1040"/>
      <c r="V438" s="1040"/>
      <c r="W438" s="1040"/>
      <c r="X438" s="1040"/>
      <c r="Y438" s="1040"/>
      <c r="Z438" s="1040"/>
      <c r="AA438" s="1040"/>
      <c r="AB438" s="1040"/>
      <c r="AC438" s="1040"/>
      <c r="AD438" s="1040"/>
      <c r="AE438" s="1040"/>
      <c r="AF438" s="1040"/>
      <c r="AG438" s="1040"/>
      <c r="AH438" s="1040"/>
      <c r="AI438" s="1040"/>
      <c r="AJ438" s="1039"/>
      <c r="AK438" s="1039"/>
      <c r="AL438" s="1039"/>
      <c r="AM438" s="1040"/>
      <c r="AN438" s="1040"/>
      <c r="AO438" s="1040"/>
      <c r="AP438" s="1040"/>
      <c r="AQ438" s="1040"/>
      <c r="AR438" s="1040"/>
      <c r="AS438" s="1040"/>
      <c r="AT438" s="1040"/>
      <c r="AU438" s="1040"/>
      <c r="AV438" s="1040"/>
      <c r="AW438" s="1040"/>
      <c r="AX438" s="1040"/>
    </row>
    <row r="439" spans="1:50">
      <c r="AJ439" s="18"/>
      <c r="AK439" s="18"/>
      <c r="AL439" s="18"/>
    </row>
    <row r="440" spans="1:50">
      <c r="AJ440" s="18"/>
      <c r="AK440" s="18"/>
      <c r="AL440" s="18"/>
    </row>
    <row r="441" spans="1:50">
      <c r="AJ441" s="18"/>
      <c r="AK441" s="18"/>
      <c r="AL441" s="18"/>
    </row>
    <row r="442" spans="1:50">
      <c r="AJ442" s="18"/>
      <c r="AK442" s="18"/>
      <c r="AL442" s="18"/>
    </row>
    <row r="443" spans="1:50">
      <c r="AJ443" s="18"/>
      <c r="AK443" s="18"/>
      <c r="AL443" s="18"/>
    </row>
    <row r="444" spans="1:50">
      <c r="AJ444" s="18"/>
      <c r="AK444" s="18"/>
      <c r="AL444" s="18"/>
    </row>
    <row r="445" spans="1:50">
      <c r="AJ445" s="18"/>
      <c r="AK445" s="18"/>
      <c r="AL445" s="18"/>
    </row>
    <row r="446" spans="1:50">
      <c r="AJ446" s="18"/>
      <c r="AK446" s="18"/>
      <c r="AL446" s="18"/>
    </row>
    <row r="447" spans="1:50">
      <c r="AJ447" s="18"/>
      <c r="AK447" s="18"/>
      <c r="AL447" s="18"/>
    </row>
    <row r="448" spans="1:50">
      <c r="AJ448" s="18"/>
      <c r="AK448" s="18"/>
      <c r="AL448" s="18"/>
    </row>
    <row r="449" spans="1:38">
      <c r="AJ449" s="18"/>
      <c r="AK449" s="18"/>
      <c r="AL449" s="18"/>
    </row>
    <row r="450" spans="1:38">
      <c r="AJ450" s="18"/>
      <c r="AK450" s="18"/>
      <c r="AL450" s="18"/>
    </row>
    <row r="451" spans="1:38">
      <c r="AJ451" s="18"/>
      <c r="AK451" s="18"/>
      <c r="AL451" s="18"/>
    </row>
    <row r="452" spans="1:38">
      <c r="AJ452" s="18"/>
      <c r="AK452" s="18"/>
      <c r="AL452" s="18"/>
    </row>
    <row r="453" spans="1:38">
      <c r="AJ453" s="18"/>
      <c r="AK453" s="18"/>
      <c r="AL453" s="18"/>
    </row>
    <row r="454" spans="1:38">
      <c r="AJ454" s="18"/>
      <c r="AK454" s="18"/>
      <c r="AL454" s="18"/>
    </row>
    <row r="455" spans="1:38">
      <c r="AJ455" s="18"/>
      <c r="AK455" s="18"/>
      <c r="AL455" s="18"/>
    </row>
    <row r="456" spans="1:38">
      <c r="AJ456" s="18"/>
      <c r="AK456" s="18"/>
      <c r="AL456" s="18"/>
    </row>
    <row r="457" spans="1:38">
      <c r="AJ457" s="18"/>
      <c r="AK457" s="18"/>
      <c r="AL457" s="18"/>
    </row>
    <row r="458" spans="1:38">
      <c r="AJ458" s="18"/>
      <c r="AK458" s="18"/>
      <c r="AL458" s="18"/>
    </row>
    <row r="459" spans="1:38">
      <c r="AJ459" s="18"/>
      <c r="AK459" s="18"/>
      <c r="AL459" s="18"/>
    </row>
    <row r="460" spans="1:38">
      <c r="AJ460" s="18"/>
      <c r="AK460" s="18"/>
      <c r="AL460" s="18"/>
    </row>
    <row r="461" spans="1:38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 spans="1:38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 spans="1:38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 spans="1:38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 spans="1:38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 spans="1:38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 spans="1:38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 spans="1:3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 spans="1:38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 spans="1:38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 spans="1:38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 spans="1:38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 spans="1:38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 spans="1:38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 spans="1:38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 spans="1:38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 spans="1:38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 spans="1:3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 spans="1:38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 spans="1:38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 spans="1:38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 spans="1:38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 spans="1:38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 spans="1:38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 spans="1:38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 spans="1:38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 spans="1:38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 spans="1:3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 spans="1:38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 spans="1:38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 spans="1:38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 spans="1:38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 spans="1:38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 spans="1:38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 spans="1:38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 spans="1:38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 spans="1:38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 spans="1:3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 spans="1:38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 spans="1:38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 spans="1:38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 spans="1:38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 spans="1:38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 spans="1:38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 spans="1:38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 spans="1:38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 spans="1:38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 spans="1:3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 spans="1:38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 spans="1:38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 spans="1:38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 spans="1:38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 spans="1:38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 spans="1:38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 spans="1:38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 spans="1:38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 spans="1:38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 spans="1:3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 spans="1:38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 spans="1:38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 spans="1:38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 spans="1:38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 spans="1:38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 spans="1:38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 spans="1:38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 spans="1:38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 spans="1:38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 spans="1:3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 spans="1:38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 spans="1:38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 spans="1:38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 spans="1:38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 spans="1:38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 spans="1:38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 spans="1:38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 spans="1:38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 spans="1:38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A9DB"/>
  </sheetPr>
  <dimension ref="A1:AE195"/>
  <sheetViews>
    <sheetView showGridLines="0" topLeftCell="A37" workbookViewId="0">
      <pane xSplit="2" topLeftCell="C1" activePane="topRight" state="frozen"/>
      <selection activeCell="A37" sqref="A37"/>
      <selection pane="topRight" activeCell="C38" sqref="C38"/>
    </sheetView>
    <sheetView topLeftCell="A79" workbookViewId="1"/>
  </sheetViews>
  <sheetFormatPr defaultColWidth="8.6640625" defaultRowHeight="14.4"/>
  <cols>
    <col min="1" max="1" width="7.44140625" customWidth="1"/>
    <col min="2" max="2" width="63" customWidth="1"/>
    <col min="3" max="16" width="17" customWidth="1"/>
  </cols>
  <sheetData>
    <row r="1" spans="1:31">
      <c r="A1" s="729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51"/>
      <c r="R1" s="751"/>
      <c r="S1" s="751"/>
      <c r="T1" s="751"/>
      <c r="U1" s="751"/>
      <c r="V1" s="729"/>
      <c r="W1" s="729"/>
      <c r="X1" s="729"/>
      <c r="Y1" s="729"/>
      <c r="Z1" s="729"/>
      <c r="AA1" s="729"/>
      <c r="AB1" s="729"/>
      <c r="AC1" s="729"/>
      <c r="AD1" s="729"/>
      <c r="AE1" s="729"/>
    </row>
    <row r="2" spans="1:31">
      <c r="A2" s="729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51"/>
      <c r="R2" s="751"/>
      <c r="S2" s="751"/>
      <c r="T2" s="751"/>
      <c r="U2" s="751"/>
      <c r="V2" s="729"/>
      <c r="W2" s="729"/>
      <c r="X2" s="729"/>
      <c r="Y2" s="729"/>
      <c r="Z2" s="729"/>
      <c r="AA2" s="729"/>
      <c r="AB2" s="729"/>
      <c r="AC2" s="729"/>
      <c r="AD2" s="729"/>
      <c r="AE2" s="729"/>
    </row>
    <row r="3" spans="1:31" ht="17.399999999999999">
      <c r="A3" s="751"/>
      <c r="B3" s="656" t="s">
        <v>0</v>
      </c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751"/>
      <c r="R3" s="751"/>
      <c r="S3" s="751"/>
      <c r="T3" s="751"/>
      <c r="U3" s="751"/>
      <c r="V3" s="729"/>
      <c r="W3" s="729"/>
      <c r="X3" s="729"/>
      <c r="Y3" s="729"/>
      <c r="Z3" s="729"/>
      <c r="AA3" s="729"/>
      <c r="AB3" s="729"/>
      <c r="AC3" s="729"/>
      <c r="AD3" s="729"/>
      <c r="AE3" s="729"/>
    </row>
    <row r="4" spans="1:31">
      <c r="A4" s="751"/>
      <c r="B4" s="682" t="s">
        <v>1</v>
      </c>
      <c r="C4" s="682"/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751"/>
      <c r="R4" s="751"/>
      <c r="S4" s="751"/>
      <c r="T4" s="751"/>
      <c r="U4" s="751"/>
      <c r="V4" s="729"/>
      <c r="W4" s="729"/>
      <c r="X4" s="729"/>
      <c r="Y4" s="729"/>
      <c r="Z4" s="729"/>
      <c r="AA4" s="729"/>
      <c r="AB4" s="729"/>
      <c r="AC4" s="729"/>
      <c r="AD4" s="729"/>
      <c r="AE4" s="729"/>
    </row>
    <row r="5" spans="1:31" ht="30" customHeight="1">
      <c r="A5" s="751"/>
      <c r="B5" s="493" t="s">
        <v>2</v>
      </c>
      <c r="C5" s="492" t="s">
        <v>3</v>
      </c>
      <c r="D5" s="492" t="s">
        <v>4</v>
      </c>
      <c r="E5" s="492" t="s">
        <v>5</v>
      </c>
      <c r="F5" s="492" t="s">
        <v>6</v>
      </c>
      <c r="G5" s="492" t="s">
        <v>7</v>
      </c>
      <c r="H5" s="492" t="s">
        <v>8</v>
      </c>
      <c r="I5" s="492" t="s">
        <v>9</v>
      </c>
      <c r="J5" s="492" t="s">
        <v>10</v>
      </c>
      <c r="K5" s="492" t="s">
        <v>11</v>
      </c>
      <c r="L5" s="492" t="s">
        <v>12</v>
      </c>
      <c r="M5" s="492" t="s">
        <v>13</v>
      </c>
      <c r="N5" s="492" t="s">
        <v>14</v>
      </c>
      <c r="O5" s="492" t="s">
        <v>15</v>
      </c>
      <c r="P5" s="492" t="s">
        <v>16</v>
      </c>
      <c r="Q5" s="751"/>
      <c r="R5" s="751"/>
      <c r="S5" s="751"/>
      <c r="T5" s="751"/>
      <c r="U5" s="751"/>
      <c r="V5" s="729"/>
      <c r="W5" s="729"/>
      <c r="X5" s="729"/>
      <c r="Y5" s="729"/>
      <c r="Z5" s="729"/>
      <c r="AA5" s="729"/>
      <c r="AB5" s="729"/>
      <c r="AC5" s="729"/>
      <c r="AD5" s="729"/>
      <c r="AE5" s="729"/>
    </row>
    <row r="6" spans="1:31">
      <c r="A6" s="751"/>
      <c r="B6" s="730" t="s">
        <v>17</v>
      </c>
      <c r="C6" s="731">
        <f>Inputs!$H$5*(Inputs!C58/SUM(Inputs!$C$58:$C$61))</f>
        <v>1257936.2909474985</v>
      </c>
      <c r="D6" s="732">
        <f>$C6*Inputs!D$31</f>
        <v>79848.385775613511</v>
      </c>
      <c r="E6" s="732">
        <f>$C6*Inputs!E$31</f>
        <v>86653.101639764005</v>
      </c>
      <c r="F6" s="732">
        <f>$C6*Inputs!F$31</f>
        <v>106779.86560105957</v>
      </c>
      <c r="G6" s="732">
        <f>$C6*Inputs!G$31</f>
        <v>88804.184635266327</v>
      </c>
      <c r="H6" s="732">
        <f>$C6*Inputs!H$31</f>
        <v>110006.49009431306</v>
      </c>
      <c r="I6" s="732">
        <f>$C6*Inputs!I$31</f>
        <v>96642.160267526633</v>
      </c>
      <c r="J6" s="732">
        <f>$C6*Inputs!J$31</f>
        <v>102662.68217723571</v>
      </c>
      <c r="K6" s="732">
        <f>$C6*Inputs!K$31</f>
        <v>100444.21267511751</v>
      </c>
      <c r="L6" s="732">
        <f>$C6*Inputs!N$31</f>
        <v>120090.02196174303</v>
      </c>
      <c r="M6" s="732">
        <f>$C6*Inputs!O$31</f>
        <v>117961.40113511265</v>
      </c>
      <c r="N6" s="732">
        <f>$C6*Inputs!P$31</f>
        <v>119498.07774676449</v>
      </c>
      <c r="O6" s="732">
        <f>$C6*Inputs!Q$31</f>
        <v>128545.70723798205</v>
      </c>
      <c r="P6" s="733">
        <f t="shared" ref="P6:P11" si="0">SUM(D6:O6)</f>
        <v>1257936.2909474985</v>
      </c>
      <c r="Q6" s="751"/>
      <c r="R6" s="751"/>
      <c r="S6" s="751"/>
      <c r="T6" s="751"/>
      <c r="U6" s="751"/>
      <c r="V6" s="729"/>
      <c r="W6" s="729"/>
      <c r="X6" s="729"/>
      <c r="Y6" s="729"/>
      <c r="Z6" s="729"/>
      <c r="AA6" s="729"/>
      <c r="AB6" s="729"/>
      <c r="AC6" s="729"/>
      <c r="AD6" s="729"/>
      <c r="AE6" s="729"/>
    </row>
    <row r="7" spans="1:31">
      <c r="A7" s="751"/>
      <c r="B7" s="160" t="s">
        <v>18</v>
      </c>
      <c r="C7" s="341">
        <f>Inputs!$H$5*(Inputs!C59/SUM(Inputs!$C$58:$C$61))</f>
        <v>262373.55761586077</v>
      </c>
      <c r="D7" s="341">
        <f>$C7*Inputs!D$31</f>
        <v>16654.34505435203</v>
      </c>
      <c r="E7" s="341">
        <f>$C7*Inputs!E$31</f>
        <v>18073.635937912975</v>
      </c>
      <c r="F7" s="341">
        <f>$C7*Inputs!F$31</f>
        <v>22271.567662930844</v>
      </c>
      <c r="G7" s="341">
        <f>$C7*Inputs!G$31</f>
        <v>18522.297211395926</v>
      </c>
      <c r="H7" s="341">
        <f>$C7*Inputs!H$31</f>
        <v>22944.559573155275</v>
      </c>
      <c r="I7" s="341">
        <f>$C7*Inputs!I$31</f>
        <v>20157.099836887868</v>
      </c>
      <c r="J7" s="341">
        <f>$C7*Inputs!J$31</f>
        <v>21412.827780760766</v>
      </c>
      <c r="K7" s="341">
        <f>$C7*Inputs!K$31</f>
        <v>20950.111393673615</v>
      </c>
      <c r="L7" s="341">
        <f>$C7*Inputs!N$31</f>
        <v>25047.728190222326</v>
      </c>
      <c r="M7" s="341">
        <f>$C7*Inputs!O$31</f>
        <v>24603.751954607436</v>
      </c>
      <c r="N7" s="341">
        <f>$C7*Inputs!P$31</f>
        <v>24924.263662875663</v>
      </c>
      <c r="O7" s="341">
        <f>$C7*Inputs!Q$31</f>
        <v>26811.369357086056</v>
      </c>
      <c r="P7" s="161">
        <f t="shared" si="0"/>
        <v>262373.55761586077</v>
      </c>
      <c r="Q7" s="751"/>
      <c r="R7" s="751"/>
      <c r="S7" s="751"/>
      <c r="T7" s="751"/>
      <c r="U7" s="751"/>
      <c r="V7" s="729"/>
      <c r="W7" s="729"/>
      <c r="X7" s="729"/>
      <c r="Y7" s="729"/>
      <c r="Z7" s="729"/>
      <c r="AA7" s="729"/>
      <c r="AB7" s="729"/>
      <c r="AC7" s="729"/>
      <c r="AD7" s="729"/>
      <c r="AE7" s="729"/>
    </row>
    <row r="8" spans="1:31">
      <c r="A8" s="751"/>
      <c r="B8" s="734" t="s">
        <v>19</v>
      </c>
      <c r="C8" s="735">
        <f>Inputs!$H$5*(Inputs!C60/SUM(Inputs!$C$58:$C$61))</f>
        <v>787120.74414470606</v>
      </c>
      <c r="D8" s="735">
        <f>$C8*Inputs!D$31</f>
        <v>49963.039688690886</v>
      </c>
      <c r="E8" s="735">
        <f>$C8*Inputs!E$31</f>
        <v>54220.912725050373</v>
      </c>
      <c r="F8" s="735">
        <f>$C8*Inputs!F$31</f>
        <v>66814.709040845672</v>
      </c>
      <c r="G8" s="735">
        <f>$C8*Inputs!G$31</f>
        <v>55566.89666741799</v>
      </c>
      <c r="H8" s="735">
        <f>$C8*Inputs!H$31</f>
        <v>68833.684954397104</v>
      </c>
      <c r="I8" s="735">
        <f>$C8*Inputs!I$31</f>
        <v>60471.304988133408</v>
      </c>
      <c r="J8" s="735">
        <f>$C8*Inputs!J$31</f>
        <v>64238.489160982346</v>
      </c>
      <c r="K8" s="735">
        <f>$C8*Inputs!K$31</f>
        <v>62850.339873982812</v>
      </c>
      <c r="L8" s="735">
        <f>$C8*Inputs!N$31</f>
        <v>75143.191377111158</v>
      </c>
      <c r="M8" s="735">
        <f>$C8*Inputs!O$31</f>
        <v>73811.262549620849</v>
      </c>
      <c r="N8" s="735">
        <f>$C8*Inputs!P$31</f>
        <v>74772.79776152104</v>
      </c>
      <c r="O8" s="735">
        <f>$C8*Inputs!Q$31</f>
        <v>80434.115356952418</v>
      </c>
      <c r="P8" s="736">
        <f t="shared" si="0"/>
        <v>787120.74414470617</v>
      </c>
      <c r="Q8" s="751"/>
      <c r="R8" s="751"/>
      <c r="S8" s="751"/>
      <c r="T8" s="751"/>
      <c r="U8" s="751"/>
      <c r="V8" s="729"/>
      <c r="W8" s="729"/>
      <c r="X8" s="729"/>
      <c r="Y8" s="729"/>
      <c r="Z8" s="729"/>
      <c r="AA8" s="729"/>
      <c r="AB8" s="729"/>
      <c r="AC8" s="729"/>
      <c r="AD8" s="729"/>
      <c r="AE8" s="729"/>
    </row>
    <row r="9" spans="1:31">
      <c r="A9" s="751"/>
      <c r="B9" s="160" t="s">
        <v>20</v>
      </c>
      <c r="C9" s="341">
        <f>Inputs!$H$5*(Inputs!C61/SUM(Inputs!$C$58:$C$61))</f>
        <v>728569.40729193448</v>
      </c>
      <c r="D9" s="341">
        <f>$C9*Inputs!D$31</f>
        <v>46246.452635481262</v>
      </c>
      <c r="E9" s="341">
        <f>$C9*Inputs!E$31</f>
        <v>50187.596427588505</v>
      </c>
      <c r="F9" s="341">
        <f>$C9*Inputs!F$31</f>
        <v>61844.581439874622</v>
      </c>
      <c r="G9" s="341">
        <f>$C9*Inputs!G$31</f>
        <v>51433.457028277939</v>
      </c>
      <c r="H9" s="341">
        <f>$C9*Inputs!H$31</f>
        <v>63713.372340908776</v>
      </c>
      <c r="I9" s="341">
        <f>$C9*Inputs!I$31</f>
        <v>55973.042460274075</v>
      </c>
      <c r="J9" s="341">
        <f>$C9*Inputs!J$31</f>
        <v>59459.998127989937</v>
      </c>
      <c r="K9" s="341">
        <f>$C9*Inputs!K$31</f>
        <v>58175.108724699043</v>
      </c>
      <c r="L9" s="341">
        <f>$C9*Inputs!N$31</f>
        <v>69553.5352243003</v>
      </c>
      <c r="M9" s="341">
        <f>$C9*Inputs!O$31</f>
        <v>68320.684224478027</v>
      </c>
      <c r="N9" s="341">
        <f>$C9*Inputs!P$31</f>
        <v>69210.693977918927</v>
      </c>
      <c r="O9" s="341">
        <f>$C9*Inputs!Q$31</f>
        <v>74450.884680143063</v>
      </c>
      <c r="P9" s="161">
        <f t="shared" si="0"/>
        <v>728569.40729193459</v>
      </c>
      <c r="Q9" s="751"/>
      <c r="R9" s="751"/>
      <c r="S9" s="751"/>
      <c r="T9" s="751"/>
      <c r="U9" s="751"/>
      <c r="V9" s="729"/>
      <c r="W9" s="729"/>
      <c r="X9" s="729"/>
      <c r="Y9" s="729"/>
      <c r="Z9" s="729"/>
      <c r="AA9" s="729"/>
      <c r="AB9" s="729"/>
      <c r="AC9" s="729"/>
      <c r="AD9" s="729"/>
      <c r="AE9" s="729"/>
    </row>
    <row r="10" spans="1:31">
      <c r="A10" s="751"/>
      <c r="B10" s="734" t="s">
        <v>21</v>
      </c>
      <c r="C10" s="735">
        <f>Inputs!$C$13*Inputs!$C$19</f>
        <v>171600</v>
      </c>
      <c r="D10" s="735">
        <f>$C10*Inputs!D$31</f>
        <v>10892.430004364305</v>
      </c>
      <c r="E10" s="735">
        <f>$C10*Inputs!E$31</f>
        <v>11820.687858670028</v>
      </c>
      <c r="F10" s="735">
        <f>$C10*Inputs!F$31</f>
        <v>14566.258298614084</v>
      </c>
      <c r="G10" s="735">
        <f>$C10*Inputs!G$31</f>
        <v>12114.125487176767</v>
      </c>
      <c r="H10" s="735">
        <f>$C10*Inputs!H$31</f>
        <v>15006.414741374196</v>
      </c>
      <c r="I10" s="735">
        <f>$C10*Inputs!I$31</f>
        <v>13183.334339942114</v>
      </c>
      <c r="J10" s="735">
        <f>$C10*Inputs!J$31</f>
        <v>14004.617235698235</v>
      </c>
      <c r="K10" s="735">
        <f>$C10*Inputs!K$31</f>
        <v>13701.987150770214</v>
      </c>
      <c r="L10" s="735">
        <f>$C10*Inputs!N$31</f>
        <v>16381.94868606043</v>
      </c>
      <c r="M10" s="735">
        <f>$C10*Inputs!O$31</f>
        <v>16091.575209694116</v>
      </c>
      <c r="N10" s="735">
        <f>$C10*Inputs!P$31</f>
        <v>16301.199264948009</v>
      </c>
      <c r="O10" s="735">
        <f>$C10*Inputs!Q$31</f>
        <v>17535.421722687508</v>
      </c>
      <c r="P10" s="736">
        <f t="shared" si="0"/>
        <v>171600.00000000003</v>
      </c>
      <c r="Q10" s="751"/>
      <c r="R10" s="751"/>
      <c r="S10" s="751"/>
      <c r="T10" s="751"/>
      <c r="U10" s="751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</row>
    <row r="11" spans="1:31">
      <c r="A11" s="751"/>
      <c r="B11" s="162" t="s">
        <v>22</v>
      </c>
      <c r="C11" s="342">
        <f>Inputs!$C$13*Inputs!$C$20</f>
        <v>92400</v>
      </c>
      <c r="D11" s="342">
        <f>$C11*Inputs!D$31</f>
        <v>5865.1546177346254</v>
      </c>
      <c r="E11" s="342">
        <f>$C11*Inputs!E$31</f>
        <v>6364.985770053092</v>
      </c>
      <c r="F11" s="342">
        <f>$C11*Inputs!F$31</f>
        <v>7843.3698530998918</v>
      </c>
      <c r="G11" s="342">
        <f>$C11*Inputs!G$31</f>
        <v>6522.9906469413363</v>
      </c>
      <c r="H11" s="342">
        <f>$C11*Inputs!H$31</f>
        <v>8080.3771684322592</v>
      </c>
      <c r="I11" s="342">
        <f>$C11*Inputs!I$31</f>
        <v>7098.7184907380606</v>
      </c>
      <c r="J11" s="342">
        <f>$C11*Inputs!J$31</f>
        <v>7540.9477422990494</v>
      </c>
      <c r="K11" s="342">
        <f>$C11*Inputs!K$31</f>
        <v>7377.9930811839613</v>
      </c>
      <c r="L11" s="342">
        <f>$C11*Inputs!N$31</f>
        <v>8821.0492924940772</v>
      </c>
      <c r="M11" s="342">
        <f>$C11*Inputs!O$31</f>
        <v>8664.6943436814472</v>
      </c>
      <c r="N11" s="342">
        <f>$C11*Inputs!P$31</f>
        <v>8777.568834972004</v>
      </c>
      <c r="O11" s="342">
        <f>$C11*Inputs!Q$31</f>
        <v>9442.1501583701975</v>
      </c>
      <c r="P11" s="163">
        <f t="shared" si="0"/>
        <v>92400</v>
      </c>
      <c r="Q11" s="751"/>
      <c r="R11" s="751"/>
      <c r="S11" s="751"/>
      <c r="T11" s="751"/>
      <c r="U11" s="751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</row>
    <row r="12" spans="1:31">
      <c r="A12" s="751"/>
      <c r="B12" s="737" t="s">
        <v>23</v>
      </c>
      <c r="C12" s="738">
        <f t="shared" ref="C12" si="1">SUM(C6:C11)</f>
        <v>3299999.9999999995</v>
      </c>
      <c r="D12" s="738">
        <f t="shared" ref="D12:P12" si="2">SUM(D6:D11)</f>
        <v>209469.80777623662</v>
      </c>
      <c r="E12" s="738">
        <f t="shared" si="2"/>
        <v>227320.92035903895</v>
      </c>
      <c r="F12" s="738">
        <f t="shared" si="2"/>
        <v>280120.35189642466</v>
      </c>
      <c r="G12" s="738">
        <f t="shared" si="2"/>
        <v>232963.95167647628</v>
      </c>
      <c r="H12" s="738">
        <f t="shared" si="2"/>
        <v>288584.89887258073</v>
      </c>
      <c r="I12" s="738">
        <f t="shared" si="2"/>
        <v>253525.66038350217</v>
      </c>
      <c r="J12" s="738">
        <f t="shared" si="2"/>
        <v>269319.56222496607</v>
      </c>
      <c r="K12" s="738">
        <f t="shared" si="2"/>
        <v>263499.75289942714</v>
      </c>
      <c r="L12" s="738">
        <f t="shared" si="2"/>
        <v>315037.47473193135</v>
      </c>
      <c r="M12" s="738">
        <f t="shared" si="2"/>
        <v>309453.36941719451</v>
      </c>
      <c r="N12" s="738">
        <f t="shared" si="2"/>
        <v>313484.60124900012</v>
      </c>
      <c r="O12" s="738">
        <f t="shared" si="2"/>
        <v>337219.6485132213</v>
      </c>
      <c r="P12" s="738">
        <f t="shared" si="2"/>
        <v>3300000</v>
      </c>
      <c r="Q12" s="751"/>
      <c r="R12" s="751"/>
      <c r="S12" s="751"/>
      <c r="T12" s="751"/>
      <c r="U12" s="751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</row>
    <row r="13" spans="1:31" ht="15" thickTop="1">
      <c r="A13" s="751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751"/>
      <c r="R13" s="751"/>
      <c r="S13" s="751"/>
      <c r="T13" s="751"/>
      <c r="U13" s="751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</row>
    <row r="14" spans="1:31">
      <c r="A14" s="751"/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751"/>
      <c r="R14" s="751"/>
      <c r="S14" s="751"/>
      <c r="T14" s="751"/>
      <c r="U14" s="751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</row>
    <row r="15" spans="1:31">
      <c r="A15" s="751"/>
      <c r="B15" s="672" t="s">
        <v>24</v>
      </c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2"/>
      <c r="N15" s="672"/>
      <c r="O15" s="672"/>
      <c r="P15" s="464"/>
      <c r="Q15" s="751"/>
      <c r="R15" s="751"/>
      <c r="S15" s="751"/>
      <c r="T15" s="751"/>
      <c r="U15" s="751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</row>
    <row r="16" spans="1:31">
      <c r="A16" s="751"/>
      <c r="B16" s="216"/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751"/>
      <c r="R16" s="751"/>
      <c r="S16" s="751"/>
      <c r="T16" s="751"/>
      <c r="U16" s="751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</row>
    <row r="17" spans="1:31" ht="30" customHeight="1">
      <c r="A17" s="751"/>
      <c r="B17" s="467" t="s">
        <v>25</v>
      </c>
      <c r="C17" s="461" t="s">
        <v>4</v>
      </c>
      <c r="D17" s="461" t="s">
        <v>5</v>
      </c>
      <c r="E17" s="461" t="s">
        <v>6</v>
      </c>
      <c r="F17" s="461" t="s">
        <v>7</v>
      </c>
      <c r="G17" s="461" t="s">
        <v>8</v>
      </c>
      <c r="H17" s="461" t="s">
        <v>9</v>
      </c>
      <c r="I17" s="461" t="s">
        <v>10</v>
      </c>
      <c r="J17" s="461" t="s">
        <v>11</v>
      </c>
      <c r="K17" s="461" t="s">
        <v>12</v>
      </c>
      <c r="L17" s="461" t="s">
        <v>13</v>
      </c>
      <c r="M17" s="461" t="s">
        <v>14</v>
      </c>
      <c r="N17" s="461" t="s">
        <v>15</v>
      </c>
      <c r="O17" s="461" t="s">
        <v>26</v>
      </c>
      <c r="P17" s="461"/>
      <c r="Q17" s="751"/>
      <c r="R17" s="751"/>
      <c r="S17" s="751"/>
      <c r="T17" s="751"/>
      <c r="U17" s="751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</row>
    <row r="18" spans="1:31">
      <c r="A18" s="751"/>
      <c r="B18" s="216" t="s">
        <v>27</v>
      </c>
      <c r="C18" s="222">
        <f>Inputs!$H$6</f>
        <v>190988.0617886179</v>
      </c>
      <c r="D18" s="212">
        <f t="shared" ref="D18:O18" si="3">C21</f>
        <v>382745.34463381249</v>
      </c>
      <c r="E18" s="212">
        <f t="shared" si="3"/>
        <v>589966.86464095919</v>
      </c>
      <c r="F18" s="212">
        <f t="shared" si="3"/>
        <v>844727.75406246504</v>
      </c>
      <c r="G18" s="212">
        <f t="shared" si="3"/>
        <v>1054830.9508345108</v>
      </c>
      <c r="H18" s="212">
        <f t="shared" si="3"/>
        <v>1315054.9030431125</v>
      </c>
      <c r="I18" s="212">
        <f t="shared" si="3"/>
        <v>1541723.2360807189</v>
      </c>
      <c r="J18" s="212">
        <f t="shared" si="3"/>
        <v>1781788.6171472841</v>
      </c>
      <c r="K18" s="212">
        <f t="shared" si="3"/>
        <v>2015299.4467290207</v>
      </c>
      <c r="L18" s="212">
        <f t="shared" si="3"/>
        <v>2295057.4262487525</v>
      </c>
      <c r="M18" s="212">
        <f t="shared" si="3"/>
        <v>2568279.2389813275</v>
      </c>
      <c r="N18" s="212">
        <f t="shared" si="3"/>
        <v>2843843.6759355012</v>
      </c>
      <c r="O18" s="212">
        <f t="shared" si="3"/>
        <v>3139866.5341879874</v>
      </c>
      <c r="P18" s="216"/>
      <c r="Q18" s="751"/>
      <c r="R18" s="751"/>
      <c r="S18" s="751"/>
      <c r="T18" s="751"/>
      <c r="U18" s="751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</row>
    <row r="19" spans="1:31">
      <c r="A19" s="751"/>
      <c r="B19" s="167" t="s">
        <v>28</v>
      </c>
      <c r="C19" s="168">
        <f t="shared" ref="C19:N19" si="4">D6+D7+D8+D9</f>
        <v>192712.22315413767</v>
      </c>
      <c r="D19" s="168">
        <f t="shared" si="4"/>
        <v>209135.24673031585</v>
      </c>
      <c r="E19" s="168">
        <f t="shared" si="4"/>
        <v>257710.7237447107</v>
      </c>
      <c r="F19" s="168">
        <f t="shared" si="4"/>
        <v>214326.8355423582</v>
      </c>
      <c r="G19" s="168">
        <f t="shared" si="4"/>
        <v>265498.10696277424</v>
      </c>
      <c r="H19" s="168">
        <f t="shared" si="4"/>
        <v>233243.60755282198</v>
      </c>
      <c r="I19" s="168">
        <f t="shared" si="4"/>
        <v>247773.99724696876</v>
      </c>
      <c r="J19" s="168">
        <f t="shared" si="4"/>
        <v>242419.77266747298</v>
      </c>
      <c r="K19" s="168">
        <f t="shared" si="4"/>
        <v>289834.47675337683</v>
      </c>
      <c r="L19" s="168">
        <f t="shared" si="4"/>
        <v>284697.09986381896</v>
      </c>
      <c r="M19" s="168">
        <f t="shared" si="4"/>
        <v>288405.83314908011</v>
      </c>
      <c r="N19" s="168">
        <f t="shared" si="4"/>
        <v>310242.0766321636</v>
      </c>
      <c r="O19" s="168">
        <f>SUM(C19:N19)</f>
        <v>3035999.9999999995</v>
      </c>
      <c r="P19" s="216"/>
      <c r="Q19" s="751"/>
      <c r="R19" s="751"/>
      <c r="S19" s="751"/>
      <c r="T19" s="751"/>
      <c r="U19" s="751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</row>
    <row r="20" spans="1:31">
      <c r="A20" s="751"/>
      <c r="B20" s="216" t="s">
        <v>29</v>
      </c>
      <c r="C20" s="222">
        <f>-C18*Inputs!$C$9</f>
        <v>-954.94030894308946</v>
      </c>
      <c r="D20" s="222">
        <f>-D18*Inputs!$C$9</f>
        <v>-1913.7267231690626</v>
      </c>
      <c r="E20" s="222">
        <f>-E18*Inputs!$C$9</f>
        <v>-2949.834323204796</v>
      </c>
      <c r="F20" s="222">
        <f>-F18*Inputs!$C$9</f>
        <v>-4223.6387703123255</v>
      </c>
      <c r="G20" s="222">
        <f>-G18*Inputs!$C$9</f>
        <v>-5274.154754172554</v>
      </c>
      <c r="H20" s="222">
        <f>-H18*Inputs!$C$9</f>
        <v>-6575.2745152155621</v>
      </c>
      <c r="I20" s="222">
        <f>-I18*Inputs!$C$9</f>
        <v>-7708.6161804035946</v>
      </c>
      <c r="J20" s="222">
        <f>-J18*Inputs!$C$9</f>
        <v>-8908.9430857364205</v>
      </c>
      <c r="K20" s="222">
        <f>-K18*Inputs!$C$9</f>
        <v>-10076.497233645103</v>
      </c>
      <c r="L20" s="222">
        <f>-L18*Inputs!$C$9</f>
        <v>-11475.287131243762</v>
      </c>
      <c r="M20" s="222">
        <f>-M18*Inputs!$C$9</f>
        <v>-12841.396194906638</v>
      </c>
      <c r="N20" s="222">
        <f>-N18*Inputs!$C$9</f>
        <v>-14219.218379677506</v>
      </c>
      <c r="O20" s="222">
        <f>-O18*Inputs!$C$9</f>
        <v>-15699.332670939937</v>
      </c>
      <c r="P20" s="216"/>
      <c r="Q20" s="751"/>
      <c r="R20" s="751"/>
      <c r="S20" s="751"/>
      <c r="T20" s="751"/>
      <c r="U20" s="751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</row>
    <row r="21" spans="1:31">
      <c r="A21" s="751"/>
      <c r="B21" s="739" t="s">
        <v>30</v>
      </c>
      <c r="C21" s="740">
        <f t="shared" ref="C21:N21" si="5">C18+C19+C20</f>
        <v>382745.34463381249</v>
      </c>
      <c r="D21" s="740">
        <f t="shared" si="5"/>
        <v>589966.86464095919</v>
      </c>
      <c r="E21" s="740">
        <f t="shared" si="5"/>
        <v>844727.75406246504</v>
      </c>
      <c r="F21" s="740">
        <f t="shared" si="5"/>
        <v>1054830.9508345108</v>
      </c>
      <c r="G21" s="740">
        <f t="shared" si="5"/>
        <v>1315054.9030431125</v>
      </c>
      <c r="H21" s="740">
        <f t="shared" si="5"/>
        <v>1541723.2360807189</v>
      </c>
      <c r="I21" s="740">
        <f t="shared" si="5"/>
        <v>1781788.6171472841</v>
      </c>
      <c r="J21" s="740">
        <f t="shared" si="5"/>
        <v>2015299.4467290207</v>
      </c>
      <c r="K21" s="740">
        <f t="shared" si="5"/>
        <v>2295057.4262487525</v>
      </c>
      <c r="L21" s="740">
        <f t="shared" si="5"/>
        <v>2568279.2389813275</v>
      </c>
      <c r="M21" s="740">
        <f t="shared" si="5"/>
        <v>2843843.6759355012</v>
      </c>
      <c r="N21" s="740">
        <f t="shared" si="5"/>
        <v>3139866.5341879874</v>
      </c>
      <c r="O21" s="740">
        <f>N21</f>
        <v>3139866.5341879874</v>
      </c>
      <c r="P21" s="216"/>
      <c r="Q21" s="751"/>
      <c r="R21" s="751"/>
      <c r="S21" s="751"/>
      <c r="T21" s="751"/>
      <c r="U21" s="751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</row>
    <row r="22" spans="1:31">
      <c r="A22" s="751"/>
      <c r="B22" s="216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6"/>
      <c r="Q22" s="751"/>
      <c r="R22" s="751"/>
      <c r="S22" s="751"/>
      <c r="T22" s="751"/>
      <c r="U22" s="751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</row>
    <row r="23" spans="1:31">
      <c r="A23" s="751"/>
      <c r="B23" s="739" t="s">
        <v>31</v>
      </c>
      <c r="C23" s="740">
        <f t="shared" ref="C23:O23" si="6">AVERAGE(C18,C21)</f>
        <v>286866.70321121521</v>
      </c>
      <c r="D23" s="740">
        <f t="shared" si="6"/>
        <v>486356.10463738581</v>
      </c>
      <c r="E23" s="740">
        <f t="shared" si="6"/>
        <v>717347.30935171212</v>
      </c>
      <c r="F23" s="740">
        <f t="shared" si="6"/>
        <v>949779.35244848789</v>
      </c>
      <c r="G23" s="740">
        <f t="shared" si="6"/>
        <v>1184942.9269388118</v>
      </c>
      <c r="H23" s="740">
        <f t="shared" si="6"/>
        <v>1428389.0695619157</v>
      </c>
      <c r="I23" s="740">
        <f t="shared" si="6"/>
        <v>1661755.9266140014</v>
      </c>
      <c r="J23" s="740">
        <f t="shared" si="6"/>
        <v>1898544.0319381524</v>
      </c>
      <c r="K23" s="740">
        <f t="shared" si="6"/>
        <v>2155178.4364888864</v>
      </c>
      <c r="L23" s="740">
        <f t="shared" si="6"/>
        <v>2431668.3326150402</v>
      </c>
      <c r="M23" s="740">
        <f t="shared" si="6"/>
        <v>2706061.4574584141</v>
      </c>
      <c r="N23" s="740">
        <f t="shared" si="6"/>
        <v>2991855.1050617443</v>
      </c>
      <c r="O23" s="740">
        <f t="shared" si="6"/>
        <v>3139866.5341879874</v>
      </c>
      <c r="P23" s="216"/>
      <c r="Q23" s="751"/>
      <c r="R23" s="751"/>
      <c r="S23" s="751"/>
      <c r="T23" s="751"/>
      <c r="U23" s="751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</row>
    <row r="24" spans="1:31">
      <c r="A24" s="751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751"/>
      <c r="R24" s="751"/>
      <c r="S24" s="751"/>
      <c r="T24" s="751"/>
      <c r="U24" s="751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</row>
    <row r="25" spans="1:31">
      <c r="A25" s="751"/>
      <c r="B25" s="464" t="s">
        <v>32</v>
      </c>
      <c r="C25" s="464"/>
      <c r="D25" s="464"/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4"/>
      <c r="Q25" s="751"/>
      <c r="R25" s="751"/>
      <c r="S25" s="751"/>
      <c r="T25" s="751"/>
      <c r="U25" s="751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</row>
    <row r="26" spans="1:31">
      <c r="A26" s="751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751"/>
      <c r="R26" s="751"/>
      <c r="S26" s="751"/>
      <c r="T26" s="751"/>
      <c r="U26" s="751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</row>
    <row r="27" spans="1:31">
      <c r="A27" s="751"/>
      <c r="B27" s="741" t="s">
        <v>33</v>
      </c>
      <c r="C27" s="215" t="s">
        <v>34</v>
      </c>
      <c r="D27" s="215" t="s">
        <v>35</v>
      </c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751"/>
      <c r="R27" s="751"/>
      <c r="S27" s="751"/>
      <c r="T27" s="751"/>
      <c r="U27" s="751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</row>
    <row r="28" spans="1:31">
      <c r="A28" s="751"/>
      <c r="B28" s="741" t="s">
        <v>36</v>
      </c>
      <c r="C28" s="222">
        <f>Inputs!$C$12</f>
        <v>3300000</v>
      </c>
      <c r="D28" s="215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751"/>
      <c r="R28" s="751"/>
      <c r="S28" s="751"/>
      <c r="T28" s="751"/>
      <c r="U28" s="751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</row>
    <row r="29" spans="1:31">
      <c r="A29" s="751"/>
      <c r="B29" s="742" t="s">
        <v>37</v>
      </c>
      <c r="C29" s="550">
        <f>P12</f>
        <v>3300000</v>
      </c>
      <c r="D29" s="542"/>
      <c r="E29" s="742"/>
      <c r="F29" s="742"/>
      <c r="G29" s="742"/>
      <c r="H29" s="742"/>
      <c r="I29" s="742"/>
      <c r="J29" s="742"/>
      <c r="K29" s="742"/>
      <c r="L29" s="742"/>
      <c r="M29" s="742"/>
      <c r="N29" s="742"/>
      <c r="O29" s="742"/>
      <c r="P29" s="742"/>
      <c r="Q29" s="751"/>
      <c r="R29" s="751"/>
      <c r="S29" s="751"/>
      <c r="T29" s="751"/>
      <c r="U29" s="751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</row>
    <row r="30" spans="1:31">
      <c r="A30" s="751"/>
      <c r="B30" s="741" t="s">
        <v>38</v>
      </c>
      <c r="C30" s="212">
        <f>C29-C28</f>
        <v>0</v>
      </c>
      <c r="D30" s="215" t="str">
        <f>IF(ABS(C30)&lt;1000,"OK","GAP")</f>
        <v>OK</v>
      </c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751"/>
      <c r="R30" s="751"/>
      <c r="S30" s="751"/>
      <c r="T30" s="751"/>
      <c r="U30" s="751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</row>
    <row r="31" spans="1:31">
      <c r="A31" s="751"/>
      <c r="B31" s="741"/>
      <c r="C31" s="215"/>
      <c r="D31" s="215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751"/>
      <c r="R31" s="751"/>
      <c r="S31" s="751"/>
      <c r="T31" s="751"/>
      <c r="U31" s="751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</row>
    <row r="32" spans="1:31">
      <c r="A32" s="751"/>
      <c r="B32" s="741" t="s">
        <v>39</v>
      </c>
      <c r="C32" s="212">
        <f>N21</f>
        <v>3139866.5341879874</v>
      </c>
      <c r="D32" s="215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751"/>
      <c r="R32" s="751"/>
      <c r="S32" s="751"/>
      <c r="T32" s="751"/>
      <c r="U32" s="751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</row>
    <row r="33" spans="1:31">
      <c r="A33" s="751"/>
      <c r="B33" s="741" t="s">
        <v>40</v>
      </c>
      <c r="C33" s="222">
        <f>Inputs!$C$15</f>
        <v>3036000</v>
      </c>
      <c r="D33" s="215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751"/>
      <c r="R33" s="751"/>
      <c r="S33" s="751"/>
      <c r="T33" s="751"/>
      <c r="U33" s="751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</row>
    <row r="34" spans="1:31">
      <c r="A34" s="751"/>
      <c r="B34" s="741" t="s">
        <v>41</v>
      </c>
      <c r="C34" s="212">
        <f>C32-C33</f>
        <v>103866.53418798745</v>
      </c>
      <c r="D34" s="215" t="str">
        <f>IF(C34&gt;0,"ABOVE","BELOW")</f>
        <v>ABOVE</v>
      </c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751"/>
      <c r="R34" s="751"/>
      <c r="S34" s="751"/>
      <c r="T34" s="751"/>
      <c r="U34" s="751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</row>
    <row r="35" spans="1:31">
      <c r="A35" s="751"/>
      <c r="B35" s="216"/>
      <c r="C35" s="216"/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751"/>
      <c r="R35" s="751"/>
      <c r="S35" s="751"/>
      <c r="T35" s="751"/>
      <c r="U35" s="751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</row>
    <row r="36" spans="1:31">
      <c r="A36" s="751"/>
      <c r="B36" s="741" t="s">
        <v>42</v>
      </c>
      <c r="C36" s="743">
        <f>Inputs!C21</f>
        <v>0.112</v>
      </c>
      <c r="D36" s="744" t="s">
        <v>43</v>
      </c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751"/>
      <c r="R36" s="751"/>
      <c r="S36" s="751"/>
      <c r="T36" s="751"/>
      <c r="U36" s="751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</row>
    <row r="37" spans="1:31">
      <c r="A37" s="729"/>
      <c r="B37" s="674"/>
      <c r="C37" s="674"/>
      <c r="D37" s="674"/>
      <c r="E37" s="674"/>
      <c r="F37" s="674"/>
      <c r="G37" s="674"/>
      <c r="H37" s="674"/>
      <c r="I37" s="674"/>
      <c r="J37" s="674"/>
      <c r="K37" s="674"/>
      <c r="L37" s="674"/>
      <c r="M37" s="674"/>
      <c r="N37" s="674"/>
      <c r="O37" s="674"/>
      <c r="P37" s="674"/>
      <c r="Q37" s="729"/>
      <c r="R37" s="729"/>
      <c r="S37" s="729"/>
      <c r="T37" s="729"/>
      <c r="U37" s="729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</row>
    <row r="38" spans="1:31">
      <c r="A38" s="729"/>
      <c r="B38" s="741" t="s">
        <v>44</v>
      </c>
      <c r="C38" s="745">
        <f>P12/(1-Inputs!C21)</f>
        <v>3716216.2162162163</v>
      </c>
      <c r="D38" s="674"/>
      <c r="E38" s="674"/>
      <c r="F38" s="674"/>
      <c r="G38" s="674"/>
      <c r="H38" s="674"/>
      <c r="I38" s="674"/>
      <c r="J38" s="674"/>
      <c r="K38" s="674"/>
      <c r="L38" s="674"/>
      <c r="M38" s="674"/>
      <c r="N38" s="674"/>
      <c r="O38" s="674"/>
      <c r="P38" s="674"/>
      <c r="Q38" s="729"/>
      <c r="R38" s="729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</row>
    <row r="39" spans="1:31">
      <c r="A39" s="729"/>
      <c r="B39" s="741" t="s">
        <v>45</v>
      </c>
      <c r="C39" s="746">
        <f>C38-P12</f>
        <v>416216.21621621633</v>
      </c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729"/>
      <c r="R39" s="729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</row>
    <row r="40" spans="1:31">
      <c r="A40" s="729"/>
      <c r="B40" s="741" t="s">
        <v>46</v>
      </c>
      <c r="C40" s="745">
        <f>C39*Inputs!C6</f>
        <v>1535837837.8378382</v>
      </c>
      <c r="D40" s="674"/>
      <c r="E40" s="674"/>
      <c r="F40" s="674"/>
      <c r="G40" s="674"/>
      <c r="H40" s="674"/>
      <c r="I40" s="674"/>
      <c r="J40" s="674"/>
      <c r="K40" s="674"/>
      <c r="L40" s="674"/>
      <c r="M40" s="674"/>
      <c r="N40" s="674"/>
      <c r="O40" s="674"/>
      <c r="P40" s="674"/>
      <c r="Q40" s="729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</row>
    <row r="41" spans="1:31">
      <c r="A41" s="729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4"/>
      <c r="P41" s="674"/>
      <c r="Q41" s="729"/>
      <c r="R41" s="729"/>
      <c r="S41" s="729"/>
      <c r="T41" s="729"/>
      <c r="U41" s="729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</row>
    <row r="42" spans="1:31">
      <c r="A42" s="729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4"/>
      <c r="P42" s="674"/>
      <c r="Q42" s="729"/>
      <c r="R42" s="729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</row>
    <row r="43" spans="1:31">
      <c r="A43" s="729"/>
      <c r="B43" s="494" t="s">
        <v>47</v>
      </c>
      <c r="C43" s="494"/>
      <c r="D43" s="494"/>
      <c r="E43" s="494"/>
      <c r="F43" s="464"/>
      <c r="G43" s="464"/>
      <c r="H43" s="464"/>
      <c r="I43" s="464"/>
      <c r="J43" s="464"/>
      <c r="K43" s="464"/>
      <c r="L43" s="464"/>
      <c r="M43" s="464"/>
      <c r="N43" s="464"/>
      <c r="O43" s="464"/>
      <c r="P43" s="464"/>
      <c r="Q43" s="729"/>
      <c r="R43" s="729"/>
      <c r="S43" s="729"/>
      <c r="T43" s="729"/>
      <c r="U43" s="729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</row>
    <row r="44" spans="1:31">
      <c r="A44" s="729"/>
      <c r="B44" s="682" t="s">
        <v>48</v>
      </c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</row>
    <row r="45" spans="1:31">
      <c r="A45" s="729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4"/>
      <c r="P45" s="674"/>
      <c r="Q45" s="729"/>
      <c r="R45" s="729"/>
      <c r="S45" s="729"/>
      <c r="T45" s="729"/>
      <c r="U45" s="729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</row>
    <row r="46" spans="1:31">
      <c r="A46" s="729"/>
      <c r="B46" s="169" t="s">
        <v>49</v>
      </c>
      <c r="C46" s="170" t="s">
        <v>50</v>
      </c>
      <c r="D46" s="170" t="s">
        <v>51</v>
      </c>
      <c r="E46" s="170" t="s">
        <v>52</v>
      </c>
      <c r="F46" s="170" t="s">
        <v>53</v>
      </c>
      <c r="G46" s="170" t="s">
        <v>54</v>
      </c>
      <c r="H46" s="170" t="s">
        <v>55</v>
      </c>
      <c r="I46" s="170" t="s">
        <v>56</v>
      </c>
      <c r="J46" s="170" t="s">
        <v>57</v>
      </c>
      <c r="K46" s="170" t="s">
        <v>58</v>
      </c>
      <c r="L46" s="170" t="s">
        <v>59</v>
      </c>
      <c r="M46" s="170" t="s">
        <v>60</v>
      </c>
      <c r="N46" s="170" t="s">
        <v>61</v>
      </c>
      <c r="O46" s="170" t="s">
        <v>62</v>
      </c>
      <c r="P46" s="170" t="s">
        <v>63</v>
      </c>
      <c r="Q46" s="729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</row>
    <row r="47" spans="1:31">
      <c r="A47" s="729"/>
      <c r="B47" s="674" t="s">
        <v>64</v>
      </c>
      <c r="C47" s="747">
        <f>Inputs!$N$7*Inputs!$C$6</f>
        <v>8856000000</v>
      </c>
      <c r="D47" s="748">
        <f>C47*Inputs!D$31</f>
        <v>562140793.2322278</v>
      </c>
      <c r="E47" s="748">
        <f>C47*Inputs!E$31</f>
        <v>610046688.09080279</v>
      </c>
      <c r="F47" s="748">
        <f>C47*Inputs!F$31</f>
        <v>751741162.54385972</v>
      </c>
      <c r="G47" s="748">
        <f>C47*Inputs!G$31</f>
        <v>625190532.13541639</v>
      </c>
      <c r="H47" s="748">
        <f>C47*Inputs!H$31</f>
        <v>774456928.61078012</v>
      </c>
      <c r="I47" s="748">
        <f>C47*Inputs!I$31</f>
        <v>680370681.32008946</v>
      </c>
      <c r="J47" s="748">
        <f>C47*Inputs!J$31</f>
        <v>722755770.62554526</v>
      </c>
      <c r="K47" s="748">
        <f>C47*Inputs!K$31</f>
        <v>707137518.69009912</v>
      </c>
      <c r="L47" s="748">
        <f>C47*Inputs!N$31</f>
        <v>845446023.09878302</v>
      </c>
      <c r="M47" s="748">
        <f>C47*Inputs!O$31</f>
        <v>830460315.0177803</v>
      </c>
      <c r="N47" s="748">
        <f>C47*Inputs!P$31</f>
        <v>841278675.35186219</v>
      </c>
      <c r="O47" s="748">
        <f>C47*Inputs!Q$31</f>
        <v>904974911.28275394</v>
      </c>
      <c r="P47" s="713">
        <f>SUM(D47:O47)/C47</f>
        <v>1</v>
      </c>
      <c r="Q47" s="729"/>
      <c r="R47" s="729"/>
      <c r="S47" s="729"/>
      <c r="T47" s="729"/>
      <c r="U47" s="729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</row>
    <row r="48" spans="1:31">
      <c r="A48" s="729"/>
      <c r="B48" s="674" t="s">
        <v>65</v>
      </c>
      <c r="C48" s="749">
        <f>SUM(D47:O47)</f>
        <v>8856000000</v>
      </c>
      <c r="D48" s="750" t="str">
        <f>IF(ABS(C47-C48)&lt;1,"OK","ERROR")</f>
        <v>OK</v>
      </c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729"/>
      <c r="R48" s="729"/>
      <c r="S48" s="729"/>
      <c r="T48" s="729"/>
      <c r="U48" s="729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</row>
    <row r="49" spans="1:31">
      <c r="A49" s="729"/>
      <c r="B49" s="674"/>
      <c r="C49" s="674"/>
      <c r="D49" s="674"/>
      <c r="E49" s="674"/>
      <c r="F49" s="674"/>
      <c r="G49" s="674"/>
      <c r="H49" s="674"/>
      <c r="I49" s="674"/>
      <c r="J49" s="674"/>
      <c r="K49" s="674"/>
      <c r="L49" s="674"/>
      <c r="M49" s="674"/>
      <c r="N49" s="674"/>
      <c r="O49" s="674"/>
      <c r="P49" s="674"/>
      <c r="Q49" s="729"/>
      <c r="R49" s="729"/>
      <c r="S49" s="729"/>
      <c r="T49" s="729"/>
      <c r="U49" s="729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</row>
    <row r="50" spans="1:31">
      <c r="A50" s="729"/>
      <c r="B50" s="674"/>
      <c r="C50" s="674"/>
      <c r="D50" s="674"/>
      <c r="E50" s="674"/>
      <c r="F50" s="674"/>
      <c r="G50" s="674"/>
      <c r="H50" s="674"/>
      <c r="I50" s="674"/>
      <c r="J50" s="674"/>
      <c r="K50" s="674"/>
      <c r="L50" s="674"/>
      <c r="M50" s="674"/>
      <c r="N50" s="674"/>
      <c r="O50" s="674"/>
      <c r="P50" s="674"/>
      <c r="Q50" s="729"/>
      <c r="R50" s="729"/>
      <c r="S50" s="729"/>
      <c r="T50" s="729"/>
      <c r="U50" s="729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</row>
    <row r="51" spans="1:31" ht="30" customHeight="1">
      <c r="A51" s="729"/>
      <c r="B51" s="467" t="s">
        <v>66</v>
      </c>
      <c r="C51" s="461" t="s">
        <v>50</v>
      </c>
      <c r="D51" s="461" t="s">
        <v>51</v>
      </c>
      <c r="E51" s="461" t="s">
        <v>52</v>
      </c>
      <c r="F51" s="461" t="s">
        <v>53</v>
      </c>
      <c r="G51" s="461" t="s">
        <v>54</v>
      </c>
      <c r="H51" s="461" t="s">
        <v>55</v>
      </c>
      <c r="I51" s="461" t="s">
        <v>56</v>
      </c>
      <c r="J51" s="461" t="s">
        <v>57</v>
      </c>
      <c r="K51" s="461" t="s">
        <v>58</v>
      </c>
      <c r="L51" s="461" t="s">
        <v>59</v>
      </c>
      <c r="M51" s="461" t="s">
        <v>60</v>
      </c>
      <c r="N51" s="461" t="s">
        <v>61</v>
      </c>
      <c r="O51" s="461" t="s">
        <v>62</v>
      </c>
      <c r="P51" s="461" t="s">
        <v>63</v>
      </c>
      <c r="Q51" s="729"/>
      <c r="R51" s="729"/>
      <c r="S51" s="729"/>
      <c r="T51" s="729"/>
      <c r="U51" s="729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</row>
    <row r="52" spans="1:31">
      <c r="A52" s="729"/>
      <c r="B52" s="674" t="s">
        <v>64</v>
      </c>
      <c r="C52" s="747">
        <f>Inputs!$N$8*Inputs!$C$6</f>
        <v>12177000000</v>
      </c>
      <c r="D52" s="748">
        <f>C52*Inputs!D$31</f>
        <v>772943590.69431317</v>
      </c>
      <c r="E52" s="748">
        <f>C52*Inputs!E$31</f>
        <v>838814196.12485385</v>
      </c>
      <c r="F52" s="748">
        <f>C52*Inputs!F$31</f>
        <v>1033644098.4978071</v>
      </c>
      <c r="G52" s="748">
        <f>C52*Inputs!G$31</f>
        <v>859636981.68619752</v>
      </c>
      <c r="H52" s="748">
        <f>C52*Inputs!H$31</f>
        <v>1064878276.8398226</v>
      </c>
      <c r="I52" s="748">
        <f>C52*Inputs!I$31</f>
        <v>935509686.81512308</v>
      </c>
      <c r="J52" s="748">
        <f>C52*Inputs!J$31</f>
        <v>993789184.61012471</v>
      </c>
      <c r="K52" s="748">
        <f>C52*Inputs!K$31</f>
        <v>972314088.19888628</v>
      </c>
      <c r="L52" s="748">
        <f>C52*Inputs!N$31</f>
        <v>1162488281.7608266</v>
      </c>
      <c r="M52" s="748">
        <f>C52*Inputs!O$31</f>
        <v>1141882933.1494479</v>
      </c>
      <c r="N52" s="748">
        <f>C52*Inputs!P$31</f>
        <v>1156758178.6088107</v>
      </c>
      <c r="O52" s="748">
        <f>C52*Inputs!Q$31</f>
        <v>1244340503.0137866</v>
      </c>
      <c r="P52" s="713">
        <f>SUM(D52:O52)/C52</f>
        <v>1</v>
      </c>
      <c r="Q52" s="729"/>
      <c r="R52" s="729"/>
      <c r="S52" s="729"/>
      <c r="T52" s="729"/>
      <c r="U52" s="729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</row>
    <row r="53" spans="1:31">
      <c r="A53" s="729"/>
      <c r="B53" s="674" t="s">
        <v>65</v>
      </c>
      <c r="C53" s="749">
        <f>SUM(D52:O52)</f>
        <v>12177000000</v>
      </c>
      <c r="D53" s="750" t="str">
        <f>IF(ABS(C52-C53)&lt;1,"OK","ERROR")</f>
        <v>OK</v>
      </c>
      <c r="E53" s="674"/>
      <c r="F53" s="674"/>
      <c r="G53" s="674"/>
      <c r="H53" s="674"/>
      <c r="I53" s="674"/>
      <c r="J53" s="674"/>
      <c r="K53" s="674"/>
      <c r="L53" s="674"/>
      <c r="M53" s="674"/>
      <c r="N53" s="674"/>
      <c r="O53" s="674"/>
      <c r="P53" s="674"/>
      <c r="Q53" s="729"/>
      <c r="R53" s="729"/>
      <c r="S53" s="729"/>
      <c r="T53" s="729"/>
      <c r="U53" s="729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</row>
    <row r="54" spans="1:31">
      <c r="A54" s="729"/>
      <c r="B54" s="674"/>
      <c r="C54" s="674"/>
      <c r="D54" s="674"/>
      <c r="E54" s="674"/>
      <c r="F54" s="674"/>
      <c r="G54" s="674"/>
      <c r="H54" s="674"/>
      <c r="I54" s="674"/>
      <c r="J54" s="674"/>
      <c r="K54" s="674"/>
      <c r="L54" s="674"/>
      <c r="M54" s="674"/>
      <c r="N54" s="674"/>
      <c r="O54" s="674"/>
      <c r="P54" s="674"/>
      <c r="Q54" s="729"/>
      <c r="R54" s="729"/>
      <c r="S54" s="729"/>
      <c r="T54" s="729"/>
      <c r="U54" s="729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</row>
    <row r="55" spans="1:31">
      <c r="A55" s="729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4"/>
      <c r="P55" s="674"/>
      <c r="Q55" s="729"/>
      <c r="R55" s="729"/>
      <c r="S55" s="729"/>
      <c r="T55" s="729"/>
      <c r="U55" s="729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</row>
    <row r="56" spans="1:31" ht="30" customHeight="1">
      <c r="A56" s="729"/>
      <c r="B56" s="467" t="s">
        <v>67</v>
      </c>
      <c r="C56" s="461" t="s">
        <v>50</v>
      </c>
      <c r="D56" s="461" t="s">
        <v>51</v>
      </c>
      <c r="E56" s="461" t="s">
        <v>52</v>
      </c>
      <c r="F56" s="461" t="s">
        <v>53</v>
      </c>
      <c r="G56" s="461" t="s">
        <v>54</v>
      </c>
      <c r="H56" s="461" t="s">
        <v>55</v>
      </c>
      <c r="I56" s="461" t="s">
        <v>56</v>
      </c>
      <c r="J56" s="461" t="s">
        <v>57</v>
      </c>
      <c r="K56" s="461" t="s">
        <v>58</v>
      </c>
      <c r="L56" s="461" t="s">
        <v>59</v>
      </c>
      <c r="M56" s="461" t="s">
        <v>60</v>
      </c>
      <c r="N56" s="461" t="s">
        <v>61</v>
      </c>
      <c r="O56" s="461" t="s">
        <v>62</v>
      </c>
      <c r="P56" s="461" t="s">
        <v>63</v>
      </c>
      <c r="Q56" s="729"/>
      <c r="R56" s="729"/>
      <c r="S56" s="729"/>
      <c r="T56" s="729"/>
      <c r="U56" s="729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</row>
    <row r="57" spans="1:31">
      <c r="A57" s="729"/>
      <c r="B57" s="674" t="s">
        <v>64</v>
      </c>
      <c r="C57" s="747">
        <f>Inputs!$N$9*Inputs!$C$6</f>
        <v>16605000000</v>
      </c>
      <c r="D57" s="748">
        <f>C57*Inputs!D$31</f>
        <v>1054013987.3104271</v>
      </c>
      <c r="E57" s="748">
        <f>C57*Inputs!E$31</f>
        <v>1143837540.1702552</v>
      </c>
      <c r="F57" s="748">
        <f>C57*Inputs!F$31</f>
        <v>1409514679.769737</v>
      </c>
      <c r="G57" s="748">
        <f>C57*Inputs!G$31</f>
        <v>1172232247.7539058</v>
      </c>
      <c r="H57" s="748">
        <f>C57*Inputs!H$31</f>
        <v>1452106741.1452129</v>
      </c>
      <c r="I57" s="748">
        <f>C57*Inputs!I$31</f>
        <v>1275695027.4751678</v>
      </c>
      <c r="J57" s="748">
        <f>C57*Inputs!J$31</f>
        <v>1355167069.9228973</v>
      </c>
      <c r="K57" s="748">
        <f>C57*Inputs!K$31</f>
        <v>1325882847.5439358</v>
      </c>
      <c r="L57" s="748">
        <f>C57*Inputs!N$31</f>
        <v>1585211293.3102181</v>
      </c>
      <c r="M57" s="748">
        <f>C57*Inputs!O$31</f>
        <v>1557113090.6583381</v>
      </c>
      <c r="N57" s="748">
        <f>C57*Inputs!P$31</f>
        <v>1577397516.2847416</v>
      </c>
      <c r="O57" s="748">
        <f>C57*Inputs!Q$31</f>
        <v>1696827958.6551635</v>
      </c>
      <c r="P57" s="713">
        <f>SUM(D57:O57)/C57</f>
        <v>1.0000000000000002</v>
      </c>
      <c r="Q57" s="729"/>
      <c r="R57" s="729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</row>
    <row r="58" spans="1:31">
      <c r="A58" s="729"/>
      <c r="B58" s="674" t="s">
        <v>65</v>
      </c>
      <c r="C58" s="749">
        <f>SUM(D57:O57)</f>
        <v>16605000000.000002</v>
      </c>
      <c r="D58" s="750" t="str">
        <f>IF(ABS(C57-C58)&lt;1,"OK","ERROR")</f>
        <v>OK</v>
      </c>
      <c r="E58" s="674"/>
      <c r="F58" s="674"/>
      <c r="G58" s="674"/>
      <c r="H58" s="674"/>
      <c r="I58" s="674"/>
      <c r="J58" s="674"/>
      <c r="K58" s="674"/>
      <c r="L58" s="674"/>
      <c r="M58" s="674"/>
      <c r="N58" s="674"/>
      <c r="O58" s="674"/>
      <c r="P58" s="674"/>
      <c r="Q58" s="729"/>
      <c r="R58" s="729"/>
      <c r="S58" s="729"/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</row>
    <row r="59" spans="1:31">
      <c r="A59" s="729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4"/>
      <c r="N59" s="674"/>
      <c r="O59" s="674"/>
      <c r="P59" s="674"/>
      <c r="Q59" s="729"/>
      <c r="R59" s="729"/>
      <c r="S59" s="729"/>
      <c r="T59" s="729"/>
      <c r="U59" s="729"/>
      <c r="V59" s="729"/>
      <c r="W59" s="729"/>
      <c r="X59" s="729"/>
      <c r="Y59" s="729"/>
      <c r="Z59" s="729"/>
      <c r="AA59" s="729"/>
      <c r="AB59" s="729"/>
      <c r="AC59" s="729"/>
      <c r="AD59" s="729"/>
      <c r="AE59" s="729"/>
    </row>
    <row r="60" spans="1:31">
      <c r="A60" s="729"/>
      <c r="B60" s="674"/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729"/>
      <c r="R60" s="729"/>
      <c r="S60" s="729"/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</row>
    <row r="61" spans="1:31">
      <c r="A61" s="729"/>
      <c r="B61" s="494" t="s">
        <v>68</v>
      </c>
      <c r="C61" s="494"/>
      <c r="D61" s="494"/>
      <c r="E61" s="494"/>
      <c r="F61" s="464"/>
      <c r="G61" s="464"/>
      <c r="H61" s="464"/>
      <c r="I61" s="464"/>
      <c r="J61" s="464"/>
      <c r="K61" s="464"/>
      <c r="L61" s="464"/>
      <c r="M61" s="464"/>
      <c r="N61" s="464"/>
      <c r="O61" s="464"/>
      <c r="P61" s="464"/>
      <c r="Q61" s="729"/>
      <c r="R61" s="729"/>
      <c r="S61" s="729"/>
      <c r="T61" s="729"/>
      <c r="U61" s="729"/>
      <c r="V61" s="729"/>
      <c r="W61" s="729"/>
      <c r="X61" s="729"/>
      <c r="Y61" s="729"/>
      <c r="Z61" s="729"/>
      <c r="AA61" s="729"/>
      <c r="AB61" s="729"/>
      <c r="AC61" s="729"/>
      <c r="AD61" s="729"/>
      <c r="AE61" s="729"/>
    </row>
    <row r="62" spans="1:31">
      <c r="A62" s="729"/>
      <c r="B62" s="682" t="s">
        <v>69</v>
      </c>
      <c r="C62" s="682"/>
      <c r="D62" s="682"/>
      <c r="E62" s="682"/>
      <c r="F62" s="682"/>
      <c r="G62" s="682"/>
      <c r="H62" s="682"/>
      <c r="I62" s="682"/>
      <c r="J62" s="682"/>
      <c r="K62" s="682"/>
      <c r="L62" s="682"/>
      <c r="M62" s="682"/>
      <c r="N62" s="682"/>
      <c r="O62" s="682"/>
      <c r="P62" s="682"/>
      <c r="Q62" s="729"/>
      <c r="R62" s="729"/>
      <c r="S62" s="729"/>
      <c r="T62" s="729"/>
      <c r="U62" s="729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</row>
    <row r="63" spans="1:31">
      <c r="A63" s="729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729"/>
      <c r="R63" s="729"/>
      <c r="S63" s="729"/>
      <c r="T63" s="729"/>
      <c r="U63" s="729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</row>
    <row r="64" spans="1:31">
      <c r="A64" s="729"/>
      <c r="B64" s="169" t="s">
        <v>70</v>
      </c>
      <c r="C64" s="170" t="s">
        <v>50</v>
      </c>
      <c r="D64" s="170" t="s">
        <v>51</v>
      </c>
      <c r="E64" s="170" t="s">
        <v>52</v>
      </c>
      <c r="F64" s="170" t="s">
        <v>53</v>
      </c>
      <c r="G64" s="170" t="s">
        <v>54</v>
      </c>
      <c r="H64" s="170" t="s">
        <v>55</v>
      </c>
      <c r="I64" s="170" t="s">
        <v>56</v>
      </c>
      <c r="J64" s="170" t="s">
        <v>57</v>
      </c>
      <c r="K64" s="170" t="s">
        <v>58</v>
      </c>
      <c r="L64" s="170" t="s">
        <v>59</v>
      </c>
      <c r="M64" s="170" t="s">
        <v>60</v>
      </c>
      <c r="N64" s="170" t="s">
        <v>61</v>
      </c>
      <c r="O64" s="170" t="s">
        <v>62</v>
      </c>
      <c r="P64" s="674"/>
      <c r="Q64" s="729"/>
      <c r="R64" s="72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</row>
    <row r="65" spans="1:31">
      <c r="A65" s="729"/>
      <c r="B65" s="674" t="s">
        <v>71</v>
      </c>
      <c r="C65" s="747">
        <f>Inputs!$N$7</f>
        <v>2400000</v>
      </c>
      <c r="D65" s="748">
        <f>D47/Inputs!$C$6</f>
        <v>152341.67838271757</v>
      </c>
      <c r="E65" s="748">
        <f>E47/Inputs!$C$6</f>
        <v>165324.30571566473</v>
      </c>
      <c r="F65" s="748">
        <f>F47/Inputs!$C$6</f>
        <v>203723.89228830888</v>
      </c>
      <c r="G65" s="748">
        <f>G47/Inputs!$C$6</f>
        <v>169428.32849198277</v>
      </c>
      <c r="H65" s="748">
        <f>H47/Inputs!$C$6</f>
        <v>209879.92645278593</v>
      </c>
      <c r="I65" s="748">
        <f>I47/Inputs!$C$6</f>
        <v>184382.29846072884</v>
      </c>
      <c r="J65" s="748">
        <f>J47/Inputs!$C$6</f>
        <v>195868.77252724805</v>
      </c>
      <c r="K65" s="748">
        <f>K47/Inputs!$C$6</f>
        <v>191636.18392685612</v>
      </c>
      <c r="L65" s="748">
        <f>L47/Inputs!$C$6</f>
        <v>229118.16344140461</v>
      </c>
      <c r="M65" s="748">
        <f>M47/Inputs!$C$6</f>
        <v>225056.99593977787</v>
      </c>
      <c r="N65" s="748">
        <f>N47/Inputs!$C$6</f>
        <v>227988.80090836374</v>
      </c>
      <c r="O65" s="748">
        <f>O47/Inputs!$C$6</f>
        <v>245250.65346416095</v>
      </c>
      <c r="P65" s="674"/>
      <c r="Q65" s="729"/>
      <c r="R65" s="729"/>
      <c r="S65" s="729"/>
      <c r="T65" s="729"/>
      <c r="U65" s="729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</row>
    <row r="66" spans="1:31">
      <c r="A66" s="729"/>
      <c r="B66" s="674"/>
      <c r="C66" s="674"/>
      <c r="D66" s="674"/>
      <c r="E66" s="674"/>
      <c r="F66" s="674"/>
      <c r="G66" s="674"/>
      <c r="H66" s="674"/>
      <c r="I66" s="674"/>
      <c r="J66" s="674"/>
      <c r="K66" s="674"/>
      <c r="L66" s="674"/>
      <c r="M66" s="674"/>
      <c r="N66" s="674"/>
      <c r="O66" s="674"/>
      <c r="P66" s="674"/>
      <c r="Q66" s="729"/>
      <c r="R66" s="729"/>
      <c r="S66" s="729"/>
      <c r="T66" s="729"/>
      <c r="U66" s="729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</row>
    <row r="67" spans="1:31">
      <c r="A67" s="729"/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  <c r="N67" s="674"/>
      <c r="O67" s="674"/>
      <c r="P67" s="674"/>
      <c r="Q67" s="729"/>
      <c r="R67" s="729"/>
      <c r="S67" s="729"/>
      <c r="T67" s="729"/>
      <c r="U67" s="729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</row>
    <row r="68" spans="1:31">
      <c r="A68" s="729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4"/>
      <c r="P68" s="674"/>
      <c r="Q68" s="729"/>
      <c r="R68" s="729"/>
      <c r="S68" s="729"/>
      <c r="T68" s="729"/>
      <c r="U68" s="729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</row>
    <row r="69" spans="1:31" ht="30" customHeight="1">
      <c r="A69" s="729"/>
      <c r="B69" s="467" t="s">
        <v>72</v>
      </c>
      <c r="C69" s="461" t="s">
        <v>50</v>
      </c>
      <c r="D69" s="461" t="s">
        <v>51</v>
      </c>
      <c r="E69" s="461" t="s">
        <v>52</v>
      </c>
      <c r="F69" s="461" t="s">
        <v>53</v>
      </c>
      <c r="G69" s="461" t="s">
        <v>54</v>
      </c>
      <c r="H69" s="461" t="s">
        <v>55</v>
      </c>
      <c r="I69" s="461" t="s">
        <v>56</v>
      </c>
      <c r="J69" s="461" t="s">
        <v>57</v>
      </c>
      <c r="K69" s="461" t="s">
        <v>58</v>
      </c>
      <c r="L69" s="461" t="s">
        <v>59</v>
      </c>
      <c r="M69" s="461" t="s">
        <v>60</v>
      </c>
      <c r="N69" s="461" t="s">
        <v>61</v>
      </c>
      <c r="O69" s="461" t="s">
        <v>62</v>
      </c>
      <c r="P69" s="461"/>
      <c r="Q69" s="729"/>
      <c r="R69" s="729"/>
      <c r="S69" s="729"/>
      <c r="T69" s="729"/>
      <c r="U69" s="729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</row>
    <row r="70" spans="1:31">
      <c r="A70" s="729"/>
      <c r="B70" s="674" t="s">
        <v>71</v>
      </c>
      <c r="C70" s="747">
        <f>Inputs!$N$8</f>
        <v>3300000</v>
      </c>
      <c r="D70" s="748">
        <f>D52/Inputs!$C$6</f>
        <v>209469.80777623664</v>
      </c>
      <c r="E70" s="748">
        <f>E52/Inputs!$C$6</f>
        <v>227320.92035903898</v>
      </c>
      <c r="F70" s="748">
        <f>F52/Inputs!$C$6</f>
        <v>280120.35189642472</v>
      </c>
      <c r="G70" s="748">
        <f>G52/Inputs!$C$6</f>
        <v>232963.95167647628</v>
      </c>
      <c r="H70" s="748">
        <f>H52/Inputs!$C$6</f>
        <v>288584.89887258067</v>
      </c>
      <c r="I70" s="748">
        <f>I52/Inputs!$C$6</f>
        <v>253525.6603835022</v>
      </c>
      <c r="J70" s="748">
        <f>J52/Inputs!$C$6</f>
        <v>269319.56222496607</v>
      </c>
      <c r="K70" s="748">
        <f>K52/Inputs!$C$6</f>
        <v>263499.7528994272</v>
      </c>
      <c r="L70" s="748">
        <f>L52/Inputs!$C$6</f>
        <v>315037.47473193135</v>
      </c>
      <c r="M70" s="748">
        <f>M52/Inputs!$C$6</f>
        <v>309453.36941719457</v>
      </c>
      <c r="N70" s="748">
        <f>N52/Inputs!$C$6</f>
        <v>313484.60124900017</v>
      </c>
      <c r="O70" s="748">
        <f>O52/Inputs!$C$6</f>
        <v>337219.6485132213</v>
      </c>
      <c r="P70" s="674"/>
      <c r="Q70" s="729"/>
      <c r="R70" s="729"/>
      <c r="S70" s="729"/>
      <c r="T70" s="729"/>
      <c r="U70" s="729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</row>
    <row r="71" spans="1:31">
      <c r="A71" s="729"/>
      <c r="B71" s="674"/>
      <c r="C71" s="674"/>
      <c r="D71" s="674"/>
      <c r="E71" s="674"/>
      <c r="F71" s="674"/>
      <c r="G71" s="674"/>
      <c r="H71" s="674"/>
      <c r="I71" s="674"/>
      <c r="J71" s="674"/>
      <c r="K71" s="674"/>
      <c r="L71" s="674"/>
      <c r="M71" s="674"/>
      <c r="N71" s="674"/>
      <c r="O71" s="674"/>
      <c r="P71" s="674"/>
      <c r="Q71" s="729"/>
      <c r="R71" s="729"/>
      <c r="S71" s="729"/>
      <c r="T71" s="729"/>
      <c r="U71" s="729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</row>
    <row r="72" spans="1:31">
      <c r="A72" s="729"/>
      <c r="B72" s="674"/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4"/>
      <c r="N72" s="674"/>
      <c r="O72" s="674"/>
      <c r="P72" s="674"/>
      <c r="Q72" s="729"/>
      <c r="R72" s="729"/>
      <c r="S72" s="729"/>
      <c r="T72" s="729"/>
      <c r="U72" s="729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</row>
    <row r="73" spans="1:31">
      <c r="A73" s="729"/>
      <c r="B73" s="674"/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4"/>
      <c r="P73" s="674"/>
      <c r="Q73" s="729"/>
      <c r="R73" s="729"/>
      <c r="S73" s="729"/>
      <c r="T73" s="729"/>
      <c r="U73" s="729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</row>
    <row r="74" spans="1:31" ht="30" customHeight="1">
      <c r="A74" s="729"/>
      <c r="B74" s="467" t="s">
        <v>73</v>
      </c>
      <c r="C74" s="461" t="s">
        <v>50</v>
      </c>
      <c r="D74" s="461" t="s">
        <v>51</v>
      </c>
      <c r="E74" s="461" t="s">
        <v>52</v>
      </c>
      <c r="F74" s="461" t="s">
        <v>53</v>
      </c>
      <c r="G74" s="461" t="s">
        <v>54</v>
      </c>
      <c r="H74" s="461" t="s">
        <v>55</v>
      </c>
      <c r="I74" s="461" t="s">
        <v>56</v>
      </c>
      <c r="J74" s="461" t="s">
        <v>57</v>
      </c>
      <c r="K74" s="461" t="s">
        <v>58</v>
      </c>
      <c r="L74" s="461" t="s">
        <v>59</v>
      </c>
      <c r="M74" s="461" t="s">
        <v>60</v>
      </c>
      <c r="N74" s="461" t="s">
        <v>61</v>
      </c>
      <c r="O74" s="461" t="s">
        <v>62</v>
      </c>
      <c r="P74" s="461"/>
      <c r="Q74" s="729"/>
      <c r="R74" s="729"/>
      <c r="S74" s="729"/>
      <c r="T74" s="729"/>
      <c r="U74" s="729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</row>
    <row r="75" spans="1:31">
      <c r="A75" s="729"/>
      <c r="B75" s="674" t="s">
        <v>71</v>
      </c>
      <c r="C75" s="747">
        <f>Inputs!$N$9</f>
        <v>4500000</v>
      </c>
      <c r="D75" s="748">
        <f>D57/Inputs!$C$6</f>
        <v>285640.64696759538</v>
      </c>
      <c r="E75" s="748">
        <f>E57/Inputs!$C$6</f>
        <v>309983.0732168713</v>
      </c>
      <c r="F75" s="748">
        <f>F57/Inputs!$C$6</f>
        <v>381982.29804057913</v>
      </c>
      <c r="G75" s="748">
        <f>G57/Inputs!$C$6</f>
        <v>317678.11592246767</v>
      </c>
      <c r="H75" s="748">
        <f>H57/Inputs!$C$6</f>
        <v>393524.86209897371</v>
      </c>
      <c r="I75" s="748">
        <f>I57/Inputs!$C$6</f>
        <v>345716.80961386662</v>
      </c>
      <c r="J75" s="748">
        <f>J57/Inputs!$C$6</f>
        <v>367253.94848859007</v>
      </c>
      <c r="K75" s="748">
        <f>K57/Inputs!$C$6</f>
        <v>359317.84486285521</v>
      </c>
      <c r="L75" s="748">
        <f>L57/Inputs!$C$6</f>
        <v>429596.55645263364</v>
      </c>
      <c r="M75" s="748">
        <f>M57/Inputs!$C$6</f>
        <v>421981.86738708348</v>
      </c>
      <c r="N75" s="748">
        <f>N57/Inputs!$C$6</f>
        <v>427479.001703182</v>
      </c>
      <c r="O75" s="748">
        <f>O57/Inputs!$C$6</f>
        <v>459844.97524530179</v>
      </c>
      <c r="P75" s="674"/>
      <c r="Q75" s="729"/>
      <c r="R75" s="729"/>
      <c r="S75" s="729"/>
      <c r="T75" s="729"/>
      <c r="U75" s="729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</row>
    <row r="76" spans="1:31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29"/>
      <c r="P76" s="729"/>
      <c r="Q76" s="729"/>
      <c r="R76" s="729"/>
      <c r="S76" s="729"/>
      <c r="T76" s="729"/>
      <c r="U76" s="729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</row>
    <row r="77" spans="1:31">
      <c r="A77" s="729"/>
      <c r="B77" s="729"/>
      <c r="C77" s="729"/>
      <c r="D77" s="729"/>
      <c r="E77" s="729"/>
      <c r="F77" s="729"/>
      <c r="G77" s="729"/>
      <c r="H77" s="729"/>
      <c r="I77" s="729"/>
      <c r="J77" s="729"/>
      <c r="K77" s="729"/>
      <c r="L77" s="729"/>
      <c r="M77" s="729"/>
      <c r="N77" s="729"/>
      <c r="O77" s="729"/>
      <c r="P77" s="729"/>
      <c r="Q77" s="729"/>
      <c r="R77" s="729"/>
      <c r="S77" s="729"/>
      <c r="T77" s="729"/>
      <c r="U77" s="729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</row>
    <row r="78" spans="1:31">
      <c r="A78" s="729"/>
      <c r="B78" s="729"/>
      <c r="C78" s="729"/>
      <c r="D78" s="729"/>
      <c r="E78" s="729"/>
      <c r="F78" s="729"/>
      <c r="G78" s="729"/>
      <c r="H78" s="729"/>
      <c r="I78" s="729"/>
      <c r="J78" s="729"/>
      <c r="K78" s="729"/>
      <c r="L78" s="729"/>
      <c r="M78" s="729"/>
      <c r="N78" s="729"/>
      <c r="O78" s="729"/>
      <c r="P78" s="729"/>
      <c r="Q78" s="729"/>
      <c r="R78" s="729"/>
      <c r="S78" s="729"/>
      <c r="T78" s="729"/>
      <c r="U78" s="729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</row>
    <row r="79" spans="1:31">
      <c r="A79" s="729"/>
      <c r="B79" s="729"/>
      <c r="C79" s="729"/>
      <c r="D79" s="729"/>
      <c r="E79" s="729"/>
      <c r="F79" s="729"/>
      <c r="G79" s="729"/>
      <c r="H79" s="729"/>
      <c r="I79" s="729"/>
      <c r="J79" s="729"/>
      <c r="K79" s="729"/>
      <c r="L79" s="729"/>
      <c r="M79" s="729"/>
      <c r="N79" s="729"/>
      <c r="O79" s="729"/>
      <c r="P79" s="729"/>
      <c r="Q79" s="729"/>
      <c r="R79" s="729"/>
      <c r="S79" s="729"/>
      <c r="T79" s="729"/>
      <c r="U79" s="729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</row>
    <row r="80" spans="1:31">
      <c r="A80" s="729"/>
      <c r="B80" s="729"/>
      <c r="C80" s="729"/>
      <c r="D80" s="729"/>
      <c r="E80" s="729"/>
      <c r="F80" s="729"/>
      <c r="G80" s="729"/>
      <c r="H80" s="729"/>
      <c r="I80" s="729"/>
      <c r="J80" s="729"/>
      <c r="K80" s="729"/>
      <c r="L80" s="729"/>
      <c r="M80" s="729"/>
      <c r="N80" s="729"/>
      <c r="O80" s="729"/>
      <c r="P80" s="729"/>
      <c r="Q80" s="729"/>
      <c r="R80" s="729"/>
      <c r="S80" s="729"/>
      <c r="T80" s="729"/>
      <c r="U80" s="729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</row>
    <row r="81" spans="1:31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29"/>
      <c r="P81" s="729"/>
      <c r="Q81" s="729"/>
      <c r="R81" s="729"/>
      <c r="S81" s="729"/>
      <c r="T81" s="729"/>
      <c r="U81" s="729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</row>
    <row r="82" spans="1:31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29"/>
      <c r="P82" s="729"/>
      <c r="Q82" s="729"/>
      <c r="R82" s="729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</row>
    <row r="83" spans="1:31">
      <c r="A83" s="729"/>
      <c r="B83" s="729"/>
      <c r="C83" s="729"/>
      <c r="D83" s="729"/>
      <c r="E83" s="729"/>
      <c r="F83" s="729"/>
      <c r="G83" s="729"/>
      <c r="H83" s="729"/>
      <c r="I83" s="729"/>
      <c r="J83" s="729"/>
      <c r="K83" s="729"/>
      <c r="L83" s="729"/>
      <c r="M83" s="729"/>
      <c r="N83" s="729"/>
      <c r="O83" s="729"/>
      <c r="P83" s="729"/>
      <c r="Q83" s="729"/>
      <c r="R83" s="729"/>
      <c r="S83" s="729"/>
      <c r="T83" s="729"/>
      <c r="U83" s="729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</row>
    <row r="84" spans="1:31">
      <c r="A84" s="729"/>
      <c r="B84" s="729"/>
      <c r="C84" s="729"/>
      <c r="D84" s="729"/>
      <c r="E84" s="729"/>
      <c r="F84" s="729"/>
      <c r="G84" s="729"/>
      <c r="H84" s="729"/>
      <c r="I84" s="729"/>
      <c r="J84" s="729"/>
      <c r="K84" s="729"/>
      <c r="L84" s="729"/>
      <c r="M84" s="729"/>
      <c r="N84" s="729"/>
      <c r="O84" s="729"/>
      <c r="P84" s="729"/>
      <c r="Q84" s="729"/>
      <c r="R84" s="729"/>
      <c r="S84" s="729"/>
      <c r="T84" s="729"/>
      <c r="U84" s="729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</row>
    <row r="85" spans="1:31">
      <c r="A85" s="729"/>
      <c r="B85" s="729"/>
      <c r="C85" s="729"/>
      <c r="D85" s="729"/>
      <c r="E85" s="729"/>
      <c r="F85" s="729"/>
      <c r="G85" s="729"/>
      <c r="H85" s="729"/>
      <c r="I85" s="729"/>
      <c r="J85" s="729"/>
      <c r="K85" s="729"/>
      <c r="L85" s="729"/>
      <c r="M85" s="729"/>
      <c r="N85" s="729"/>
      <c r="O85" s="729"/>
      <c r="P85" s="729"/>
      <c r="Q85" s="729"/>
      <c r="R85" s="729"/>
      <c r="S85" s="729"/>
      <c r="T85" s="729"/>
      <c r="U85" s="72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</row>
    <row r="86" spans="1:31">
      <c r="A86" s="729"/>
      <c r="B86" s="729"/>
      <c r="C86" s="729"/>
      <c r="D86" s="729"/>
      <c r="E86" s="729"/>
      <c r="F86" s="729"/>
      <c r="G86" s="729"/>
      <c r="H86" s="729"/>
      <c r="I86" s="729"/>
      <c r="J86" s="729"/>
      <c r="K86" s="729"/>
      <c r="L86" s="729"/>
      <c r="M86" s="729"/>
      <c r="N86" s="729"/>
      <c r="O86" s="729"/>
      <c r="P86" s="729"/>
      <c r="Q86" s="729"/>
      <c r="R86" s="729"/>
      <c r="S86" s="729"/>
      <c r="T86" s="729"/>
      <c r="U86" s="729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</row>
    <row r="87" spans="1:31">
      <c r="A87" s="729"/>
      <c r="B87" s="729"/>
      <c r="C87" s="729"/>
      <c r="D87" s="729"/>
      <c r="E87" s="729"/>
      <c r="F87" s="729"/>
      <c r="G87" s="729"/>
      <c r="H87" s="729"/>
      <c r="I87" s="729"/>
      <c r="J87" s="729"/>
      <c r="K87" s="729"/>
      <c r="L87" s="729"/>
      <c r="M87" s="729"/>
      <c r="N87" s="729"/>
      <c r="O87" s="729"/>
      <c r="P87" s="729"/>
      <c r="Q87" s="729"/>
      <c r="R87" s="729"/>
      <c r="S87" s="729"/>
      <c r="T87" s="729"/>
      <c r="U87" s="729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</row>
    <row r="88" spans="1:31">
      <c r="A88" s="729"/>
      <c r="B88" s="729"/>
      <c r="C88" s="729"/>
      <c r="D88" s="729"/>
      <c r="E88" s="729"/>
      <c r="F88" s="729"/>
      <c r="G88" s="729"/>
      <c r="H88" s="729"/>
      <c r="I88" s="729"/>
      <c r="J88" s="729"/>
      <c r="K88" s="729"/>
      <c r="L88" s="729"/>
      <c r="M88" s="729"/>
      <c r="N88" s="729"/>
      <c r="O88" s="729"/>
      <c r="P88" s="729"/>
      <c r="Q88" s="729"/>
      <c r="R88" s="729"/>
      <c r="S88" s="729"/>
      <c r="T88" s="729"/>
      <c r="U88" s="729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</row>
    <row r="89" spans="1:31">
      <c r="A89" s="729"/>
      <c r="B89" s="729"/>
      <c r="C89" s="729"/>
      <c r="D89" s="729"/>
      <c r="E89" s="729"/>
      <c r="F89" s="729"/>
      <c r="G89" s="729"/>
      <c r="H89" s="729"/>
      <c r="I89" s="729"/>
      <c r="J89" s="729"/>
      <c r="K89" s="729"/>
      <c r="L89" s="729"/>
      <c r="M89" s="729"/>
      <c r="N89" s="729"/>
      <c r="O89" s="729"/>
      <c r="P89" s="729"/>
      <c r="Q89" s="729"/>
      <c r="R89" s="729"/>
      <c r="S89" s="729"/>
      <c r="T89" s="729"/>
      <c r="U89" s="729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</row>
    <row r="90" spans="1:31">
      <c r="A90" s="729"/>
      <c r="B90" s="729"/>
      <c r="C90" s="729"/>
      <c r="D90" s="729"/>
      <c r="E90" s="729"/>
      <c r="F90" s="729"/>
      <c r="G90" s="729"/>
      <c r="H90" s="729"/>
      <c r="I90" s="729"/>
      <c r="J90" s="729"/>
      <c r="K90" s="729"/>
      <c r="L90" s="729"/>
      <c r="M90" s="729"/>
      <c r="N90" s="729"/>
      <c r="O90" s="729"/>
      <c r="P90" s="729"/>
      <c r="Q90" s="729"/>
      <c r="R90" s="729"/>
      <c r="S90" s="729"/>
      <c r="T90" s="729"/>
      <c r="U90" s="729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</row>
    <row r="91" spans="1:31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29"/>
      <c r="P91" s="729"/>
      <c r="Q91" s="729"/>
      <c r="R91" s="729"/>
      <c r="S91" s="729"/>
      <c r="T91" s="729"/>
      <c r="U91" s="729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</row>
    <row r="92" spans="1:31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29"/>
      <c r="P92" s="729"/>
      <c r="Q92" s="729"/>
      <c r="R92" s="729"/>
      <c r="S92" s="729"/>
      <c r="T92" s="729"/>
      <c r="U92" s="72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</row>
    <row r="93" spans="1:31">
      <c r="A93" s="729"/>
      <c r="B93" s="729"/>
      <c r="C93" s="729"/>
      <c r="D93" s="729"/>
      <c r="E93" s="729"/>
      <c r="F93" s="729"/>
      <c r="G93" s="729"/>
      <c r="H93" s="729"/>
      <c r="I93" s="729"/>
      <c r="J93" s="729"/>
      <c r="K93" s="729"/>
      <c r="L93" s="729"/>
      <c r="M93" s="729"/>
      <c r="N93" s="729"/>
      <c r="O93" s="729"/>
      <c r="P93" s="729"/>
      <c r="Q93" s="729"/>
      <c r="R93" s="729"/>
      <c r="S93" s="729"/>
      <c r="T93" s="729"/>
      <c r="U93" s="729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</row>
    <row r="94" spans="1:31">
      <c r="A94" s="729"/>
      <c r="B94" s="729"/>
      <c r="C94" s="729"/>
      <c r="D94" s="729"/>
      <c r="E94" s="729"/>
      <c r="F94" s="729"/>
      <c r="G94" s="729"/>
      <c r="H94" s="729"/>
      <c r="I94" s="729"/>
      <c r="J94" s="729"/>
      <c r="K94" s="729"/>
      <c r="L94" s="729"/>
      <c r="M94" s="729"/>
      <c r="N94" s="729"/>
      <c r="O94" s="729"/>
      <c r="P94" s="729"/>
      <c r="Q94" s="729"/>
      <c r="R94" s="729"/>
      <c r="S94" s="729"/>
      <c r="T94" s="729"/>
      <c r="U94" s="729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</row>
    <row r="95" spans="1:31">
      <c r="A95" s="729"/>
      <c r="B95" s="729"/>
      <c r="C95" s="729"/>
      <c r="D95" s="729"/>
      <c r="E95" s="729"/>
      <c r="F95" s="729"/>
      <c r="G95" s="729"/>
      <c r="H95" s="729"/>
      <c r="I95" s="729"/>
      <c r="J95" s="729"/>
      <c r="K95" s="729"/>
      <c r="L95" s="729"/>
      <c r="M95" s="729"/>
      <c r="N95" s="729"/>
      <c r="O95" s="729"/>
      <c r="P95" s="729"/>
      <c r="Q95" s="729"/>
      <c r="R95" s="729"/>
      <c r="S95" s="729"/>
      <c r="T95" s="729"/>
      <c r="U95" s="72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</row>
    <row r="96" spans="1:31">
      <c r="A96" s="729"/>
      <c r="B96" s="729"/>
      <c r="C96" s="729"/>
      <c r="D96" s="729"/>
      <c r="E96" s="729"/>
      <c r="F96" s="729"/>
      <c r="G96" s="729"/>
      <c r="H96" s="729"/>
      <c r="I96" s="729"/>
      <c r="J96" s="729"/>
      <c r="K96" s="729"/>
      <c r="L96" s="729"/>
      <c r="M96" s="729"/>
      <c r="N96" s="729"/>
      <c r="O96" s="729"/>
      <c r="P96" s="729"/>
      <c r="Q96" s="729"/>
      <c r="R96" s="729"/>
      <c r="S96" s="729"/>
      <c r="T96" s="729"/>
      <c r="U96" s="72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</row>
    <row r="97" spans="1:31">
      <c r="A97" s="729"/>
      <c r="B97" s="729"/>
      <c r="C97" s="729"/>
      <c r="D97" s="729"/>
      <c r="E97" s="729"/>
      <c r="F97" s="729"/>
      <c r="G97" s="729"/>
      <c r="H97" s="729"/>
      <c r="I97" s="729"/>
      <c r="J97" s="729"/>
      <c r="K97" s="729"/>
      <c r="L97" s="729"/>
      <c r="M97" s="729"/>
      <c r="N97" s="729"/>
      <c r="O97" s="729"/>
      <c r="P97" s="729"/>
      <c r="Q97" s="729"/>
      <c r="R97" s="729"/>
      <c r="S97" s="729"/>
      <c r="T97" s="729"/>
      <c r="U97" s="729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</row>
    <row r="98" spans="1:31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29"/>
      <c r="P98" s="729"/>
      <c r="Q98" s="729"/>
      <c r="R98" s="729"/>
      <c r="S98" s="729"/>
      <c r="T98" s="729"/>
      <c r="U98" s="729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</row>
    <row r="99" spans="1:31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29"/>
      <c r="P99" s="729"/>
      <c r="Q99" s="729"/>
      <c r="R99" s="729"/>
      <c r="S99" s="729"/>
      <c r="T99" s="729"/>
      <c r="U99" s="729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</row>
    <row r="100" spans="1:31">
      <c r="A100" s="729"/>
      <c r="B100" s="729"/>
      <c r="C100" s="729"/>
      <c r="D100" s="729"/>
      <c r="E100" s="729"/>
      <c r="F100" s="729"/>
      <c r="G100" s="729"/>
      <c r="H100" s="729"/>
      <c r="I100" s="729"/>
      <c r="J100" s="729"/>
      <c r="K100" s="729"/>
      <c r="L100" s="729"/>
      <c r="M100" s="729"/>
      <c r="N100" s="729"/>
      <c r="O100" s="729"/>
      <c r="P100" s="729"/>
      <c r="Q100" s="729"/>
      <c r="R100" s="729"/>
      <c r="S100" s="729"/>
      <c r="T100" s="729"/>
      <c r="U100" s="729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</row>
    <row r="101" spans="1:31">
      <c r="A101" s="729"/>
      <c r="B101" s="729"/>
      <c r="C101" s="729"/>
      <c r="D101" s="729"/>
      <c r="E101" s="729"/>
      <c r="F101" s="729"/>
      <c r="G101" s="729"/>
      <c r="H101" s="729"/>
      <c r="I101" s="729"/>
      <c r="J101" s="729"/>
      <c r="K101" s="729"/>
      <c r="L101" s="729"/>
      <c r="M101" s="729"/>
      <c r="N101" s="729"/>
      <c r="O101" s="729"/>
      <c r="P101" s="729"/>
      <c r="Q101" s="729"/>
      <c r="R101" s="729"/>
      <c r="S101" s="729"/>
      <c r="T101" s="729"/>
      <c r="U101" s="72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</row>
    <row r="102" spans="1:31">
      <c r="A102" s="729"/>
      <c r="B102" s="729"/>
      <c r="C102" s="729"/>
      <c r="D102" s="729"/>
      <c r="E102" s="729"/>
      <c r="F102" s="729"/>
      <c r="G102" s="729"/>
      <c r="H102" s="729"/>
      <c r="I102" s="729"/>
      <c r="J102" s="729"/>
      <c r="K102" s="729"/>
      <c r="L102" s="729"/>
      <c r="M102" s="729"/>
      <c r="N102" s="729"/>
      <c r="O102" s="729"/>
      <c r="P102" s="729"/>
      <c r="Q102" s="729"/>
      <c r="R102" s="729"/>
      <c r="S102" s="729"/>
      <c r="T102" s="729"/>
      <c r="U102" s="729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</row>
    <row r="103" spans="1:31">
      <c r="A103" s="729"/>
      <c r="B103" s="729"/>
      <c r="C103" s="729"/>
      <c r="D103" s="729"/>
      <c r="E103" s="729"/>
      <c r="F103" s="729"/>
      <c r="G103" s="729"/>
      <c r="H103" s="729"/>
      <c r="I103" s="729"/>
      <c r="J103" s="729"/>
      <c r="K103" s="729"/>
      <c r="L103" s="729"/>
      <c r="M103" s="729"/>
      <c r="N103" s="729"/>
      <c r="O103" s="729"/>
      <c r="P103" s="729"/>
      <c r="Q103" s="729"/>
      <c r="R103" s="729"/>
      <c r="S103" s="729"/>
      <c r="T103" s="729"/>
      <c r="U103" s="72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</row>
    <row r="104" spans="1:31">
      <c r="A104" s="729"/>
      <c r="B104" s="729"/>
      <c r="C104" s="729"/>
      <c r="D104" s="729"/>
      <c r="E104" s="729"/>
      <c r="F104" s="729"/>
      <c r="G104" s="729"/>
      <c r="H104" s="729"/>
      <c r="I104" s="729"/>
      <c r="J104" s="729"/>
      <c r="K104" s="729"/>
      <c r="L104" s="729"/>
      <c r="M104" s="729"/>
      <c r="N104" s="729"/>
      <c r="O104" s="729"/>
      <c r="P104" s="729"/>
      <c r="Q104" s="729"/>
      <c r="R104" s="729"/>
      <c r="S104" s="729"/>
      <c r="T104" s="729"/>
      <c r="U104" s="729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</row>
    <row r="105" spans="1:31">
      <c r="A105" s="729"/>
      <c r="B105" s="729"/>
      <c r="C105" s="729"/>
      <c r="D105" s="729"/>
      <c r="E105" s="729"/>
      <c r="F105" s="729"/>
      <c r="G105" s="729"/>
      <c r="H105" s="729"/>
      <c r="I105" s="729"/>
      <c r="J105" s="729"/>
      <c r="K105" s="729"/>
      <c r="L105" s="729"/>
      <c r="M105" s="729"/>
      <c r="N105" s="729"/>
      <c r="O105" s="729"/>
      <c r="P105" s="729"/>
      <c r="Q105" s="729"/>
      <c r="R105" s="729"/>
      <c r="S105" s="729"/>
      <c r="T105" s="729"/>
      <c r="U105" s="729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</row>
    <row r="106" spans="1:31">
      <c r="A106" s="729"/>
      <c r="B106" s="729"/>
      <c r="C106" s="729"/>
      <c r="D106" s="729"/>
      <c r="E106" s="729"/>
      <c r="F106" s="729"/>
      <c r="G106" s="729"/>
      <c r="H106" s="729"/>
      <c r="I106" s="729"/>
      <c r="J106" s="729"/>
      <c r="K106" s="729"/>
      <c r="L106" s="729"/>
      <c r="M106" s="729"/>
      <c r="N106" s="729"/>
      <c r="O106" s="729"/>
      <c r="P106" s="729"/>
      <c r="Q106" s="729"/>
      <c r="R106" s="729"/>
      <c r="S106" s="729"/>
      <c r="T106" s="729"/>
      <c r="U106" s="729"/>
      <c r="V106" s="729"/>
      <c r="W106" s="729"/>
      <c r="X106" s="729"/>
      <c r="Y106" s="729"/>
      <c r="Z106" s="729"/>
      <c r="AA106" s="729"/>
      <c r="AB106" s="729"/>
      <c r="AC106" s="729"/>
      <c r="AD106" s="729"/>
      <c r="AE106" s="729"/>
    </row>
    <row r="107" spans="1:31">
      <c r="A107" s="729"/>
      <c r="B107" s="729"/>
      <c r="C107" s="729"/>
      <c r="D107" s="729"/>
      <c r="E107" s="729"/>
      <c r="F107" s="729"/>
      <c r="G107" s="729"/>
      <c r="H107" s="729"/>
      <c r="I107" s="729"/>
      <c r="J107" s="729"/>
      <c r="K107" s="729"/>
      <c r="L107" s="729"/>
      <c r="M107" s="729"/>
      <c r="N107" s="729"/>
      <c r="O107" s="729"/>
      <c r="P107" s="729"/>
      <c r="Q107" s="729"/>
      <c r="R107" s="729"/>
      <c r="S107" s="729"/>
      <c r="T107" s="729"/>
      <c r="U107" s="729"/>
      <c r="V107" s="729"/>
      <c r="W107" s="729"/>
      <c r="X107" s="729"/>
      <c r="Y107" s="729"/>
      <c r="Z107" s="729"/>
      <c r="AA107" s="729"/>
      <c r="AB107" s="729"/>
      <c r="AC107" s="729"/>
      <c r="AD107" s="729"/>
      <c r="AE107" s="729"/>
    </row>
    <row r="108" spans="1:31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29"/>
      <c r="P108" s="729"/>
      <c r="Q108" s="729"/>
      <c r="R108" s="729"/>
      <c r="S108" s="729"/>
      <c r="T108" s="729"/>
      <c r="U108" s="729"/>
      <c r="V108" s="729"/>
      <c r="W108" s="729"/>
      <c r="X108" s="729"/>
      <c r="Y108" s="729"/>
      <c r="Z108" s="729"/>
      <c r="AA108" s="729"/>
      <c r="AB108" s="729"/>
      <c r="AC108" s="729"/>
      <c r="AD108" s="729"/>
      <c r="AE108" s="729"/>
    </row>
    <row r="109" spans="1:31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29"/>
      <c r="P109" s="729"/>
      <c r="Q109" s="729"/>
      <c r="R109" s="729"/>
      <c r="S109" s="729"/>
      <c r="T109" s="729"/>
      <c r="U109" s="729"/>
      <c r="V109" s="729"/>
      <c r="W109" s="729"/>
      <c r="X109" s="729"/>
      <c r="Y109" s="729"/>
      <c r="Z109" s="729"/>
      <c r="AA109" s="729"/>
      <c r="AB109" s="729"/>
      <c r="AC109" s="729"/>
      <c r="AD109" s="729"/>
      <c r="AE109" s="729"/>
    </row>
    <row r="110" spans="1:31">
      <c r="A110" s="729"/>
      <c r="B110" s="729"/>
      <c r="C110" s="729"/>
      <c r="D110" s="729"/>
      <c r="E110" s="729"/>
      <c r="F110" s="729"/>
      <c r="G110" s="729"/>
      <c r="H110" s="729"/>
      <c r="I110" s="729"/>
      <c r="J110" s="729"/>
      <c r="K110" s="729"/>
      <c r="L110" s="729"/>
      <c r="M110" s="729"/>
      <c r="N110" s="729"/>
      <c r="O110" s="729"/>
      <c r="P110" s="729"/>
      <c r="Q110" s="729"/>
      <c r="R110" s="729"/>
      <c r="S110" s="729"/>
      <c r="T110" s="729"/>
      <c r="U110" s="729"/>
      <c r="V110" s="729"/>
      <c r="W110" s="729"/>
      <c r="X110" s="729"/>
      <c r="Y110" s="729"/>
      <c r="Z110" s="729"/>
      <c r="AA110" s="729"/>
      <c r="AB110" s="729"/>
      <c r="AC110" s="729"/>
      <c r="AD110" s="729"/>
      <c r="AE110" s="729"/>
    </row>
    <row r="111" spans="1:31">
      <c r="A111" s="729"/>
      <c r="B111" s="729"/>
      <c r="C111" s="729"/>
      <c r="D111" s="729"/>
      <c r="E111" s="729"/>
      <c r="F111" s="729"/>
      <c r="G111" s="729"/>
      <c r="H111" s="729"/>
      <c r="I111" s="729"/>
      <c r="J111" s="729"/>
      <c r="K111" s="729"/>
      <c r="L111" s="729"/>
      <c r="M111" s="729"/>
      <c r="N111" s="729"/>
      <c r="O111" s="729"/>
      <c r="P111" s="729"/>
      <c r="Q111" s="729"/>
      <c r="R111" s="729"/>
      <c r="S111" s="729"/>
      <c r="T111" s="729"/>
      <c r="U111" s="729"/>
      <c r="V111" s="729"/>
      <c r="W111" s="729"/>
      <c r="X111" s="729"/>
      <c r="Y111" s="729"/>
      <c r="Z111" s="729"/>
      <c r="AA111" s="729"/>
      <c r="AB111" s="729"/>
      <c r="AC111" s="729"/>
      <c r="AD111" s="729"/>
      <c r="AE111" s="729"/>
    </row>
    <row r="112" spans="1:31">
      <c r="A112" s="729"/>
      <c r="B112" s="729"/>
      <c r="C112" s="729"/>
      <c r="D112" s="729"/>
      <c r="E112" s="729"/>
      <c r="F112" s="729"/>
      <c r="G112" s="729"/>
      <c r="H112" s="729"/>
      <c r="I112" s="729"/>
      <c r="J112" s="729"/>
      <c r="K112" s="729"/>
      <c r="L112" s="729"/>
      <c r="M112" s="729"/>
      <c r="N112" s="729"/>
      <c r="O112" s="729"/>
      <c r="P112" s="729"/>
      <c r="Q112" s="729"/>
      <c r="R112" s="729"/>
      <c r="S112" s="729"/>
      <c r="T112" s="729"/>
      <c r="U112" s="729"/>
      <c r="V112" s="729"/>
      <c r="W112" s="729"/>
      <c r="X112" s="729"/>
      <c r="Y112" s="729"/>
      <c r="Z112" s="729"/>
      <c r="AA112" s="729"/>
      <c r="AB112" s="729"/>
      <c r="AC112" s="729"/>
      <c r="AD112" s="729"/>
      <c r="AE112" s="729"/>
    </row>
    <row r="113" spans="1:31">
      <c r="A113" s="729"/>
      <c r="B113" s="729"/>
      <c r="C113" s="729"/>
      <c r="D113" s="729"/>
      <c r="E113" s="729"/>
      <c r="F113" s="729"/>
      <c r="G113" s="729"/>
      <c r="H113" s="729"/>
      <c r="I113" s="729"/>
      <c r="J113" s="729"/>
      <c r="K113" s="729"/>
      <c r="L113" s="729"/>
      <c r="M113" s="729"/>
      <c r="N113" s="729"/>
      <c r="O113" s="729"/>
      <c r="P113" s="729"/>
      <c r="Q113" s="729"/>
      <c r="R113" s="729"/>
      <c r="S113" s="729"/>
      <c r="T113" s="729"/>
      <c r="U113" s="729"/>
      <c r="V113" s="729"/>
      <c r="W113" s="729"/>
      <c r="X113" s="729"/>
      <c r="Y113" s="729"/>
      <c r="Z113" s="729"/>
      <c r="AA113" s="729"/>
      <c r="AB113" s="729"/>
      <c r="AC113" s="729"/>
      <c r="AD113" s="729"/>
      <c r="AE113" s="729"/>
    </row>
    <row r="114" spans="1:31">
      <c r="A114" s="729"/>
      <c r="B114" s="729"/>
      <c r="C114" s="729"/>
      <c r="D114" s="729"/>
      <c r="E114" s="729"/>
      <c r="F114" s="729"/>
      <c r="G114" s="729"/>
      <c r="H114" s="729"/>
      <c r="I114" s="729"/>
      <c r="J114" s="729"/>
      <c r="K114" s="729"/>
      <c r="L114" s="729"/>
      <c r="M114" s="729"/>
      <c r="N114" s="729"/>
      <c r="O114" s="729"/>
      <c r="P114" s="729"/>
      <c r="Q114" s="729"/>
      <c r="R114" s="729"/>
      <c r="S114" s="729"/>
      <c r="T114" s="729"/>
      <c r="U114" s="729"/>
      <c r="V114" s="729"/>
      <c r="W114" s="729"/>
      <c r="X114" s="729"/>
      <c r="Y114" s="729"/>
      <c r="Z114" s="729"/>
      <c r="AA114" s="729"/>
      <c r="AB114" s="729"/>
      <c r="AC114" s="729"/>
      <c r="AD114" s="729"/>
      <c r="AE114" s="729"/>
    </row>
    <row r="115" spans="1:31">
      <c r="A115" s="729"/>
      <c r="B115" s="729"/>
      <c r="C115" s="729"/>
      <c r="D115" s="729"/>
      <c r="E115" s="729"/>
      <c r="F115" s="729"/>
      <c r="G115" s="729"/>
      <c r="H115" s="729"/>
      <c r="I115" s="729"/>
      <c r="J115" s="729"/>
      <c r="K115" s="729"/>
      <c r="L115" s="729"/>
      <c r="M115" s="729"/>
      <c r="N115" s="729"/>
      <c r="O115" s="729"/>
      <c r="P115" s="729"/>
      <c r="Q115" s="729"/>
      <c r="R115" s="729"/>
      <c r="S115" s="729"/>
      <c r="T115" s="729"/>
      <c r="U115" s="729"/>
      <c r="V115" s="729"/>
      <c r="W115" s="729"/>
      <c r="X115" s="729"/>
      <c r="Y115" s="729"/>
      <c r="Z115" s="729"/>
      <c r="AA115" s="729"/>
      <c r="AB115" s="729"/>
      <c r="AC115" s="729"/>
      <c r="AD115" s="729"/>
      <c r="AE115" s="729"/>
    </row>
    <row r="116" spans="1:31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29"/>
      <c r="P116" s="729"/>
      <c r="Q116" s="729"/>
      <c r="R116" s="729"/>
      <c r="S116" s="729"/>
      <c r="T116" s="729"/>
      <c r="U116" s="729"/>
      <c r="V116" s="729"/>
      <c r="W116" s="729"/>
      <c r="X116" s="729"/>
      <c r="Y116" s="729"/>
      <c r="Z116" s="729"/>
      <c r="AA116" s="729"/>
      <c r="AB116" s="729"/>
      <c r="AC116" s="729"/>
      <c r="AD116" s="729"/>
      <c r="AE116" s="729"/>
    </row>
    <row r="117" spans="1:31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29"/>
      <c r="P117" s="729"/>
      <c r="Q117" s="729"/>
      <c r="R117" s="729"/>
      <c r="S117" s="729"/>
      <c r="T117" s="729"/>
      <c r="U117" s="729"/>
      <c r="V117" s="729"/>
      <c r="W117" s="729"/>
      <c r="X117" s="729"/>
      <c r="Y117" s="729"/>
      <c r="Z117" s="729"/>
      <c r="AA117" s="729"/>
      <c r="AB117" s="729"/>
      <c r="AC117" s="729"/>
      <c r="AD117" s="729"/>
      <c r="AE117" s="729"/>
    </row>
    <row r="118" spans="1:31">
      <c r="A118" s="729"/>
      <c r="B118" s="729"/>
      <c r="C118" s="729"/>
      <c r="D118" s="729"/>
      <c r="E118" s="729"/>
      <c r="F118" s="729"/>
      <c r="G118" s="729"/>
      <c r="H118" s="729"/>
      <c r="I118" s="729"/>
      <c r="J118" s="729"/>
      <c r="K118" s="729"/>
      <c r="L118" s="729"/>
      <c r="M118" s="729"/>
      <c r="N118" s="729"/>
      <c r="O118" s="729"/>
      <c r="P118" s="729"/>
      <c r="Q118" s="729"/>
      <c r="R118" s="729"/>
      <c r="S118" s="729"/>
      <c r="T118" s="729"/>
      <c r="U118" s="729"/>
      <c r="V118" s="729"/>
      <c r="W118" s="729"/>
      <c r="X118" s="729"/>
      <c r="Y118" s="729"/>
      <c r="Z118" s="729"/>
      <c r="AA118" s="729"/>
      <c r="AB118" s="729"/>
      <c r="AC118" s="729"/>
      <c r="AD118" s="729"/>
      <c r="AE118" s="729"/>
    </row>
    <row r="119" spans="1:31">
      <c r="A119" s="729"/>
      <c r="B119" s="729"/>
      <c r="C119" s="729"/>
      <c r="D119" s="729"/>
      <c r="E119" s="729"/>
      <c r="F119" s="729"/>
      <c r="G119" s="729"/>
      <c r="H119" s="729"/>
      <c r="I119" s="729"/>
      <c r="J119" s="729"/>
      <c r="K119" s="729"/>
      <c r="L119" s="729"/>
      <c r="M119" s="729"/>
      <c r="N119" s="729"/>
      <c r="O119" s="729"/>
      <c r="P119" s="729"/>
      <c r="Q119" s="729"/>
      <c r="R119" s="729"/>
      <c r="S119" s="729"/>
      <c r="T119" s="729"/>
      <c r="U119" s="729"/>
      <c r="V119" s="729"/>
      <c r="W119" s="729"/>
      <c r="X119" s="729"/>
      <c r="Y119" s="729"/>
      <c r="Z119" s="729"/>
      <c r="AA119" s="729"/>
      <c r="AB119" s="729"/>
      <c r="AC119" s="729"/>
      <c r="AD119" s="729"/>
      <c r="AE119" s="729"/>
    </row>
    <row r="120" spans="1:31">
      <c r="A120" s="729"/>
      <c r="B120" s="729"/>
      <c r="C120" s="729"/>
      <c r="D120" s="729"/>
      <c r="E120" s="729"/>
      <c r="F120" s="729"/>
      <c r="G120" s="729"/>
      <c r="H120" s="729"/>
      <c r="I120" s="729"/>
      <c r="J120" s="729"/>
      <c r="K120" s="729"/>
      <c r="L120" s="729"/>
      <c r="M120" s="729"/>
      <c r="N120" s="729"/>
      <c r="O120" s="729"/>
      <c r="P120" s="729"/>
      <c r="Q120" s="729"/>
      <c r="R120" s="729"/>
      <c r="S120" s="729"/>
      <c r="T120" s="729"/>
      <c r="U120" s="729"/>
      <c r="V120" s="729"/>
      <c r="W120" s="729"/>
      <c r="X120" s="729"/>
      <c r="Y120" s="729"/>
      <c r="Z120" s="729"/>
      <c r="AA120" s="729"/>
      <c r="AB120" s="729"/>
      <c r="AC120" s="729"/>
      <c r="AD120" s="729"/>
      <c r="AE120" s="729"/>
    </row>
    <row r="121" spans="1:31">
      <c r="A121" s="729"/>
      <c r="B121" s="729"/>
      <c r="C121" s="729"/>
      <c r="D121" s="729"/>
      <c r="E121" s="729"/>
      <c r="F121" s="729"/>
      <c r="G121" s="729"/>
      <c r="H121" s="729"/>
      <c r="I121" s="729"/>
      <c r="J121" s="729"/>
      <c r="K121" s="729"/>
      <c r="L121" s="729"/>
      <c r="M121" s="729"/>
      <c r="N121" s="729"/>
      <c r="O121" s="729"/>
      <c r="P121" s="729"/>
      <c r="Q121" s="729"/>
      <c r="R121" s="729"/>
      <c r="S121" s="729"/>
      <c r="T121" s="729"/>
      <c r="U121" s="729"/>
      <c r="V121" s="729"/>
      <c r="W121" s="729"/>
      <c r="X121" s="729"/>
      <c r="Y121" s="729"/>
      <c r="Z121" s="729"/>
      <c r="AA121" s="729"/>
      <c r="AB121" s="729"/>
      <c r="AC121" s="729"/>
      <c r="AD121" s="729"/>
      <c r="AE121" s="729"/>
    </row>
    <row r="122" spans="1:31">
      <c r="A122" s="729"/>
      <c r="B122" s="729"/>
      <c r="C122" s="729"/>
      <c r="D122" s="729"/>
      <c r="E122" s="729"/>
      <c r="F122" s="729"/>
      <c r="G122" s="729"/>
      <c r="H122" s="729"/>
      <c r="I122" s="729"/>
      <c r="J122" s="729"/>
      <c r="K122" s="729"/>
      <c r="L122" s="729"/>
      <c r="M122" s="729"/>
      <c r="N122" s="729"/>
      <c r="O122" s="729"/>
      <c r="P122" s="729"/>
      <c r="Q122" s="729"/>
      <c r="R122" s="729"/>
      <c r="S122" s="729"/>
      <c r="T122" s="729"/>
      <c r="U122" s="729"/>
      <c r="V122" s="729"/>
      <c r="W122" s="729"/>
      <c r="X122" s="729"/>
      <c r="Y122" s="729"/>
      <c r="Z122" s="729"/>
      <c r="AA122" s="729"/>
      <c r="AB122" s="729"/>
      <c r="AC122" s="729"/>
      <c r="AD122" s="729"/>
      <c r="AE122" s="729"/>
    </row>
    <row r="123" spans="1:31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29"/>
      <c r="P123" s="729"/>
      <c r="Q123" s="729"/>
      <c r="R123" s="729"/>
      <c r="S123" s="729"/>
      <c r="T123" s="729"/>
      <c r="U123" s="729"/>
      <c r="V123" s="729"/>
      <c r="W123" s="729"/>
      <c r="X123" s="729"/>
      <c r="Y123" s="729"/>
      <c r="Z123" s="729"/>
      <c r="AA123" s="729"/>
      <c r="AB123" s="729"/>
      <c r="AC123" s="729"/>
      <c r="AD123" s="729"/>
      <c r="AE123" s="729"/>
    </row>
    <row r="124" spans="1:31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29"/>
      <c r="P124" s="729"/>
      <c r="Q124" s="729"/>
      <c r="R124" s="729"/>
      <c r="S124" s="729"/>
      <c r="T124" s="729"/>
      <c r="U124" s="729"/>
      <c r="V124" s="729"/>
      <c r="W124" s="729"/>
      <c r="X124" s="729"/>
      <c r="Y124" s="729"/>
      <c r="Z124" s="729"/>
      <c r="AA124" s="729"/>
      <c r="AB124" s="729"/>
      <c r="AC124" s="729"/>
      <c r="AD124" s="729"/>
      <c r="AE124" s="729"/>
    </row>
    <row r="125" spans="1:31">
      <c r="A125" s="729"/>
      <c r="B125" s="729"/>
      <c r="C125" s="729"/>
      <c r="D125" s="729"/>
      <c r="E125" s="729"/>
      <c r="F125" s="729"/>
      <c r="G125" s="729"/>
      <c r="H125" s="729"/>
      <c r="I125" s="729"/>
      <c r="J125" s="729"/>
      <c r="K125" s="729"/>
      <c r="L125" s="729"/>
      <c r="M125" s="729"/>
      <c r="N125" s="729"/>
      <c r="O125" s="729"/>
      <c r="P125" s="729"/>
      <c r="Q125" s="729"/>
      <c r="R125" s="729"/>
      <c r="S125" s="729"/>
      <c r="T125" s="729"/>
      <c r="U125" s="729"/>
      <c r="V125" s="729"/>
      <c r="W125" s="729"/>
      <c r="X125" s="729"/>
      <c r="Y125" s="729"/>
      <c r="Z125" s="729"/>
      <c r="AA125" s="729"/>
      <c r="AB125" s="729"/>
      <c r="AC125" s="729"/>
      <c r="AD125" s="729"/>
      <c r="AE125" s="729"/>
    </row>
    <row r="126" spans="1:31">
      <c r="A126" s="729"/>
      <c r="B126" s="729"/>
      <c r="C126" s="729"/>
      <c r="D126" s="729"/>
      <c r="E126" s="729"/>
      <c r="F126" s="729"/>
      <c r="G126" s="729"/>
      <c r="H126" s="729"/>
      <c r="I126" s="729"/>
      <c r="J126" s="729"/>
      <c r="K126" s="729"/>
      <c r="L126" s="729"/>
      <c r="M126" s="729"/>
      <c r="N126" s="729"/>
      <c r="O126" s="729"/>
      <c r="P126" s="729"/>
      <c r="Q126" s="729"/>
      <c r="R126" s="729"/>
      <c r="S126" s="729"/>
      <c r="T126" s="729"/>
      <c r="U126" s="729"/>
      <c r="V126" s="729"/>
      <c r="W126" s="729"/>
      <c r="X126" s="729"/>
      <c r="Y126" s="729"/>
      <c r="Z126" s="729"/>
      <c r="AA126" s="729"/>
      <c r="AB126" s="729"/>
      <c r="AC126" s="729"/>
      <c r="AD126" s="729"/>
      <c r="AE126" s="729"/>
    </row>
    <row r="127" spans="1:31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29"/>
      <c r="P127" s="729"/>
      <c r="Q127" s="729"/>
      <c r="R127" s="729"/>
      <c r="S127" s="729"/>
      <c r="T127" s="729"/>
      <c r="U127" s="729"/>
      <c r="V127" s="729"/>
      <c r="W127" s="729"/>
      <c r="X127" s="729"/>
      <c r="Y127" s="729"/>
      <c r="Z127" s="729"/>
      <c r="AA127" s="729"/>
      <c r="AB127" s="729"/>
      <c r="AC127" s="729"/>
      <c r="AD127" s="729"/>
      <c r="AE127" s="729"/>
    </row>
    <row r="128" spans="1:31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29"/>
      <c r="P128" s="729"/>
      <c r="Q128" s="729"/>
      <c r="R128" s="729"/>
      <c r="S128" s="729"/>
      <c r="T128" s="729"/>
      <c r="U128" s="729"/>
      <c r="V128" s="729"/>
      <c r="W128" s="729"/>
      <c r="X128" s="729"/>
      <c r="Y128" s="729"/>
      <c r="Z128" s="729"/>
      <c r="AA128" s="729"/>
      <c r="AB128" s="729"/>
      <c r="AC128" s="729"/>
      <c r="AD128" s="729"/>
      <c r="AE128" s="729"/>
    </row>
    <row r="129" spans="1:31">
      <c r="A129" s="729"/>
      <c r="B129" s="729"/>
      <c r="C129" s="729"/>
      <c r="D129" s="729"/>
      <c r="E129" s="729"/>
      <c r="F129" s="729"/>
      <c r="G129" s="729"/>
      <c r="H129" s="729"/>
      <c r="I129" s="729"/>
      <c r="J129" s="729"/>
      <c r="K129" s="729"/>
      <c r="L129" s="729"/>
      <c r="M129" s="729"/>
      <c r="N129" s="729"/>
      <c r="O129" s="729"/>
      <c r="P129" s="729"/>
      <c r="Q129" s="729"/>
      <c r="R129" s="729"/>
      <c r="S129" s="729"/>
      <c r="T129" s="729"/>
      <c r="U129" s="729"/>
      <c r="V129" s="729"/>
      <c r="W129" s="729"/>
      <c r="X129" s="729"/>
      <c r="Y129" s="729"/>
      <c r="Z129" s="729"/>
      <c r="AA129" s="729"/>
      <c r="AB129" s="729"/>
      <c r="AC129" s="729"/>
      <c r="AD129" s="729"/>
      <c r="AE129" s="729"/>
    </row>
    <row r="130" spans="1:31">
      <c r="A130" s="729"/>
      <c r="B130" s="729"/>
      <c r="C130" s="729"/>
      <c r="D130" s="729"/>
      <c r="E130" s="729"/>
      <c r="F130" s="729"/>
      <c r="G130" s="729"/>
      <c r="H130" s="729"/>
      <c r="I130" s="729"/>
      <c r="J130" s="729"/>
      <c r="K130" s="729"/>
      <c r="L130" s="729"/>
      <c r="M130" s="729"/>
      <c r="N130" s="729"/>
      <c r="O130" s="729"/>
      <c r="P130" s="729"/>
      <c r="Q130" s="729"/>
      <c r="R130" s="729"/>
      <c r="S130" s="729"/>
      <c r="T130" s="729"/>
      <c r="U130" s="729"/>
      <c r="V130" s="729"/>
      <c r="W130" s="729"/>
      <c r="X130" s="729"/>
      <c r="Y130" s="729"/>
      <c r="Z130" s="729"/>
      <c r="AA130" s="729"/>
      <c r="AB130" s="729"/>
      <c r="AC130" s="729"/>
      <c r="AD130" s="729"/>
      <c r="AE130" s="729"/>
    </row>
    <row r="131" spans="1:31">
      <c r="A131" s="729"/>
      <c r="B131" s="729"/>
      <c r="C131" s="729"/>
      <c r="D131" s="729"/>
      <c r="E131" s="729"/>
      <c r="F131" s="729"/>
      <c r="G131" s="729"/>
      <c r="H131" s="729"/>
      <c r="I131" s="729"/>
      <c r="J131" s="729"/>
      <c r="K131" s="729"/>
      <c r="L131" s="729"/>
      <c r="M131" s="729"/>
      <c r="N131" s="729"/>
      <c r="O131" s="729"/>
      <c r="P131" s="729"/>
      <c r="Q131" s="729"/>
      <c r="R131" s="729"/>
      <c r="S131" s="729"/>
      <c r="T131" s="729"/>
      <c r="U131" s="729"/>
      <c r="V131" s="729"/>
      <c r="W131" s="729"/>
      <c r="X131" s="729"/>
      <c r="Y131" s="729"/>
      <c r="Z131" s="729"/>
      <c r="AA131" s="729"/>
      <c r="AB131" s="729"/>
      <c r="AC131" s="729"/>
      <c r="AD131" s="729"/>
      <c r="AE131" s="729"/>
    </row>
    <row r="132" spans="1:31">
      <c r="A132" s="729"/>
      <c r="B132" s="729"/>
      <c r="C132" s="729"/>
      <c r="D132" s="729"/>
      <c r="E132" s="729"/>
      <c r="F132" s="729"/>
      <c r="G132" s="729"/>
      <c r="H132" s="729"/>
      <c r="I132" s="729"/>
      <c r="J132" s="729"/>
      <c r="K132" s="729"/>
      <c r="L132" s="729"/>
      <c r="M132" s="729"/>
      <c r="N132" s="729"/>
      <c r="O132" s="729"/>
      <c r="P132" s="729"/>
      <c r="Q132" s="729"/>
      <c r="R132" s="729"/>
      <c r="S132" s="729"/>
      <c r="T132" s="729"/>
      <c r="U132" s="729"/>
      <c r="V132" s="729"/>
      <c r="W132" s="729"/>
      <c r="X132" s="729"/>
      <c r="Y132" s="729"/>
      <c r="Z132" s="729"/>
      <c r="AA132" s="729"/>
      <c r="AB132" s="729"/>
      <c r="AC132" s="729"/>
      <c r="AD132" s="729"/>
      <c r="AE132" s="729"/>
    </row>
    <row r="133" spans="1:31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29"/>
      <c r="P133" s="729"/>
      <c r="Q133" s="729"/>
      <c r="R133" s="729"/>
      <c r="S133" s="729"/>
      <c r="T133" s="729"/>
      <c r="U133" s="729"/>
      <c r="V133" s="729"/>
      <c r="W133" s="729"/>
      <c r="X133" s="729"/>
      <c r="Y133" s="729"/>
      <c r="Z133" s="729"/>
      <c r="AA133" s="729"/>
      <c r="AB133" s="729"/>
      <c r="AC133" s="729"/>
      <c r="AD133" s="729"/>
      <c r="AE133" s="729"/>
    </row>
    <row r="134" spans="1:31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29"/>
      <c r="P134" s="729"/>
      <c r="Q134" s="729"/>
      <c r="R134" s="729"/>
      <c r="S134" s="729"/>
      <c r="T134" s="729"/>
      <c r="U134" s="729"/>
      <c r="V134" s="729"/>
      <c r="W134" s="729"/>
      <c r="X134" s="729"/>
      <c r="Y134" s="729"/>
      <c r="Z134" s="729"/>
      <c r="AA134" s="729"/>
      <c r="AB134" s="729"/>
      <c r="AC134" s="729"/>
      <c r="AD134" s="729"/>
      <c r="AE134" s="729"/>
    </row>
    <row r="135" spans="1:31">
      <c r="A135" s="729"/>
      <c r="B135" s="729"/>
      <c r="C135" s="729"/>
      <c r="D135" s="729"/>
      <c r="E135" s="729"/>
      <c r="F135" s="729"/>
      <c r="G135" s="729"/>
      <c r="H135" s="729"/>
      <c r="I135" s="729"/>
      <c r="J135" s="729"/>
      <c r="K135" s="729"/>
      <c r="L135" s="729"/>
      <c r="M135" s="729"/>
      <c r="N135" s="729"/>
      <c r="O135" s="729"/>
      <c r="P135" s="729"/>
      <c r="Q135" s="729"/>
      <c r="R135" s="729"/>
      <c r="S135" s="729"/>
      <c r="T135" s="729"/>
      <c r="U135" s="729"/>
      <c r="V135" s="729"/>
      <c r="W135" s="729"/>
      <c r="X135" s="729"/>
      <c r="Y135" s="729"/>
      <c r="Z135" s="729"/>
      <c r="AA135" s="729"/>
      <c r="AB135" s="729"/>
      <c r="AC135" s="729"/>
      <c r="AD135" s="729"/>
      <c r="AE135" s="729"/>
    </row>
    <row r="136" spans="1:31">
      <c r="A136" s="729"/>
      <c r="B136" s="729"/>
      <c r="C136" s="729"/>
      <c r="D136" s="729"/>
      <c r="E136" s="729"/>
      <c r="F136" s="729"/>
      <c r="G136" s="729"/>
      <c r="H136" s="729"/>
      <c r="I136" s="729"/>
      <c r="J136" s="729"/>
      <c r="K136" s="729"/>
      <c r="L136" s="729"/>
      <c r="M136" s="729"/>
      <c r="N136" s="729"/>
      <c r="O136" s="729"/>
      <c r="P136" s="729"/>
      <c r="Q136" s="729"/>
      <c r="R136" s="729"/>
      <c r="S136" s="729"/>
      <c r="T136" s="729"/>
      <c r="U136" s="729"/>
      <c r="V136" s="729"/>
      <c r="W136" s="729"/>
      <c r="X136" s="729"/>
      <c r="Y136" s="729"/>
      <c r="Z136" s="729"/>
      <c r="AA136" s="729"/>
      <c r="AB136" s="729"/>
      <c r="AC136" s="729"/>
      <c r="AD136" s="729"/>
      <c r="AE136" s="729"/>
    </row>
    <row r="137" spans="1:31">
      <c r="A137" s="729"/>
      <c r="B137" s="729"/>
      <c r="C137" s="729"/>
      <c r="D137" s="729"/>
      <c r="E137" s="729"/>
      <c r="F137" s="729"/>
      <c r="G137" s="729"/>
      <c r="H137" s="729"/>
      <c r="I137" s="729"/>
      <c r="J137" s="729"/>
      <c r="K137" s="729"/>
      <c r="L137" s="729"/>
      <c r="M137" s="729"/>
      <c r="N137" s="729"/>
      <c r="O137" s="729"/>
      <c r="P137" s="729"/>
      <c r="Q137" s="729"/>
      <c r="R137" s="729"/>
      <c r="S137" s="729"/>
      <c r="T137" s="729"/>
      <c r="U137" s="729"/>
      <c r="V137" s="729"/>
      <c r="W137" s="729"/>
      <c r="X137" s="729"/>
      <c r="Y137" s="729"/>
      <c r="Z137" s="729"/>
      <c r="AA137" s="729"/>
      <c r="AB137" s="729"/>
      <c r="AC137" s="729"/>
      <c r="AD137" s="729"/>
      <c r="AE137" s="729"/>
    </row>
    <row r="138" spans="1:31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29"/>
      <c r="P138" s="729"/>
      <c r="Q138" s="729"/>
      <c r="R138" s="729"/>
      <c r="S138" s="729"/>
      <c r="T138" s="729"/>
      <c r="U138" s="729"/>
      <c r="V138" s="729"/>
      <c r="W138" s="729"/>
      <c r="X138" s="729"/>
      <c r="Y138" s="729"/>
      <c r="Z138" s="729"/>
      <c r="AA138" s="729"/>
      <c r="AB138" s="729"/>
      <c r="AC138" s="729"/>
      <c r="AD138" s="729"/>
      <c r="AE138" s="729"/>
    </row>
    <row r="139" spans="1:31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29"/>
      <c r="P139" s="729"/>
      <c r="Q139" s="729"/>
      <c r="R139" s="729"/>
      <c r="S139" s="729"/>
      <c r="T139" s="729"/>
      <c r="U139" s="729"/>
      <c r="V139" s="729"/>
      <c r="W139" s="729"/>
      <c r="X139" s="729"/>
      <c r="Y139" s="729"/>
      <c r="Z139" s="729"/>
      <c r="AA139" s="729"/>
      <c r="AB139" s="729"/>
      <c r="AC139" s="729"/>
      <c r="AD139" s="729"/>
      <c r="AE139" s="729"/>
    </row>
    <row r="140" spans="1:31">
      <c r="A140" s="729"/>
      <c r="B140" s="729"/>
      <c r="C140" s="729"/>
      <c r="D140" s="729"/>
      <c r="E140" s="729"/>
      <c r="F140" s="729"/>
      <c r="G140" s="729"/>
      <c r="H140" s="729"/>
      <c r="I140" s="729"/>
      <c r="J140" s="729"/>
      <c r="K140" s="729"/>
      <c r="L140" s="729"/>
      <c r="M140" s="729"/>
      <c r="N140" s="729"/>
      <c r="O140" s="729"/>
      <c r="P140" s="729"/>
      <c r="Q140" s="729"/>
      <c r="R140" s="729"/>
      <c r="S140" s="729"/>
      <c r="T140" s="729"/>
      <c r="U140" s="729"/>
      <c r="V140" s="729"/>
      <c r="W140" s="729"/>
      <c r="X140" s="729"/>
      <c r="Y140" s="729"/>
      <c r="Z140" s="729"/>
      <c r="AA140" s="729"/>
      <c r="AB140" s="729"/>
      <c r="AC140" s="729"/>
      <c r="AD140" s="729"/>
      <c r="AE140" s="729"/>
    </row>
    <row r="141" spans="1:31">
      <c r="A141" s="729"/>
      <c r="B141" s="729"/>
      <c r="C141" s="729"/>
      <c r="D141" s="729"/>
      <c r="E141" s="729"/>
      <c r="F141" s="729"/>
      <c r="G141" s="729"/>
      <c r="H141" s="729"/>
      <c r="I141" s="729"/>
      <c r="J141" s="729"/>
      <c r="K141" s="729"/>
      <c r="L141" s="729"/>
      <c r="M141" s="729"/>
      <c r="N141" s="729"/>
      <c r="O141" s="729"/>
      <c r="P141" s="729"/>
      <c r="Q141" s="729"/>
      <c r="R141" s="729"/>
      <c r="S141" s="729"/>
      <c r="T141" s="729"/>
      <c r="U141" s="729"/>
      <c r="V141" s="729"/>
      <c r="W141" s="729"/>
      <c r="X141" s="729"/>
      <c r="Y141" s="729"/>
      <c r="Z141" s="729"/>
      <c r="AA141" s="729"/>
      <c r="AB141" s="729"/>
      <c r="AC141" s="729"/>
      <c r="AD141" s="729"/>
      <c r="AE141" s="729"/>
    </row>
    <row r="142" spans="1:31">
      <c r="A142" s="729"/>
      <c r="B142" s="729"/>
      <c r="C142" s="729"/>
      <c r="D142" s="729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29"/>
      <c r="P142" s="729"/>
      <c r="Q142" s="729"/>
      <c r="R142" s="729"/>
      <c r="S142" s="729"/>
      <c r="T142" s="729"/>
      <c r="U142" s="729"/>
      <c r="V142" s="729"/>
      <c r="W142" s="729"/>
      <c r="X142" s="729"/>
      <c r="Y142" s="729"/>
      <c r="Z142" s="729"/>
      <c r="AA142" s="729"/>
      <c r="AB142" s="729"/>
      <c r="AC142" s="729"/>
      <c r="AD142" s="729"/>
      <c r="AE142" s="729"/>
    </row>
    <row r="143" spans="1:31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29"/>
      <c r="P143" s="729"/>
      <c r="Q143" s="729"/>
      <c r="R143" s="729"/>
      <c r="S143" s="729"/>
      <c r="T143" s="729"/>
      <c r="U143" s="729"/>
      <c r="V143" s="729"/>
      <c r="W143" s="729"/>
      <c r="X143" s="729"/>
      <c r="Y143" s="729"/>
      <c r="Z143" s="729"/>
      <c r="AA143" s="729"/>
      <c r="AB143" s="729"/>
      <c r="AC143" s="729"/>
      <c r="AD143" s="729"/>
      <c r="AE143" s="729"/>
    </row>
    <row r="144" spans="1:31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29"/>
      <c r="P144" s="729"/>
      <c r="Q144" s="729"/>
      <c r="R144" s="729"/>
      <c r="S144" s="729"/>
      <c r="T144" s="729"/>
      <c r="U144" s="729"/>
      <c r="V144" s="729"/>
      <c r="W144" s="729"/>
      <c r="X144" s="729"/>
      <c r="Y144" s="729"/>
      <c r="Z144" s="729"/>
      <c r="AA144" s="729"/>
      <c r="AB144" s="729"/>
      <c r="AC144" s="729"/>
      <c r="AD144" s="729"/>
      <c r="AE144" s="729"/>
    </row>
    <row r="145" spans="1:31">
      <c r="A145" s="729"/>
      <c r="B145" s="729"/>
      <c r="C145" s="729"/>
      <c r="D145" s="729"/>
      <c r="E145" s="729"/>
      <c r="F145" s="729"/>
      <c r="G145" s="729"/>
      <c r="H145" s="729"/>
      <c r="I145" s="729"/>
      <c r="J145" s="729"/>
      <c r="K145" s="729"/>
      <c r="L145" s="729"/>
      <c r="M145" s="729"/>
      <c r="N145" s="729"/>
      <c r="O145" s="729"/>
      <c r="P145" s="729"/>
      <c r="Q145" s="729"/>
      <c r="R145" s="729"/>
      <c r="S145" s="729"/>
      <c r="T145" s="729"/>
      <c r="U145" s="729"/>
      <c r="V145" s="729"/>
      <c r="W145" s="729"/>
      <c r="X145" s="729"/>
      <c r="Y145" s="729"/>
      <c r="Z145" s="729"/>
      <c r="AA145" s="729"/>
      <c r="AB145" s="729"/>
      <c r="AC145" s="729"/>
      <c r="AD145" s="729"/>
      <c r="AE145" s="729"/>
    </row>
    <row r="146" spans="1:31">
      <c r="A146" s="729"/>
      <c r="B146" s="729"/>
      <c r="C146" s="729"/>
      <c r="D146" s="729"/>
      <c r="E146" s="729"/>
      <c r="F146" s="729"/>
      <c r="G146" s="729"/>
      <c r="H146" s="729"/>
      <c r="I146" s="729"/>
      <c r="J146" s="729"/>
      <c r="K146" s="729"/>
      <c r="L146" s="729"/>
      <c r="M146" s="729"/>
      <c r="N146" s="729"/>
      <c r="O146" s="729"/>
      <c r="P146" s="729"/>
      <c r="Q146" s="729"/>
      <c r="R146" s="729"/>
      <c r="S146" s="729"/>
      <c r="T146" s="729"/>
      <c r="U146" s="729"/>
      <c r="V146" s="729"/>
      <c r="W146" s="729"/>
      <c r="X146" s="729"/>
      <c r="Y146" s="729"/>
      <c r="Z146" s="729"/>
      <c r="AA146" s="729"/>
      <c r="AB146" s="729"/>
      <c r="AC146" s="729"/>
      <c r="AD146" s="729"/>
      <c r="AE146" s="729"/>
    </row>
    <row r="147" spans="1:31">
      <c r="A147" s="729"/>
      <c r="B147" s="729"/>
      <c r="C147" s="729"/>
      <c r="D147" s="729"/>
      <c r="E147" s="729"/>
      <c r="F147" s="729"/>
      <c r="G147" s="729"/>
      <c r="H147" s="729"/>
      <c r="I147" s="729"/>
      <c r="J147" s="729"/>
      <c r="K147" s="729"/>
      <c r="L147" s="729"/>
      <c r="M147" s="729"/>
      <c r="N147" s="729"/>
      <c r="O147" s="729"/>
      <c r="P147" s="729"/>
      <c r="Q147" s="729"/>
      <c r="R147" s="729"/>
      <c r="S147" s="729"/>
      <c r="T147" s="729"/>
      <c r="U147" s="729"/>
      <c r="V147" s="729"/>
      <c r="W147" s="729"/>
      <c r="X147" s="729"/>
      <c r="Y147" s="729"/>
      <c r="Z147" s="729"/>
      <c r="AA147" s="729"/>
      <c r="AB147" s="729"/>
      <c r="AC147" s="729"/>
      <c r="AD147" s="729"/>
      <c r="AE147" s="729"/>
    </row>
    <row r="148" spans="1:31">
      <c r="A148" s="729"/>
      <c r="B148" s="729"/>
      <c r="C148" s="729"/>
      <c r="D148" s="729"/>
      <c r="E148" s="729"/>
      <c r="F148" s="729"/>
      <c r="G148" s="729"/>
      <c r="H148" s="729"/>
      <c r="I148" s="729"/>
      <c r="J148" s="729"/>
      <c r="K148" s="729"/>
      <c r="L148" s="729"/>
      <c r="M148" s="729"/>
      <c r="N148" s="729"/>
      <c r="O148" s="729"/>
      <c r="P148" s="729"/>
      <c r="Q148" s="729"/>
      <c r="R148" s="729"/>
      <c r="S148" s="729"/>
      <c r="T148" s="729"/>
      <c r="U148" s="729"/>
      <c r="V148" s="729"/>
      <c r="W148" s="729"/>
      <c r="X148" s="729"/>
      <c r="Y148" s="729"/>
      <c r="Z148" s="729"/>
      <c r="AA148" s="729"/>
      <c r="AB148" s="729"/>
      <c r="AC148" s="729"/>
      <c r="AD148" s="729"/>
      <c r="AE148" s="729"/>
    </row>
    <row r="149" spans="1:31">
      <c r="A149" s="729"/>
      <c r="B149" s="729"/>
      <c r="C149" s="729"/>
      <c r="D149" s="729"/>
      <c r="E149" s="729"/>
      <c r="F149" s="729"/>
      <c r="G149" s="729"/>
      <c r="H149" s="729"/>
      <c r="I149" s="729"/>
      <c r="J149" s="729"/>
      <c r="K149" s="729"/>
      <c r="L149" s="729"/>
      <c r="M149" s="729"/>
      <c r="N149" s="729"/>
      <c r="O149" s="729"/>
      <c r="P149" s="729"/>
      <c r="Q149" s="729"/>
      <c r="R149" s="729"/>
      <c r="S149" s="729"/>
      <c r="T149" s="729"/>
      <c r="U149" s="729"/>
      <c r="V149" s="729"/>
      <c r="W149" s="729"/>
      <c r="X149" s="729"/>
      <c r="Y149" s="729"/>
      <c r="Z149" s="729"/>
      <c r="AA149" s="729"/>
      <c r="AB149" s="729"/>
      <c r="AC149" s="729"/>
      <c r="AD149" s="729"/>
      <c r="AE149" s="729"/>
    </row>
    <row r="150" spans="1:31">
      <c r="A150" s="729"/>
      <c r="B150" s="729"/>
      <c r="C150" s="729"/>
      <c r="D150" s="729"/>
      <c r="E150" s="729"/>
      <c r="F150" s="729"/>
      <c r="G150" s="729"/>
      <c r="H150" s="729"/>
      <c r="I150" s="729"/>
      <c r="J150" s="729"/>
      <c r="K150" s="729"/>
      <c r="L150" s="729"/>
      <c r="M150" s="729"/>
      <c r="N150" s="729"/>
      <c r="O150" s="729"/>
      <c r="P150" s="729"/>
      <c r="Q150" s="729"/>
      <c r="R150" s="729"/>
      <c r="S150" s="729"/>
      <c r="T150" s="729"/>
      <c r="U150" s="729"/>
      <c r="V150" s="729"/>
      <c r="W150" s="729"/>
      <c r="X150" s="729"/>
      <c r="Y150" s="729"/>
      <c r="Z150" s="729"/>
      <c r="AA150" s="729"/>
      <c r="AB150" s="729"/>
      <c r="AC150" s="729"/>
      <c r="AD150" s="729"/>
      <c r="AE150" s="729"/>
    </row>
    <row r="151" spans="1:31">
      <c r="A151" s="729"/>
      <c r="B151" s="729"/>
      <c r="C151" s="729"/>
      <c r="D151" s="729"/>
      <c r="E151" s="729"/>
      <c r="F151" s="729"/>
      <c r="G151" s="729"/>
      <c r="H151" s="729"/>
      <c r="I151" s="729"/>
      <c r="J151" s="729"/>
      <c r="K151" s="729"/>
      <c r="L151" s="729"/>
      <c r="M151" s="729"/>
      <c r="N151" s="729"/>
      <c r="O151" s="729"/>
      <c r="P151" s="729"/>
      <c r="Q151" s="729"/>
      <c r="R151" s="729"/>
      <c r="S151" s="729"/>
      <c r="T151" s="729"/>
      <c r="U151" s="729"/>
      <c r="V151" s="729"/>
      <c r="W151" s="729"/>
      <c r="X151" s="729"/>
      <c r="Y151" s="729"/>
      <c r="Z151" s="729"/>
      <c r="AA151" s="729"/>
      <c r="AB151" s="729"/>
      <c r="AC151" s="729"/>
      <c r="AD151" s="729"/>
      <c r="AE151" s="729"/>
    </row>
    <row r="152" spans="1:31">
      <c r="A152" s="729"/>
      <c r="B152" s="729"/>
      <c r="C152" s="729"/>
      <c r="D152" s="729"/>
      <c r="E152" s="729"/>
      <c r="F152" s="729"/>
      <c r="G152" s="729"/>
      <c r="H152" s="729"/>
      <c r="I152" s="729"/>
      <c r="J152" s="729"/>
      <c r="K152" s="729"/>
      <c r="L152" s="729"/>
      <c r="M152" s="729"/>
      <c r="N152" s="729"/>
      <c r="O152" s="729"/>
      <c r="P152" s="729"/>
      <c r="Q152" s="729"/>
      <c r="R152" s="729"/>
      <c r="S152" s="729"/>
      <c r="T152" s="729"/>
      <c r="U152" s="729"/>
      <c r="V152" s="729"/>
      <c r="W152" s="729"/>
      <c r="X152" s="729"/>
      <c r="Y152" s="729"/>
      <c r="Z152" s="729"/>
      <c r="AA152" s="729"/>
      <c r="AB152" s="729"/>
      <c r="AC152" s="729"/>
      <c r="AD152" s="729"/>
      <c r="AE152" s="729"/>
    </row>
    <row r="153" spans="1:31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29"/>
      <c r="P153" s="729"/>
      <c r="Q153" s="729"/>
      <c r="R153" s="729"/>
      <c r="S153" s="729"/>
      <c r="T153" s="729"/>
      <c r="U153" s="729"/>
      <c r="V153" s="729"/>
      <c r="W153" s="729"/>
      <c r="X153" s="729"/>
      <c r="Y153" s="729"/>
      <c r="Z153" s="729"/>
      <c r="AA153" s="729"/>
      <c r="AB153" s="729"/>
      <c r="AC153" s="729"/>
      <c r="AD153" s="729"/>
      <c r="AE153" s="729"/>
    </row>
    <row r="154" spans="1:31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29"/>
      <c r="P154" s="729"/>
      <c r="Q154" s="729"/>
      <c r="R154" s="729"/>
      <c r="S154" s="729"/>
      <c r="T154" s="729"/>
      <c r="U154" s="729"/>
      <c r="V154" s="729"/>
      <c r="W154" s="729"/>
      <c r="X154" s="729"/>
      <c r="Y154" s="729"/>
      <c r="Z154" s="729"/>
      <c r="AA154" s="729"/>
      <c r="AB154" s="729"/>
      <c r="AC154" s="729"/>
      <c r="AD154" s="729"/>
      <c r="AE154" s="729"/>
    </row>
    <row r="155" spans="1:31">
      <c r="A155" s="729"/>
      <c r="B155" s="729"/>
      <c r="C155" s="729"/>
      <c r="D155" s="729"/>
      <c r="E155" s="729"/>
      <c r="F155" s="729"/>
      <c r="G155" s="729"/>
      <c r="H155" s="729"/>
      <c r="I155" s="729"/>
      <c r="J155" s="729"/>
      <c r="K155" s="729"/>
      <c r="L155" s="729"/>
      <c r="M155" s="729"/>
      <c r="N155" s="729"/>
      <c r="O155" s="729"/>
      <c r="P155" s="729"/>
      <c r="Q155" s="729"/>
      <c r="R155" s="729"/>
      <c r="S155" s="729"/>
      <c r="T155" s="729"/>
      <c r="U155" s="729"/>
      <c r="V155" s="729"/>
      <c r="W155" s="729"/>
      <c r="X155" s="729"/>
      <c r="Y155" s="729"/>
      <c r="Z155" s="729"/>
      <c r="AA155" s="729"/>
      <c r="AB155" s="729"/>
      <c r="AC155" s="729"/>
      <c r="AD155" s="729"/>
      <c r="AE155" s="729"/>
    </row>
    <row r="156" spans="1:31">
      <c r="A156" s="729"/>
      <c r="B156" s="729"/>
      <c r="C156" s="729"/>
      <c r="D156" s="729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29"/>
      <c r="P156" s="729"/>
      <c r="Q156" s="729"/>
      <c r="R156" s="729"/>
      <c r="S156" s="729"/>
      <c r="T156" s="729"/>
      <c r="U156" s="729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</row>
    <row r="157" spans="1:31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29"/>
      <c r="P157" s="729"/>
      <c r="Q157" s="729"/>
      <c r="R157" s="729"/>
      <c r="S157" s="729"/>
      <c r="T157" s="729"/>
      <c r="U157" s="729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</row>
    <row r="158" spans="1:31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29"/>
      <c r="P158" s="729"/>
      <c r="Q158" s="729"/>
      <c r="R158" s="729"/>
      <c r="S158" s="729"/>
      <c r="T158" s="729"/>
      <c r="U158" s="729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</row>
    <row r="159" spans="1:31">
      <c r="A159" s="729"/>
      <c r="B159" s="729"/>
      <c r="C159" s="729"/>
      <c r="D159" s="729"/>
      <c r="E159" s="729"/>
      <c r="F159" s="729"/>
      <c r="G159" s="729"/>
      <c r="H159" s="729"/>
      <c r="I159" s="729"/>
      <c r="J159" s="729"/>
      <c r="K159" s="729"/>
      <c r="L159" s="729"/>
      <c r="M159" s="729"/>
      <c r="N159" s="729"/>
      <c r="O159" s="729"/>
      <c r="P159" s="729"/>
      <c r="Q159" s="729"/>
      <c r="R159" s="729"/>
      <c r="S159" s="729"/>
      <c r="T159" s="729"/>
      <c r="U159" s="729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</row>
    <row r="160" spans="1:31">
      <c r="A160" s="729"/>
      <c r="B160" s="729"/>
      <c r="C160" s="729"/>
      <c r="D160" s="729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29"/>
      <c r="P160" s="729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</row>
    <row r="161" spans="1:31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M161" s="729"/>
      <c r="N161" s="729"/>
      <c r="O161" s="729"/>
      <c r="P161" s="729"/>
      <c r="Q161" s="729"/>
      <c r="R161" s="729"/>
      <c r="S161" s="729"/>
      <c r="T161" s="729"/>
      <c r="U161" s="729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</row>
    <row r="162" spans="1:31">
      <c r="A162" s="729"/>
      <c r="B162" s="729"/>
      <c r="C162" s="729"/>
      <c r="D162" s="729"/>
      <c r="E162" s="729"/>
      <c r="F162" s="729"/>
      <c r="G162" s="729"/>
      <c r="H162" s="729"/>
      <c r="I162" s="729"/>
      <c r="J162" s="729"/>
      <c r="K162" s="729"/>
      <c r="L162" s="729"/>
      <c r="M162" s="729"/>
      <c r="N162" s="729"/>
      <c r="O162" s="729"/>
      <c r="P162" s="729"/>
      <c r="Q162" s="729"/>
      <c r="R162" s="729"/>
      <c r="S162" s="729"/>
      <c r="T162" s="729"/>
      <c r="U162" s="729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</row>
    <row r="163" spans="1:31">
      <c r="A163" s="729"/>
      <c r="B163" s="729"/>
      <c r="C163" s="729"/>
      <c r="D163" s="729"/>
      <c r="E163" s="729"/>
      <c r="F163" s="729"/>
      <c r="G163" s="729"/>
      <c r="H163" s="729"/>
      <c r="I163" s="729"/>
      <c r="J163" s="729"/>
      <c r="K163" s="729"/>
      <c r="L163" s="729"/>
      <c r="M163" s="729"/>
      <c r="N163" s="729"/>
      <c r="O163" s="729"/>
      <c r="P163" s="729"/>
      <c r="Q163" s="729"/>
      <c r="R163" s="729"/>
      <c r="S163" s="729"/>
      <c r="T163" s="729"/>
      <c r="U163" s="729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</row>
    <row r="164" spans="1:31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29"/>
      <c r="P164" s="729"/>
      <c r="Q164" s="729"/>
      <c r="R164" s="729"/>
      <c r="S164" s="729"/>
      <c r="T164" s="729"/>
      <c r="U164" s="729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</row>
    <row r="165" spans="1:31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29"/>
      <c r="P165" s="729"/>
      <c r="Q165" s="729"/>
      <c r="R165" s="729"/>
      <c r="S165" s="729"/>
      <c r="T165" s="729"/>
      <c r="U165" s="729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</row>
    <row r="166" spans="1:31">
      <c r="A166" s="729"/>
      <c r="B166" s="729"/>
      <c r="C166" s="729"/>
      <c r="D166" s="729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29"/>
      <c r="P166" s="729"/>
      <c r="Q166" s="729"/>
      <c r="R166" s="729"/>
      <c r="S166" s="729"/>
      <c r="T166" s="729"/>
      <c r="U166" s="729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</row>
    <row r="167" spans="1:31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9"/>
      <c r="P167" s="729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</row>
    <row r="168" spans="1:31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9"/>
      <c r="P168" s="729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</row>
    <row r="169" spans="1:31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9"/>
      <c r="P169" s="729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</row>
    <row r="170" spans="1:31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9"/>
      <c r="P170" s="729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</row>
    <row r="171" spans="1:31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9"/>
      <c r="P171" s="729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</row>
    <row r="172" spans="1:31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</row>
    <row r="173" spans="1:31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</row>
    <row r="174" spans="1:31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</row>
    <row r="175" spans="1:31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</row>
    <row r="176" spans="1:31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</row>
    <row r="177" spans="1:31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</row>
    <row r="178" spans="1:31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</row>
    <row r="179" spans="1:31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</row>
    <row r="180" spans="1:31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</row>
    <row r="181" spans="1:31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</row>
    <row r="182" spans="1:31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</row>
    <row r="183" spans="1:31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</row>
    <row r="184" spans="1:31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</row>
    <row r="185" spans="1:31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</row>
    <row r="186" spans="1:31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</row>
    <row r="187" spans="1:31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</row>
    <row r="188" spans="1:31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</row>
    <row r="189" spans="1:31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</row>
    <row r="190" spans="1:31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</row>
    <row r="191" spans="1:31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</row>
    <row r="192" spans="1:31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</row>
    <row r="193" spans="1:31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</row>
    <row r="194" spans="1:31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</row>
    <row r="195" spans="1:31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</row>
  </sheetData>
  <mergeCells count="3">
    <mergeCell ref="B3:P3"/>
    <mergeCell ref="B43:E43"/>
    <mergeCell ref="B61:E61"/>
  </mergeCells>
  <pageMargins left="0.25" right="0.25" top="0.5" bottom="0.5" header="0.511811023622047" footer="0.511811023622047"/>
  <pageSetup paperSize="9"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9DB"/>
  </sheetPr>
  <dimension ref="A1:AG291"/>
  <sheetViews>
    <sheetView showGridLines="0" topLeftCell="A148" zoomScale="68" workbookViewId="0">
      <pane xSplit="2" topLeftCell="C1" activePane="topRight" state="frozen"/>
      <selection activeCell="A146" sqref="A146"/>
      <selection pane="topRight" activeCell="E175" sqref="E175"/>
    </sheetView>
    <sheetView topLeftCell="A54" workbookViewId="1"/>
  </sheetViews>
  <sheetFormatPr defaultColWidth="8.6640625" defaultRowHeight="14.4"/>
  <cols>
    <col min="2" max="2" width="63" customWidth="1"/>
    <col min="3" max="13" width="17" customWidth="1"/>
    <col min="14" max="14" width="33.5546875" bestFit="1" customWidth="1"/>
    <col min="15" max="18" width="17" customWidth="1"/>
  </cols>
  <sheetData>
    <row r="1" spans="1:33">
      <c r="A1" s="729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</row>
    <row r="2" spans="1:33" ht="15" thickBot="1">
      <c r="A2" s="729"/>
      <c r="B2" s="159" t="s">
        <v>74</v>
      </c>
      <c r="C2" s="752"/>
      <c r="D2" s="752"/>
      <c r="E2" s="752"/>
      <c r="F2" s="752"/>
      <c r="G2" s="752"/>
      <c r="H2" s="164"/>
      <c r="I2" s="164"/>
      <c r="J2" s="164"/>
      <c r="K2" s="164"/>
      <c r="L2" s="164"/>
      <c r="M2" s="164"/>
      <c r="N2" s="164"/>
      <c r="O2" s="164"/>
      <c r="P2" s="164"/>
      <c r="Q2" s="164" t="s">
        <v>75</v>
      </c>
      <c r="R2" s="674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</row>
    <row r="3" spans="1:33">
      <c r="A3" s="729"/>
      <c r="B3" s="216"/>
      <c r="C3" s="216"/>
      <c r="D3" s="753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674"/>
      <c r="S3" s="729"/>
      <c r="T3" s="729"/>
      <c r="U3" s="729"/>
      <c r="V3" s="729"/>
      <c r="W3" s="729"/>
      <c r="X3" s="729"/>
      <c r="Y3" s="729"/>
      <c r="Z3" s="729"/>
      <c r="AA3" s="729"/>
      <c r="AB3" s="729"/>
      <c r="AC3" s="729"/>
      <c r="AD3" s="729"/>
      <c r="AE3" s="729"/>
      <c r="AF3" s="729"/>
      <c r="AG3" s="729"/>
    </row>
    <row r="4" spans="1:33">
      <c r="A4" s="729"/>
      <c r="B4" s="172"/>
      <c r="C4" s="45"/>
      <c r="D4" s="173"/>
      <c r="E4" s="165" t="s">
        <v>76</v>
      </c>
      <c r="F4" s="165"/>
      <c r="G4" s="165"/>
      <c r="H4" s="165"/>
      <c r="I4" s="674"/>
      <c r="J4" s="674"/>
      <c r="K4" s="174" t="s">
        <v>77</v>
      </c>
      <c r="L4" s="174"/>
      <c r="M4" s="174"/>
      <c r="N4" s="175"/>
      <c r="O4" s="175"/>
      <c r="P4" s="175"/>
      <c r="Q4" s="175"/>
      <c r="R4" s="674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  <c r="AG4" s="729"/>
    </row>
    <row r="5" spans="1:33">
      <c r="A5" s="729"/>
      <c r="B5" s="176"/>
      <c r="C5" s="177"/>
      <c r="D5" s="753"/>
      <c r="E5" s="754" t="s">
        <v>78</v>
      </c>
      <c r="F5" s="674"/>
      <c r="G5" s="754"/>
      <c r="H5" s="755">
        <f>C15</f>
        <v>3036000</v>
      </c>
      <c r="I5" s="674"/>
      <c r="J5" s="674"/>
      <c r="K5" s="665" t="s">
        <v>79</v>
      </c>
      <c r="L5" s="666"/>
      <c r="M5" s="666"/>
      <c r="N5" s="665" t="s">
        <v>80</v>
      </c>
      <c r="O5" s="665" t="s">
        <v>81</v>
      </c>
      <c r="P5" s="665" t="s">
        <v>82</v>
      </c>
      <c r="Q5" s="665" t="s">
        <v>83</v>
      </c>
      <c r="R5" s="674"/>
      <c r="S5" s="729"/>
      <c r="T5" s="729"/>
      <c r="U5" s="729"/>
      <c r="V5" s="729"/>
      <c r="W5" s="729"/>
      <c r="X5" s="729"/>
      <c r="Y5" s="729"/>
      <c r="Z5" s="729"/>
      <c r="AA5" s="729"/>
      <c r="AB5" s="729"/>
      <c r="AC5" s="729"/>
      <c r="AD5" s="729"/>
      <c r="AE5" s="729"/>
      <c r="AF5" s="729"/>
      <c r="AG5" s="729"/>
    </row>
    <row r="6" spans="1:33">
      <c r="A6" s="729"/>
      <c r="B6" s="730" t="s">
        <v>84</v>
      </c>
      <c r="C6" s="756">
        <v>3690</v>
      </c>
      <c r="D6" s="757" t="s">
        <v>85</v>
      </c>
      <c r="E6" s="754" t="s">
        <v>86</v>
      </c>
      <c r="F6" s="674"/>
      <c r="G6" s="754"/>
      <c r="H6" s="755">
        <f>(C7*(1+C11))/C6</f>
        <v>190988.0617886179</v>
      </c>
      <c r="I6" s="216"/>
      <c r="J6" s="216"/>
      <c r="K6" s="758"/>
      <c r="L6" s="674"/>
      <c r="M6" s="674"/>
      <c r="N6" s="758"/>
      <c r="O6" s="758"/>
      <c r="P6" s="758"/>
      <c r="Q6" s="758"/>
      <c r="R6" s="674"/>
      <c r="S6" s="729"/>
      <c r="T6" s="729"/>
      <c r="U6" s="729"/>
      <c r="V6" s="729"/>
      <c r="W6" s="729"/>
      <c r="X6" s="729"/>
      <c r="Y6" s="729"/>
      <c r="Z6" s="729"/>
      <c r="AA6" s="729"/>
      <c r="AB6" s="729"/>
      <c r="AC6" s="729"/>
      <c r="AD6" s="729"/>
      <c r="AE6" s="729"/>
      <c r="AF6" s="729"/>
      <c r="AG6" s="729"/>
    </row>
    <row r="7" spans="1:33">
      <c r="A7" s="729"/>
      <c r="B7" s="734" t="s">
        <v>87</v>
      </c>
      <c r="C7" s="759">
        <v>670548000</v>
      </c>
      <c r="D7" s="757" t="s">
        <v>88</v>
      </c>
      <c r="E7" s="760" t="s">
        <v>89</v>
      </c>
      <c r="F7" s="674"/>
      <c r="G7" s="760"/>
      <c r="H7" s="761">
        <v>612247701</v>
      </c>
      <c r="I7" s="216"/>
      <c r="J7" s="216"/>
      <c r="K7" s="762" t="s">
        <v>90</v>
      </c>
      <c r="L7" s="762"/>
      <c r="M7" s="762"/>
      <c r="N7" s="763">
        <v>2400000</v>
      </c>
      <c r="O7" s="764">
        <f>N7*$C$14</f>
        <v>192000</v>
      </c>
      <c r="P7" s="764">
        <f>N7-O7</f>
        <v>2208000</v>
      </c>
      <c r="Q7" s="764">
        <f>P7/12</f>
        <v>184000</v>
      </c>
      <c r="R7" s="674"/>
      <c r="S7" s="729"/>
      <c r="T7" s="729"/>
      <c r="U7" s="729"/>
      <c r="V7" s="729"/>
      <c r="W7" s="729"/>
      <c r="X7" s="729"/>
      <c r="Y7" s="729"/>
      <c r="Z7" s="729"/>
      <c r="AA7" s="729"/>
      <c r="AB7" s="729"/>
      <c r="AC7" s="729"/>
      <c r="AD7" s="729"/>
      <c r="AE7" s="729"/>
      <c r="AF7" s="729"/>
      <c r="AG7" s="729"/>
    </row>
    <row r="8" spans="1:33">
      <c r="A8" s="729"/>
      <c r="B8" s="734" t="s">
        <v>91</v>
      </c>
      <c r="C8" s="765">
        <v>90</v>
      </c>
      <c r="D8" s="757" t="s">
        <v>92</v>
      </c>
      <c r="E8" s="216"/>
      <c r="F8" s="674"/>
      <c r="G8" s="216"/>
      <c r="H8" s="216"/>
      <c r="I8" s="216"/>
      <c r="J8" s="216"/>
      <c r="K8" s="762" t="s">
        <v>93</v>
      </c>
      <c r="L8" s="762"/>
      <c r="M8" s="762"/>
      <c r="N8" s="763">
        <v>3300000</v>
      </c>
      <c r="O8" s="764">
        <f>N8*$C$14</f>
        <v>264000</v>
      </c>
      <c r="P8" s="764">
        <f>N8-O8</f>
        <v>3036000</v>
      </c>
      <c r="Q8" s="764">
        <f>P8/12</f>
        <v>253000</v>
      </c>
      <c r="R8" s="674"/>
      <c r="S8" s="729"/>
      <c r="T8" s="729"/>
      <c r="U8" s="729"/>
      <c r="V8" s="729"/>
      <c r="W8" s="729"/>
      <c r="X8" s="729"/>
      <c r="Y8" s="729"/>
      <c r="Z8" s="729"/>
      <c r="AA8" s="729"/>
      <c r="AB8" s="729"/>
      <c r="AC8" s="729"/>
      <c r="AD8" s="729"/>
      <c r="AE8" s="729"/>
      <c r="AF8" s="729"/>
      <c r="AG8" s="729"/>
    </row>
    <row r="9" spans="1:33">
      <c r="A9" s="729"/>
      <c r="B9" s="734" t="s">
        <v>94</v>
      </c>
      <c r="C9" s="766">
        <v>5.0000000000000001E-3</v>
      </c>
      <c r="D9" s="757" t="s">
        <v>95</v>
      </c>
      <c r="E9" s="216"/>
      <c r="F9" s="674"/>
      <c r="G9" s="216"/>
      <c r="H9" s="216"/>
      <c r="I9" s="216"/>
      <c r="J9" s="216"/>
      <c r="K9" s="762" t="s">
        <v>96</v>
      </c>
      <c r="L9" s="762"/>
      <c r="M9" s="762"/>
      <c r="N9" s="763">
        <v>4500000</v>
      </c>
      <c r="O9" s="764">
        <f>N9*$C$14</f>
        <v>360000</v>
      </c>
      <c r="P9" s="764">
        <f>N9-O9</f>
        <v>4140000</v>
      </c>
      <c r="Q9" s="764">
        <f>P9/12</f>
        <v>345000</v>
      </c>
      <c r="R9" s="674"/>
      <c r="S9" s="729"/>
      <c r="T9" s="729"/>
      <c r="U9" s="729"/>
      <c r="V9" s="729"/>
      <c r="W9" s="729"/>
      <c r="X9" s="729"/>
      <c r="Y9" s="729"/>
      <c r="Z9" s="729"/>
      <c r="AA9" s="729"/>
      <c r="AB9" s="729"/>
      <c r="AC9" s="729"/>
      <c r="AD9" s="729"/>
      <c r="AE9" s="729"/>
      <c r="AF9" s="729"/>
      <c r="AG9" s="729"/>
    </row>
    <row r="10" spans="1:33">
      <c r="A10" s="729"/>
      <c r="B10" s="734" t="s">
        <v>94</v>
      </c>
      <c r="C10" s="766">
        <v>5.0000000000000001E-3</v>
      </c>
      <c r="D10" s="757" t="s">
        <v>95</v>
      </c>
      <c r="E10" s="216"/>
      <c r="F10" s="674"/>
      <c r="G10" s="216"/>
      <c r="H10" s="216"/>
      <c r="I10" s="216"/>
      <c r="J10" s="216"/>
      <c r="K10" s="762"/>
      <c r="L10" s="762"/>
      <c r="M10" s="762"/>
      <c r="N10" s="762"/>
      <c r="O10" s="762"/>
      <c r="P10" s="762"/>
      <c r="Q10" s="762"/>
      <c r="R10" s="674"/>
      <c r="S10" s="729"/>
      <c r="T10" s="729"/>
      <c r="U10" s="729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  <c r="AF10" s="729"/>
      <c r="AG10" s="729"/>
    </row>
    <row r="11" spans="1:33">
      <c r="A11" s="729"/>
      <c r="B11" s="734" t="s">
        <v>97</v>
      </c>
      <c r="C11" s="766">
        <v>5.0999999999999997E-2</v>
      </c>
      <c r="D11" s="757" t="s">
        <v>98</v>
      </c>
      <c r="E11" s="216"/>
      <c r="F11" s="674"/>
      <c r="G11" s="216"/>
      <c r="H11" s="216"/>
      <c r="I11" s="216"/>
      <c r="J11" s="216"/>
      <c r="K11" s="178" t="s">
        <v>99</v>
      </c>
      <c r="L11" s="178"/>
      <c r="M11" s="178"/>
      <c r="N11" s="179" t="s">
        <v>93</v>
      </c>
      <c r="O11" s="762"/>
      <c r="P11" s="762"/>
      <c r="Q11" s="762"/>
      <c r="R11" s="674"/>
      <c r="S11" s="729"/>
      <c r="T11" s="729"/>
      <c r="U11" s="729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  <c r="AF11" s="729"/>
      <c r="AG11" s="729"/>
    </row>
    <row r="12" spans="1:33">
      <c r="A12" s="729"/>
      <c r="B12" s="734" t="s">
        <v>100</v>
      </c>
      <c r="C12" s="767">
        <f>INDEX($N$7:$N$9,MATCH($N$11,$K$7:$K$9,0))</f>
        <v>3300000</v>
      </c>
      <c r="D12" s="757" t="s">
        <v>101</v>
      </c>
      <c r="E12" s="216"/>
      <c r="F12" s="674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674"/>
      <c r="S12" s="729"/>
      <c r="T12" s="729"/>
      <c r="U12" s="729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  <c r="AF12" s="729"/>
      <c r="AG12" s="729"/>
    </row>
    <row r="13" spans="1:33">
      <c r="A13" s="729"/>
      <c r="B13" s="734" t="s">
        <v>102</v>
      </c>
      <c r="C13" s="768">
        <f>C12*C14</f>
        <v>264000</v>
      </c>
      <c r="D13" s="757" t="s">
        <v>103</v>
      </c>
      <c r="E13" s="216"/>
      <c r="F13" s="674"/>
      <c r="G13" s="674"/>
      <c r="H13" s="216"/>
      <c r="I13" s="216"/>
      <c r="J13" s="216"/>
      <c r="K13" s="171" t="s">
        <v>104</v>
      </c>
      <c r="L13" s="171"/>
      <c r="M13" s="171"/>
      <c r="N13" s="171" t="s">
        <v>105</v>
      </c>
      <c r="O13" s="171" t="s">
        <v>81</v>
      </c>
      <c r="P13" s="171" t="s">
        <v>106</v>
      </c>
      <c r="Q13" s="171" t="s">
        <v>107</v>
      </c>
      <c r="R13" s="674"/>
      <c r="S13" s="729"/>
      <c r="T13" s="729"/>
      <c r="U13" s="729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  <c r="AF13" s="729"/>
      <c r="AG13" s="729"/>
    </row>
    <row r="14" spans="1:33">
      <c r="A14" s="729"/>
      <c r="B14" s="734" t="s">
        <v>108</v>
      </c>
      <c r="C14" s="769">
        <v>0.08</v>
      </c>
      <c r="D14" s="770" t="s">
        <v>109</v>
      </c>
      <c r="E14" s="216"/>
      <c r="F14" s="674"/>
      <c r="G14" s="674"/>
      <c r="H14" s="216"/>
      <c r="I14" s="216"/>
      <c r="J14" s="216"/>
      <c r="K14" s="771" t="s">
        <v>90</v>
      </c>
      <c r="L14" s="772"/>
      <c r="M14" s="772"/>
      <c r="N14" s="773">
        <f t="shared" ref="N14:Q15" si="0">N7</f>
        <v>2400000</v>
      </c>
      <c r="O14" s="773">
        <f t="shared" si="0"/>
        <v>192000</v>
      </c>
      <c r="P14" s="773">
        <f t="shared" si="0"/>
        <v>2208000</v>
      </c>
      <c r="Q14" s="774">
        <f t="shared" si="0"/>
        <v>184000</v>
      </c>
      <c r="R14" s="674"/>
      <c r="S14" s="729"/>
      <c r="T14" s="729"/>
      <c r="U14" s="729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  <c r="AF14" s="729"/>
      <c r="AG14" s="729"/>
    </row>
    <row r="15" spans="1:33">
      <c r="A15" s="729"/>
      <c r="B15" s="734" t="s">
        <v>110</v>
      </c>
      <c r="C15" s="768">
        <f>C12-C13</f>
        <v>3036000</v>
      </c>
      <c r="D15" s="757" t="s">
        <v>111</v>
      </c>
      <c r="E15" s="216"/>
      <c r="F15" s="674"/>
      <c r="G15" s="674"/>
      <c r="H15" s="216"/>
      <c r="I15" s="216"/>
      <c r="J15" s="216"/>
      <c r="K15" s="180" t="s">
        <v>93</v>
      </c>
      <c r="L15" s="181"/>
      <c r="M15" s="181"/>
      <c r="N15" s="182">
        <f t="shared" si="0"/>
        <v>3300000</v>
      </c>
      <c r="O15" s="182">
        <f t="shared" si="0"/>
        <v>264000</v>
      </c>
      <c r="P15" s="182">
        <f t="shared" si="0"/>
        <v>3036000</v>
      </c>
      <c r="Q15" s="183">
        <f t="shared" si="0"/>
        <v>253000</v>
      </c>
      <c r="R15" s="674"/>
      <c r="S15" s="729"/>
      <c r="T15" s="729"/>
      <c r="U15" s="729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  <c r="AF15" s="729"/>
      <c r="AG15" s="729"/>
    </row>
    <row r="16" spans="1:33">
      <c r="A16" s="729"/>
      <c r="B16" s="775" t="s">
        <v>112</v>
      </c>
      <c r="C16" s="776" t="str">
        <f>IF(ABS(C12-C15-C13)&lt;1,"OK","ERROR")</f>
        <v>OK</v>
      </c>
      <c r="D16" s="757" t="s">
        <v>113</v>
      </c>
      <c r="E16" s="216"/>
      <c r="F16" s="674"/>
      <c r="G16" s="674"/>
      <c r="H16" s="216"/>
      <c r="I16" s="216"/>
      <c r="J16" s="216"/>
      <c r="K16" s="777" t="s">
        <v>96</v>
      </c>
      <c r="L16" s="778"/>
      <c r="M16" s="778"/>
      <c r="N16" s="779">
        <f>N9</f>
        <v>4500000</v>
      </c>
      <c r="O16" s="779">
        <f t="shared" ref="O16:Q16" si="1">O9</f>
        <v>360000</v>
      </c>
      <c r="P16" s="779">
        <f t="shared" si="1"/>
        <v>4140000</v>
      </c>
      <c r="Q16" s="780">
        <f t="shared" si="1"/>
        <v>345000</v>
      </c>
      <c r="R16" s="674"/>
      <c r="S16" s="729"/>
      <c r="T16" s="729"/>
      <c r="U16" s="729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  <c r="AF16" s="729"/>
      <c r="AG16" s="729"/>
    </row>
    <row r="17" spans="1:33">
      <c r="A17" s="729"/>
      <c r="B17" s="775" t="s">
        <v>114</v>
      </c>
      <c r="C17" s="776" t="str">
        <f>IF(ABS(C12-SUM(D36:Q36))&lt;100,"OK","ERROR")</f>
        <v>ERROR</v>
      </c>
      <c r="D17" s="757" t="s">
        <v>115</v>
      </c>
      <c r="E17" s="216"/>
      <c r="F17" s="674"/>
      <c r="G17" s="674"/>
      <c r="H17" s="216"/>
      <c r="I17" s="216"/>
      <c r="J17" s="216"/>
      <c r="K17" s="781"/>
      <c r="L17" s="781"/>
      <c r="M17" s="781"/>
      <c r="N17" s="216"/>
      <c r="O17" s="216"/>
      <c r="P17" s="216"/>
      <c r="Q17" s="216"/>
      <c r="R17" s="674"/>
      <c r="S17" s="729"/>
      <c r="T17" s="729"/>
      <c r="U17" s="729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  <c r="AF17" s="729"/>
      <c r="AG17" s="729"/>
    </row>
    <row r="18" spans="1:33">
      <c r="A18" s="729"/>
      <c r="B18" s="734" t="s">
        <v>116</v>
      </c>
      <c r="C18" s="782">
        <v>1.0900000000000001</v>
      </c>
      <c r="D18" s="757" t="s">
        <v>117</v>
      </c>
      <c r="E18" s="216"/>
      <c r="F18" s="674"/>
      <c r="G18" s="674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674"/>
      <c r="S18" s="729"/>
      <c r="T18" s="729"/>
      <c r="U18" s="729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  <c r="AF18" s="729"/>
      <c r="AG18" s="729"/>
    </row>
    <row r="19" spans="1:33">
      <c r="A19" s="729"/>
      <c r="B19" s="734" t="s">
        <v>118</v>
      </c>
      <c r="C19" s="783">
        <v>0.65</v>
      </c>
      <c r="D19" s="757" t="s">
        <v>119</v>
      </c>
      <c r="E19" s="216"/>
      <c r="F19" s="674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674"/>
      <c r="S19" s="729"/>
      <c r="T19" s="729"/>
      <c r="U19" s="729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  <c r="AF19" s="729"/>
      <c r="AG19" s="729"/>
    </row>
    <row r="20" spans="1:33">
      <c r="A20" s="729"/>
      <c r="B20" s="784" t="s">
        <v>120</v>
      </c>
      <c r="C20" s="785">
        <f>1-C19</f>
        <v>0.35</v>
      </c>
      <c r="D20" s="757" t="s">
        <v>121</v>
      </c>
      <c r="E20" s="216"/>
      <c r="F20" s="674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674"/>
      <c r="S20" s="729"/>
      <c r="T20" s="729"/>
      <c r="U20" s="729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  <c r="AF20" s="729"/>
      <c r="AG20" s="729"/>
    </row>
    <row r="21" spans="1:33">
      <c r="A21" s="729"/>
      <c r="B21" s="184" t="s">
        <v>122</v>
      </c>
      <c r="C21" s="186">
        <v>0.112</v>
      </c>
      <c r="D21" s="757" t="s">
        <v>123</v>
      </c>
      <c r="E21" s="216"/>
      <c r="F21" s="674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674"/>
      <c r="S21" s="729"/>
      <c r="T21" s="729"/>
      <c r="U21" s="729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  <c r="AF21" s="729"/>
      <c r="AG21" s="729"/>
    </row>
    <row r="22" spans="1:33" ht="17.399999999999999">
      <c r="A22" s="729"/>
      <c r="B22" s="458" t="s">
        <v>124</v>
      </c>
      <c r="C22" s="458"/>
      <c r="D22" s="458"/>
      <c r="E22" s="458"/>
      <c r="F22" s="458"/>
      <c r="G22" s="458"/>
      <c r="H22" s="458"/>
      <c r="I22" s="458"/>
      <c r="J22" s="458"/>
      <c r="K22" s="458"/>
      <c r="L22" s="458"/>
      <c r="M22" s="458"/>
      <c r="N22" s="458"/>
      <c r="O22" s="458"/>
      <c r="P22" s="458"/>
      <c r="Q22" s="458"/>
      <c r="R22" s="458"/>
      <c r="S22" s="729"/>
      <c r="T22" s="729"/>
      <c r="U22" s="729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  <c r="AF22" s="729"/>
      <c r="AG22" s="729"/>
    </row>
    <row r="23" spans="1:33">
      <c r="A23" s="729"/>
      <c r="B23" s="216" t="s">
        <v>125</v>
      </c>
      <c r="C23" s="185">
        <v>3600</v>
      </c>
      <c r="D23" s="757" t="s">
        <v>126</v>
      </c>
      <c r="E23" s="216"/>
      <c r="F23" s="674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674"/>
      <c r="S23" s="729"/>
      <c r="T23" s="729"/>
      <c r="U23" s="729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  <c r="AF23" s="729"/>
      <c r="AG23" s="729"/>
    </row>
    <row r="24" spans="1:33">
      <c r="A24" s="729"/>
      <c r="B24" s="216" t="s">
        <v>127</v>
      </c>
      <c r="C24" s="185">
        <v>4400</v>
      </c>
      <c r="D24" s="757" t="s">
        <v>128</v>
      </c>
      <c r="E24" s="216"/>
      <c r="F24" s="674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674"/>
      <c r="S24" s="729"/>
      <c r="T24" s="729"/>
      <c r="U24" s="729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  <c r="AF24" s="729"/>
      <c r="AG24" s="729"/>
    </row>
    <row r="25" spans="1:33">
      <c r="A25" s="729"/>
      <c r="B25" s="216" t="s">
        <v>129</v>
      </c>
      <c r="C25" s="186">
        <v>0.35</v>
      </c>
      <c r="D25" s="757" t="s">
        <v>130</v>
      </c>
      <c r="E25" s="216"/>
      <c r="F25" s="674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674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  <c r="AF25" s="729"/>
      <c r="AG25" s="729"/>
    </row>
    <row r="26" spans="1:33">
      <c r="A26" s="729"/>
      <c r="B26" s="184" t="s">
        <v>131</v>
      </c>
      <c r="C26" s="185">
        <v>325080</v>
      </c>
      <c r="D26" s="757" t="s">
        <v>132</v>
      </c>
      <c r="E26" s="216"/>
      <c r="F26" s="674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674"/>
      <c r="S26" s="729"/>
      <c r="T26" s="729"/>
      <c r="U26" s="729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  <c r="AF26" s="729"/>
      <c r="AG26" s="729"/>
    </row>
    <row r="27" spans="1:33">
      <c r="A27" s="729"/>
      <c r="B27" s="184" t="s">
        <v>133</v>
      </c>
      <c r="C27" s="185">
        <v>3690</v>
      </c>
      <c r="D27" s="757" t="s">
        <v>134</v>
      </c>
      <c r="E27" s="216"/>
      <c r="F27" s="674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674"/>
      <c r="S27" s="729"/>
      <c r="T27" s="729"/>
      <c r="U27" s="729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  <c r="AF27" s="729"/>
      <c r="AG27" s="729"/>
    </row>
    <row r="28" spans="1:33">
      <c r="A28" s="729"/>
      <c r="B28" s="184" t="s">
        <v>135</v>
      </c>
      <c r="C28" s="186">
        <v>0.1</v>
      </c>
      <c r="D28" s="757" t="s">
        <v>136</v>
      </c>
      <c r="E28" s="216"/>
      <c r="F28" s="674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674"/>
      <c r="S28" s="729"/>
      <c r="T28" s="729"/>
      <c r="U28" s="729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  <c r="AF28" s="729"/>
      <c r="AG28" s="729"/>
    </row>
    <row r="29" spans="1:33">
      <c r="A29" s="729"/>
      <c r="B29" s="184" t="s">
        <v>137</v>
      </c>
      <c r="C29" s="186">
        <v>0.12</v>
      </c>
      <c r="D29" s="757" t="s">
        <v>138</v>
      </c>
      <c r="E29" s="166" t="s">
        <v>52</v>
      </c>
      <c r="F29" s="166" t="s">
        <v>53</v>
      </c>
      <c r="G29" s="166" t="s">
        <v>54</v>
      </c>
      <c r="H29" s="166" t="s">
        <v>55</v>
      </c>
      <c r="I29" s="166" t="s">
        <v>56</v>
      </c>
      <c r="J29" s="166" t="s">
        <v>57</v>
      </c>
      <c r="K29" s="166" t="s">
        <v>58</v>
      </c>
      <c r="L29" s="166"/>
      <c r="M29" s="166"/>
      <c r="N29" s="166" t="s">
        <v>59</v>
      </c>
      <c r="O29" s="166" t="s">
        <v>60</v>
      </c>
      <c r="P29" s="166" t="s">
        <v>61</v>
      </c>
      <c r="Q29" s="166" t="s">
        <v>62</v>
      </c>
      <c r="R29" s="166" t="s">
        <v>23</v>
      </c>
      <c r="S29" s="729"/>
      <c r="T29" s="729"/>
      <c r="U29" s="729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  <c r="AF29" s="729"/>
      <c r="AG29" s="729"/>
    </row>
    <row r="30" spans="1:33">
      <c r="A30" s="729"/>
      <c r="B30" s="187" t="s">
        <v>139</v>
      </c>
      <c r="C30" s="188" t="s">
        <v>140</v>
      </c>
      <c r="D30" s="189">
        <v>483452000</v>
      </c>
      <c r="E30" s="189">
        <v>524652000</v>
      </c>
      <c r="F30" s="189">
        <v>646512000</v>
      </c>
      <c r="G30" s="189">
        <v>537676000</v>
      </c>
      <c r="H30" s="189">
        <v>666048000</v>
      </c>
      <c r="I30" s="189">
        <v>585132000</v>
      </c>
      <c r="J30" s="189">
        <v>621584000</v>
      </c>
      <c r="K30" s="189">
        <v>608152000</v>
      </c>
      <c r="L30" s="77"/>
      <c r="M30" s="77"/>
      <c r="N30" s="189">
        <v>727100000</v>
      </c>
      <c r="O30" s="189">
        <v>714212000</v>
      </c>
      <c r="P30" s="189">
        <v>723516000</v>
      </c>
      <c r="Q30" s="189">
        <v>778296000</v>
      </c>
      <c r="R30" s="189">
        <v>7616332000</v>
      </c>
      <c r="S30" s="729"/>
      <c r="T30" s="729"/>
      <c r="U30" s="729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  <c r="AF30" s="729"/>
      <c r="AG30" s="729"/>
    </row>
    <row r="31" spans="1:33">
      <c r="A31" s="729"/>
      <c r="B31" s="216" t="s">
        <v>141</v>
      </c>
      <c r="C31" s="216"/>
      <c r="D31" s="213">
        <f t="shared" ref="D31:K31" si="2">D30/SUM($D$30:$Q$30)</f>
        <v>6.3475699326132312E-2</v>
      </c>
      <c r="E31" s="213">
        <f t="shared" si="2"/>
        <v>6.8885127381526967E-2</v>
      </c>
      <c r="F31" s="213">
        <f t="shared" si="2"/>
        <v>8.4884955120128697E-2</v>
      </c>
      <c r="G31" s="213">
        <f t="shared" si="2"/>
        <v>7.0595136871659483E-2</v>
      </c>
      <c r="H31" s="213">
        <f t="shared" si="2"/>
        <v>8.7449969355327478E-2</v>
      </c>
      <c r="I31" s="213">
        <f t="shared" si="2"/>
        <v>7.6825957691970356E-2</v>
      </c>
      <c r="J31" s="213">
        <f t="shared" si="2"/>
        <v>8.1611988553020015E-2</v>
      </c>
      <c r="K31" s="213">
        <f t="shared" si="2"/>
        <v>7.9848409969523387E-2</v>
      </c>
      <c r="L31" s="786"/>
      <c r="M31" s="786"/>
      <c r="N31" s="213">
        <f>N30/SUM($D$30:$Q$30)</f>
        <v>9.5465901433918587E-2</v>
      </c>
      <c r="O31" s="213">
        <f>O30/SUM($D$30:$Q$30)</f>
        <v>9.377374830824077E-2</v>
      </c>
      <c r="P31" s="213">
        <f>P30/SUM($D$30:$Q$30)</f>
        <v>9.4995333711818231E-2</v>
      </c>
      <c r="Q31" s="213">
        <f>Q30/SUM($D$30:$Q$30)</f>
        <v>0.10218777227673373</v>
      </c>
      <c r="R31" s="213">
        <f t="shared" ref="R31" si="3">SUM(D31:Q31)</f>
        <v>1.0000000000000002</v>
      </c>
      <c r="S31" s="729"/>
      <c r="T31" s="729"/>
      <c r="U31" s="729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  <c r="AF31" s="729"/>
      <c r="AG31" s="729"/>
    </row>
    <row r="32" spans="1:33">
      <c r="A32" s="729"/>
      <c r="B32" s="216" t="s">
        <v>142</v>
      </c>
      <c r="C32" s="787" t="s">
        <v>143</v>
      </c>
      <c r="D32" s="788">
        <v>0.76170839191358797</v>
      </c>
      <c r="E32" s="788">
        <v>0.82662152857832405</v>
      </c>
      <c r="F32" s="788">
        <v>1.01861946144154</v>
      </c>
      <c r="G32" s="788">
        <v>0.84718761962596101</v>
      </c>
      <c r="H32" s="788">
        <v>1.0493890710813101</v>
      </c>
      <c r="I32" s="788">
        <v>0.92190076279325195</v>
      </c>
      <c r="J32" s="788">
        <v>0.97934386263624396</v>
      </c>
      <c r="K32" s="788">
        <v>0.95818091963435204</v>
      </c>
      <c r="L32" s="789"/>
      <c r="M32" s="789"/>
      <c r="N32" s="788">
        <v>1.14591081720879</v>
      </c>
      <c r="O32" s="788">
        <v>1.12511730086689</v>
      </c>
      <c r="P32" s="788">
        <v>1.1397767085167101</v>
      </c>
      <c r="Q32" s="788">
        <v>1.2265049908938901</v>
      </c>
      <c r="R32" s="788">
        <v>12</v>
      </c>
      <c r="S32" s="729"/>
      <c r="T32" s="729"/>
      <c r="U32" s="729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  <c r="AF32" s="729"/>
      <c r="AG32" s="729"/>
    </row>
    <row r="33" spans="1:33">
      <c r="A33" s="729"/>
      <c r="B33" s="790" t="s">
        <v>144</v>
      </c>
      <c r="C33" s="791">
        <f>SUM(D31:Q31)</f>
        <v>1.0000000000000002</v>
      </c>
      <c r="D33" s="792"/>
      <c r="E33" s="790"/>
      <c r="F33" s="790"/>
      <c r="G33" s="790"/>
      <c r="H33" s="790"/>
      <c r="I33" s="790"/>
      <c r="J33" s="790"/>
      <c r="K33" s="790"/>
      <c r="L33" s="790"/>
      <c r="M33" s="790"/>
      <c r="N33" s="790"/>
      <c r="O33" s="790"/>
      <c r="P33" s="790"/>
      <c r="Q33" s="790"/>
      <c r="R33" s="793">
        <v>1</v>
      </c>
      <c r="S33" s="729"/>
      <c r="T33" s="729"/>
      <c r="U33" s="729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  <c r="AF33" s="729"/>
      <c r="AG33" s="729"/>
    </row>
    <row r="34" spans="1:33">
      <c r="A34" s="729"/>
      <c r="B34" s="216"/>
      <c r="C34" s="378">
        <v>0</v>
      </c>
      <c r="D34" s="753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378">
        <v>0</v>
      </c>
      <c r="S34" s="729"/>
      <c r="T34" s="729"/>
      <c r="U34" s="729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  <c r="AF34" s="729"/>
      <c r="AG34" s="729"/>
    </row>
    <row r="35" spans="1:33" ht="30" customHeight="1">
      <c r="A35" s="729"/>
      <c r="B35" s="467" t="s">
        <v>145</v>
      </c>
      <c r="C35" s="461"/>
      <c r="D35" s="461" t="s">
        <v>51</v>
      </c>
      <c r="E35" s="461" t="s">
        <v>52</v>
      </c>
      <c r="F35" s="461" t="s">
        <v>53</v>
      </c>
      <c r="G35" s="461" t="s">
        <v>54</v>
      </c>
      <c r="H35" s="461" t="s">
        <v>55</v>
      </c>
      <c r="I35" s="461" t="s">
        <v>56</v>
      </c>
      <c r="J35" s="461" t="s">
        <v>57</v>
      </c>
      <c r="K35" s="461" t="s">
        <v>58</v>
      </c>
      <c r="L35" s="461"/>
      <c r="M35" s="461"/>
      <c r="N35" s="461" t="s">
        <v>59</v>
      </c>
      <c r="O35" s="461" t="s">
        <v>60</v>
      </c>
      <c r="P35" s="461" t="s">
        <v>61</v>
      </c>
      <c r="Q35" s="461" t="s">
        <v>62</v>
      </c>
      <c r="R35" s="461" t="s">
        <v>23</v>
      </c>
      <c r="S35" s="729"/>
      <c r="T35" s="729"/>
      <c r="U35" s="729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  <c r="AF35" s="729"/>
      <c r="AG35" s="729"/>
    </row>
    <row r="36" spans="1:33">
      <c r="A36" s="729"/>
      <c r="B36" s="190" t="s">
        <v>146</v>
      </c>
      <c r="C36" s="191" t="s">
        <v>146</v>
      </c>
      <c r="D36" s="794">
        <v>176186.48699999999</v>
      </c>
      <c r="E36" s="794">
        <v>175305.554565</v>
      </c>
      <c r="F36" s="794">
        <v>175643.791792175</v>
      </c>
      <c r="G36" s="794">
        <v>230718.11989194501</v>
      </c>
      <c r="H36" s="794">
        <v>264031.05470671499</v>
      </c>
      <c r="I36" s="794">
        <v>275673.04386727</v>
      </c>
      <c r="J36" s="794">
        <v>274294.68153338501</v>
      </c>
      <c r="K36" s="794">
        <v>285467.08082098502</v>
      </c>
      <c r="L36" s="795"/>
      <c r="M36" s="795"/>
      <c r="N36" s="794">
        <v>284039.73890504497</v>
      </c>
      <c r="O36" s="794">
        <v>282619.54110522498</v>
      </c>
      <c r="P36" s="794">
        <v>281206.450878345</v>
      </c>
      <c r="Q36" s="794">
        <v>279800.41300662502</v>
      </c>
      <c r="R36" s="794">
        <v>2984985.9519196399</v>
      </c>
      <c r="S36" s="729"/>
      <c r="T36" s="729"/>
      <c r="U36" s="729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  <c r="AF36" s="729"/>
      <c r="AG36" s="729"/>
    </row>
    <row r="37" spans="1:33">
      <c r="A37" s="729"/>
      <c r="B37" s="796" t="s">
        <v>147</v>
      </c>
      <c r="C37" s="216" t="s">
        <v>148</v>
      </c>
      <c r="D37" s="797">
        <v>2984985.9519196399</v>
      </c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798">
        <v>2984985.9519196399</v>
      </c>
      <c r="S37" s="729"/>
      <c r="T37" s="729"/>
      <c r="U37" s="729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  <c r="AF37" s="729"/>
      <c r="AG37" s="729"/>
    </row>
    <row r="38" spans="1:33">
      <c r="A38" s="729"/>
      <c r="B38" s="464" t="s">
        <v>149</v>
      </c>
      <c r="C38" s="464"/>
      <c r="D38" s="464"/>
      <c r="E38" s="464"/>
      <c r="F38" s="464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  <c r="AF38" s="729"/>
      <c r="AG38" s="729"/>
    </row>
    <row r="39" spans="1:33">
      <c r="A39" s="729"/>
      <c r="B39" s="187" t="s">
        <v>150</v>
      </c>
      <c r="C39" s="188" t="s">
        <v>151</v>
      </c>
      <c r="D39" s="192" t="s">
        <v>152</v>
      </c>
      <c r="E39" s="216"/>
      <c r="F39" s="216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674"/>
      <c r="R39" s="674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  <c r="AF39" s="729"/>
      <c r="AG39" s="729"/>
    </row>
    <row r="40" spans="1:33">
      <c r="A40" s="729"/>
      <c r="B40" s="216" t="s">
        <v>153</v>
      </c>
      <c r="C40" s="799">
        <f>C135</f>
        <v>3795959000</v>
      </c>
      <c r="D40" s="800">
        <f>C40*(1+$C$11)</f>
        <v>3989552908.9999995</v>
      </c>
      <c r="E40" s="796" t="s">
        <v>154</v>
      </c>
      <c r="F40" s="216"/>
      <c r="G40" s="674"/>
      <c r="H40" s="674"/>
      <c r="I40" s="674"/>
      <c r="J40" s="674"/>
      <c r="K40" s="674"/>
      <c r="L40" s="674"/>
      <c r="M40" s="674"/>
      <c r="N40" s="674"/>
      <c r="O40" s="674"/>
      <c r="P40" s="674"/>
      <c r="Q40" s="674"/>
      <c r="R40" s="674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  <c r="AF40" s="729"/>
      <c r="AG40" s="729"/>
    </row>
    <row r="41" spans="1:33">
      <c r="A41" s="729"/>
      <c r="B41" s="216"/>
      <c r="C41" s="798">
        <v>3795959000</v>
      </c>
      <c r="D41" s="801">
        <v>3989552909</v>
      </c>
      <c r="E41" s="216"/>
      <c r="F41" s="216"/>
      <c r="G41" s="674"/>
      <c r="H41" s="674"/>
      <c r="I41" s="674"/>
      <c r="J41" s="674"/>
      <c r="K41" s="674"/>
      <c r="L41" s="674"/>
      <c r="M41" s="674"/>
      <c r="N41" s="674"/>
      <c r="O41" s="674"/>
      <c r="P41" s="674"/>
      <c r="Q41" s="674"/>
      <c r="R41" s="674"/>
      <c r="S41" s="729"/>
      <c r="T41" s="729"/>
      <c r="U41" s="729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  <c r="AF41" s="729"/>
      <c r="AG41" s="729"/>
    </row>
    <row r="42" spans="1:33">
      <c r="A42" s="729"/>
      <c r="B42" s="216" t="s">
        <v>155</v>
      </c>
      <c r="C42" s="798">
        <v>0</v>
      </c>
      <c r="D42" s="801">
        <v>0</v>
      </c>
      <c r="E42" s="216"/>
      <c r="F42" s="216"/>
      <c r="G42" s="674"/>
      <c r="H42" s="674"/>
      <c r="I42" s="674"/>
      <c r="J42" s="674"/>
      <c r="K42" s="674"/>
      <c r="L42" s="674"/>
      <c r="M42" s="674"/>
      <c r="N42" s="674"/>
      <c r="O42" s="674"/>
      <c r="P42" s="674"/>
      <c r="Q42" s="674"/>
      <c r="R42" s="674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  <c r="AF42" s="729"/>
      <c r="AG42" s="729"/>
    </row>
    <row r="43" spans="1:33">
      <c r="A43" s="729"/>
      <c r="B43" s="216"/>
      <c r="C43" s="802"/>
      <c r="D43" s="803"/>
      <c r="E43" s="216"/>
      <c r="F43" s="216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729"/>
      <c r="T43" s="729"/>
      <c r="U43" s="729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  <c r="AF43" s="729"/>
      <c r="AG43" s="729"/>
    </row>
    <row r="44" spans="1:33">
      <c r="A44" s="729"/>
      <c r="B44" s="216" t="s">
        <v>156</v>
      </c>
      <c r="C44" s="799">
        <f>C139</f>
        <v>1545956000</v>
      </c>
      <c r="D44" s="800">
        <f>C44*(1+$C$11)</f>
        <v>1624799756</v>
      </c>
      <c r="E44" s="796" t="s">
        <v>157</v>
      </c>
      <c r="F44" s="216"/>
      <c r="G44" s="674"/>
      <c r="H44" s="674"/>
      <c r="I44" s="674"/>
      <c r="J44" s="674"/>
      <c r="K44" s="674"/>
      <c r="L44" s="674"/>
      <c r="M44" s="674"/>
      <c r="N44" s="674"/>
      <c r="O44" s="674"/>
      <c r="P44" s="674"/>
      <c r="Q44" s="674"/>
      <c r="R44" s="674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  <c r="AF44" s="729"/>
      <c r="AG44" s="729"/>
    </row>
    <row r="45" spans="1:33">
      <c r="A45" s="729"/>
      <c r="B45" s="216" t="s">
        <v>158</v>
      </c>
      <c r="C45" s="798">
        <v>0</v>
      </c>
      <c r="D45" s="801">
        <v>0</v>
      </c>
      <c r="E45" s="216"/>
      <c r="F45" s="216"/>
      <c r="G45" s="674"/>
      <c r="H45" s="674"/>
      <c r="I45" s="674"/>
      <c r="J45" s="674"/>
      <c r="K45" s="674"/>
      <c r="L45" s="674"/>
      <c r="M45" s="674"/>
      <c r="N45" s="674"/>
      <c r="O45" s="674"/>
      <c r="P45" s="674"/>
      <c r="Q45" s="674"/>
      <c r="R45" s="674"/>
      <c r="S45" s="729"/>
      <c r="T45" s="729"/>
      <c r="U45" s="729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  <c r="AF45" s="729"/>
      <c r="AG45" s="729"/>
    </row>
    <row r="46" spans="1:33">
      <c r="A46" s="729"/>
      <c r="B46" s="216"/>
      <c r="C46" s="798">
        <v>1545956000</v>
      </c>
      <c r="D46" s="801">
        <v>1624799756</v>
      </c>
      <c r="E46" s="216"/>
      <c r="F46" s="216"/>
      <c r="G46" s="674"/>
      <c r="H46" s="674"/>
      <c r="I46" s="674"/>
      <c r="J46" s="674"/>
      <c r="K46" s="674"/>
      <c r="L46" s="674"/>
      <c r="M46" s="674"/>
      <c r="N46" s="674"/>
      <c r="O46" s="674"/>
      <c r="P46" s="674"/>
      <c r="Q46" s="674"/>
      <c r="R46" s="674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  <c r="AF46" s="729"/>
      <c r="AG46" s="729"/>
    </row>
    <row r="47" spans="1:33">
      <c r="A47" s="729"/>
      <c r="B47" s="216"/>
      <c r="C47" s="802"/>
      <c r="D47" s="803"/>
      <c r="E47" s="216"/>
      <c r="F47" s="216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729"/>
      <c r="T47" s="729"/>
      <c r="U47" s="729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  <c r="AF47" s="729"/>
      <c r="AG47" s="729"/>
    </row>
    <row r="48" spans="1:33">
      <c r="A48" s="729"/>
      <c r="B48" s="216" t="s">
        <v>159</v>
      </c>
      <c r="C48" s="799">
        <f>C142</f>
        <v>2481297000</v>
      </c>
      <c r="D48" s="800">
        <f>C48*(1+$C$11)</f>
        <v>2607843147</v>
      </c>
      <c r="E48" s="796" t="s">
        <v>160</v>
      </c>
      <c r="F48" s="216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729"/>
      <c r="T48" s="729"/>
      <c r="U48" s="729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  <c r="AF48" s="729"/>
      <c r="AG48" s="729"/>
    </row>
    <row r="49" spans="1:33">
      <c r="A49" s="729"/>
      <c r="B49" s="216" t="s">
        <v>161</v>
      </c>
      <c r="C49" s="798">
        <v>0</v>
      </c>
      <c r="D49" s="801">
        <v>0</v>
      </c>
      <c r="E49" s="216"/>
      <c r="F49" s="216"/>
      <c r="G49" s="674"/>
      <c r="H49" s="674"/>
      <c r="I49" s="674"/>
      <c r="J49" s="674"/>
      <c r="K49" s="674"/>
      <c r="L49" s="674"/>
      <c r="M49" s="674"/>
      <c r="N49" s="674"/>
      <c r="O49" s="674"/>
      <c r="P49" s="674"/>
      <c r="Q49" s="674"/>
      <c r="R49" s="674"/>
      <c r="S49" s="729"/>
      <c r="T49" s="729"/>
      <c r="U49" s="729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  <c r="AF49" s="729"/>
      <c r="AG49" s="729"/>
    </row>
    <row r="50" spans="1:33">
      <c r="A50" s="729"/>
      <c r="B50" s="216" t="s">
        <v>162</v>
      </c>
      <c r="C50" s="798">
        <v>0</v>
      </c>
      <c r="D50" s="801">
        <v>0</v>
      </c>
      <c r="E50" s="216"/>
      <c r="F50" s="216"/>
      <c r="G50" s="674"/>
      <c r="H50" s="674"/>
      <c r="I50" s="674"/>
      <c r="J50" s="674"/>
      <c r="K50" s="674"/>
      <c r="L50" s="674"/>
      <c r="M50" s="674"/>
      <c r="N50" s="674"/>
      <c r="O50" s="674"/>
      <c r="P50" s="674"/>
      <c r="Q50" s="674"/>
      <c r="R50" s="674"/>
      <c r="S50" s="729"/>
      <c r="T50" s="729"/>
      <c r="U50" s="729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  <c r="AF50" s="729"/>
      <c r="AG50" s="729"/>
    </row>
    <row r="51" spans="1:33">
      <c r="A51" s="729"/>
      <c r="B51" s="216"/>
      <c r="C51" s="798">
        <v>2481297000</v>
      </c>
      <c r="D51" s="801">
        <v>2607843147</v>
      </c>
      <c r="E51" s="216"/>
      <c r="F51" s="216"/>
      <c r="G51" s="674"/>
      <c r="H51" s="674"/>
      <c r="I51" s="674"/>
      <c r="J51" s="674"/>
      <c r="K51" s="674"/>
      <c r="L51" s="674"/>
      <c r="M51" s="674"/>
      <c r="N51" s="674"/>
      <c r="O51" s="674"/>
      <c r="P51" s="674"/>
      <c r="Q51" s="674"/>
      <c r="R51" s="674"/>
      <c r="S51" s="729"/>
      <c r="T51" s="729"/>
      <c r="U51" s="729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  <c r="AF51" s="729"/>
      <c r="AG51" s="729"/>
    </row>
    <row r="52" spans="1:33">
      <c r="A52" s="729"/>
      <c r="B52" s="216"/>
      <c r="C52" s="802"/>
      <c r="D52" s="803"/>
      <c r="E52" s="216"/>
      <c r="F52" s="216"/>
      <c r="G52" s="674"/>
      <c r="H52" s="674"/>
      <c r="I52" s="674"/>
      <c r="J52" s="674"/>
      <c r="K52" s="674"/>
      <c r="L52" s="674"/>
      <c r="M52" s="674"/>
      <c r="N52" s="674"/>
      <c r="O52" s="674"/>
      <c r="P52" s="674"/>
      <c r="Q52" s="674"/>
      <c r="R52" s="674"/>
      <c r="S52" s="729"/>
      <c r="T52" s="729"/>
      <c r="U52" s="729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  <c r="AF52" s="729"/>
      <c r="AG52" s="729"/>
    </row>
    <row r="53" spans="1:33">
      <c r="A53" s="729"/>
      <c r="B53" s="216" t="s">
        <v>163</v>
      </c>
      <c r="C53" s="799">
        <f>C146</f>
        <v>133664000</v>
      </c>
      <c r="D53" s="800">
        <f>C53*(1+$C$11)</f>
        <v>140480864</v>
      </c>
      <c r="E53" s="796" t="s">
        <v>164</v>
      </c>
      <c r="F53" s="216"/>
      <c r="G53" s="674"/>
      <c r="H53" s="674"/>
      <c r="I53" s="674"/>
      <c r="J53" s="674"/>
      <c r="K53" s="674"/>
      <c r="L53" s="674"/>
      <c r="M53" s="674"/>
      <c r="N53" s="674"/>
      <c r="O53" s="674"/>
      <c r="P53" s="674"/>
      <c r="Q53" s="674"/>
      <c r="R53" s="674"/>
      <c r="S53" s="729"/>
      <c r="T53" s="729"/>
      <c r="U53" s="729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  <c r="AF53" s="729"/>
      <c r="AG53" s="729"/>
    </row>
    <row r="54" spans="1:33">
      <c r="A54" s="729"/>
      <c r="B54" s="216" t="s">
        <v>165</v>
      </c>
      <c r="C54" s="799">
        <f>C150</f>
        <v>92043000</v>
      </c>
      <c r="D54" s="800">
        <f>C54*(1+$C$11)</f>
        <v>96737193</v>
      </c>
      <c r="E54" s="796" t="s">
        <v>166</v>
      </c>
      <c r="F54" s="216"/>
      <c r="G54" s="674"/>
      <c r="H54" s="674"/>
      <c r="I54" s="674"/>
      <c r="J54" s="674"/>
      <c r="K54" s="674"/>
      <c r="L54" s="674"/>
      <c r="M54" s="674"/>
      <c r="N54" s="674"/>
      <c r="O54" s="674"/>
      <c r="P54" s="674"/>
      <c r="Q54" s="674"/>
      <c r="R54" s="674"/>
      <c r="S54" s="729"/>
      <c r="T54" s="729"/>
      <c r="U54" s="729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  <c r="AF54" s="729"/>
      <c r="AG54" s="729"/>
    </row>
    <row r="55" spans="1:33">
      <c r="A55" s="729"/>
      <c r="B55" s="216" t="s">
        <v>167</v>
      </c>
      <c r="C55" s="799">
        <f>C141</f>
        <v>1290488000</v>
      </c>
      <c r="D55" s="800">
        <f>C55*(1+$C$11)</f>
        <v>1356302888</v>
      </c>
      <c r="E55" s="796" t="s">
        <v>168</v>
      </c>
      <c r="F55" s="216"/>
      <c r="G55" s="674"/>
      <c r="H55" s="674"/>
      <c r="I55" s="674"/>
      <c r="J55" s="674"/>
      <c r="K55" s="674"/>
      <c r="L55" s="674"/>
      <c r="M55" s="674"/>
      <c r="N55" s="674"/>
      <c r="O55" s="674"/>
      <c r="P55" s="674"/>
      <c r="Q55" s="674"/>
      <c r="R55" s="674"/>
      <c r="S55" s="729"/>
      <c r="T55" s="729"/>
      <c r="U55" s="729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  <c r="AF55" s="729"/>
      <c r="AG55" s="729"/>
    </row>
    <row r="56" spans="1:33">
      <c r="A56" s="729"/>
      <c r="B56" s="464" t="s">
        <v>169</v>
      </c>
      <c r="C56" s="464"/>
      <c r="D56" s="464"/>
      <c r="E56" s="464"/>
      <c r="F56" s="464"/>
      <c r="G56" s="464"/>
      <c r="H56" s="464"/>
      <c r="I56" s="464"/>
      <c r="J56" s="464"/>
      <c r="K56" s="464"/>
      <c r="L56" s="464"/>
      <c r="M56" s="464"/>
      <c r="N56" s="464"/>
      <c r="O56" s="464"/>
      <c r="P56" s="464"/>
      <c r="Q56" s="464"/>
      <c r="R56" s="464"/>
      <c r="S56" s="729"/>
      <c r="T56" s="729"/>
      <c r="U56" s="729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  <c r="AF56" s="729"/>
      <c r="AG56" s="729"/>
    </row>
    <row r="57" spans="1:33" ht="30" customHeight="1">
      <c r="A57" s="729"/>
      <c r="B57" s="496" t="s">
        <v>170</v>
      </c>
      <c r="C57" s="495" t="s">
        <v>171</v>
      </c>
      <c r="D57" s="495" t="s">
        <v>172</v>
      </c>
      <c r="E57" s="495" t="s">
        <v>173</v>
      </c>
      <c r="F57" s="461"/>
      <c r="G57" s="461"/>
      <c r="H57" s="461"/>
      <c r="I57" s="461"/>
      <c r="J57" s="461"/>
      <c r="K57" s="461"/>
      <c r="L57" s="461"/>
      <c r="M57" s="461"/>
      <c r="N57" s="461"/>
      <c r="O57" s="461"/>
      <c r="P57" s="461"/>
      <c r="Q57" s="461"/>
      <c r="R57" s="461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  <c r="AF57" s="729"/>
      <c r="AG57" s="729"/>
    </row>
    <row r="58" spans="1:33">
      <c r="A58" s="729"/>
      <c r="B58" s="216" t="s">
        <v>17</v>
      </c>
      <c r="C58" s="801">
        <v>176435.77</v>
      </c>
      <c r="D58" s="186">
        <v>0.1</v>
      </c>
      <c r="E58" s="186">
        <v>-0.1</v>
      </c>
      <c r="F58" s="216"/>
      <c r="G58" s="674"/>
      <c r="H58" s="674"/>
      <c r="I58" s="674"/>
      <c r="J58" s="674"/>
      <c r="K58" s="674"/>
      <c r="L58" s="674"/>
      <c r="M58" s="674"/>
      <c r="N58" s="674"/>
      <c r="O58" s="674"/>
      <c r="P58" s="674"/>
      <c r="Q58" s="674"/>
      <c r="R58" s="674"/>
      <c r="S58" s="729"/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  <c r="AF58" s="729"/>
      <c r="AG58" s="729"/>
    </row>
    <row r="59" spans="1:33">
      <c r="A59" s="729"/>
      <c r="B59" s="216" t="s">
        <v>174</v>
      </c>
      <c r="C59" s="801">
        <v>36800.019999999997</v>
      </c>
      <c r="D59" s="186">
        <v>0.25</v>
      </c>
      <c r="E59" s="186">
        <v>-0.2</v>
      </c>
      <c r="F59" s="216"/>
      <c r="G59" s="674"/>
      <c r="H59" s="674"/>
      <c r="I59" s="674"/>
      <c r="J59" s="674"/>
      <c r="K59" s="674"/>
      <c r="L59" s="674"/>
      <c r="M59" s="674"/>
      <c r="N59" s="674"/>
      <c r="O59" s="674"/>
      <c r="P59" s="674"/>
      <c r="Q59" s="674"/>
      <c r="R59" s="674"/>
      <c r="S59" s="729"/>
      <c r="T59" s="729"/>
      <c r="U59" s="729"/>
      <c r="V59" s="729"/>
      <c r="W59" s="729"/>
      <c r="X59" s="729"/>
      <c r="Y59" s="729"/>
      <c r="Z59" s="729"/>
      <c r="AA59" s="729"/>
      <c r="AB59" s="729"/>
      <c r="AC59" s="729"/>
      <c r="AD59" s="729"/>
      <c r="AE59" s="729"/>
      <c r="AF59" s="729"/>
      <c r="AG59" s="729"/>
    </row>
    <row r="60" spans="1:33">
      <c r="A60" s="729"/>
      <c r="B60" s="216" t="s">
        <v>19</v>
      </c>
      <c r="C60" s="801">
        <v>110400.07</v>
      </c>
      <c r="D60" s="186">
        <v>0.25</v>
      </c>
      <c r="E60" s="186">
        <v>-0.25</v>
      </c>
      <c r="F60" s="216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674"/>
      <c r="R60" s="674"/>
      <c r="S60" s="729"/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  <c r="AF60" s="729"/>
      <c r="AG60" s="729"/>
    </row>
    <row r="61" spans="1:33">
      <c r="A61" s="729"/>
      <c r="B61" s="216" t="s">
        <v>175</v>
      </c>
      <c r="C61" s="801">
        <v>102187.77</v>
      </c>
      <c r="D61" s="186">
        <v>0.3</v>
      </c>
      <c r="E61" s="186">
        <v>-0.3</v>
      </c>
      <c r="F61" s="216"/>
      <c r="G61" s="674"/>
      <c r="H61" s="674"/>
      <c r="I61" s="674"/>
      <c r="J61" s="674"/>
      <c r="K61" s="674"/>
      <c r="L61" s="674"/>
      <c r="M61" s="674"/>
      <c r="N61" s="674"/>
      <c r="O61" s="674"/>
      <c r="P61" s="674"/>
      <c r="Q61" s="674"/>
      <c r="R61" s="674"/>
      <c r="S61" s="729"/>
      <c r="T61" s="729"/>
      <c r="U61" s="729"/>
      <c r="V61" s="729"/>
      <c r="W61" s="729"/>
      <c r="X61" s="729"/>
      <c r="Y61" s="729"/>
      <c r="Z61" s="729"/>
      <c r="AA61" s="729"/>
      <c r="AB61" s="729"/>
      <c r="AC61" s="729"/>
      <c r="AD61" s="729"/>
      <c r="AE61" s="729"/>
      <c r="AF61" s="729"/>
      <c r="AG61" s="729"/>
    </row>
    <row r="62" spans="1:33">
      <c r="A62" s="729"/>
      <c r="B62" s="216" t="s">
        <v>21</v>
      </c>
      <c r="C62" s="801">
        <v>10512.22</v>
      </c>
      <c r="D62" s="186">
        <v>0.15</v>
      </c>
      <c r="E62" s="186">
        <v>-0.15</v>
      </c>
      <c r="F62" s="216"/>
      <c r="G62" s="674"/>
      <c r="H62" s="674"/>
      <c r="I62" s="674"/>
      <c r="J62" s="674"/>
      <c r="K62" s="674"/>
      <c r="L62" s="674"/>
      <c r="M62" s="674"/>
      <c r="N62" s="674"/>
      <c r="O62" s="674"/>
      <c r="P62" s="674"/>
      <c r="Q62" s="674"/>
      <c r="R62" s="674"/>
      <c r="S62" s="729"/>
      <c r="T62" s="729"/>
      <c r="U62" s="729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  <c r="AF62" s="729"/>
      <c r="AG62" s="729"/>
    </row>
    <row r="63" spans="1:33">
      <c r="A63" s="729"/>
      <c r="B63" s="216" t="s">
        <v>22</v>
      </c>
      <c r="C63" s="801">
        <v>5660.42</v>
      </c>
      <c r="D63" s="186">
        <v>0.15</v>
      </c>
      <c r="E63" s="186">
        <v>-0.15</v>
      </c>
      <c r="F63" s="216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674"/>
      <c r="R63" s="674"/>
      <c r="S63" s="729"/>
      <c r="T63" s="729"/>
      <c r="U63" s="729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  <c r="AF63" s="729"/>
      <c r="AG63" s="729"/>
    </row>
    <row r="64" spans="1:33">
      <c r="A64" s="729"/>
      <c r="B64" s="742" t="s">
        <v>176</v>
      </c>
      <c r="C64" s="804">
        <f>SUM(C58:C63)</f>
        <v>441996.26999999996</v>
      </c>
      <c r="D64" s="805" t="s">
        <v>177</v>
      </c>
      <c r="E64" s="806" t="s">
        <v>178</v>
      </c>
      <c r="F64" s="742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  <c r="AF64" s="729"/>
      <c r="AG64" s="729"/>
    </row>
    <row r="65" spans="1:33">
      <c r="A65" s="729"/>
      <c r="B65" s="216"/>
      <c r="C65" s="216"/>
      <c r="D65" s="753"/>
      <c r="E65" s="216"/>
      <c r="F65" s="216"/>
      <c r="G65" s="674"/>
      <c r="H65" s="674"/>
      <c r="I65" s="674"/>
      <c r="J65" s="674"/>
      <c r="K65" s="674"/>
      <c r="L65" s="674"/>
      <c r="M65" s="674"/>
      <c r="N65" s="674"/>
      <c r="O65" s="674"/>
      <c r="P65" s="674"/>
      <c r="Q65" s="674"/>
      <c r="R65" s="674"/>
      <c r="S65" s="729"/>
      <c r="T65" s="729"/>
      <c r="U65" s="729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  <c r="AF65" s="729"/>
      <c r="AG65" s="729"/>
    </row>
    <row r="66" spans="1:33">
      <c r="A66" s="729"/>
      <c r="B66" s="464" t="s">
        <v>179</v>
      </c>
      <c r="C66" s="464"/>
      <c r="D66" s="464"/>
      <c r="E66" s="464"/>
      <c r="F66" s="464"/>
      <c r="G66" s="464"/>
      <c r="H66" s="464"/>
      <c r="I66" s="464"/>
      <c r="J66" s="464"/>
      <c r="K66" s="464"/>
      <c r="L66" s="464"/>
      <c r="M66" s="464"/>
      <c r="N66" s="464"/>
      <c r="O66" s="464"/>
      <c r="P66" s="464"/>
      <c r="Q66" s="464"/>
      <c r="R66" s="464"/>
      <c r="S66" s="729"/>
      <c r="T66" s="729"/>
      <c r="U66" s="729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  <c r="AF66" s="729"/>
      <c r="AG66" s="729"/>
    </row>
    <row r="67" spans="1:33" ht="30" customHeight="1">
      <c r="A67" s="729"/>
      <c r="B67" s="467" t="s">
        <v>180</v>
      </c>
      <c r="C67" s="461" t="s">
        <v>181</v>
      </c>
      <c r="D67" s="461" t="s">
        <v>182</v>
      </c>
      <c r="E67" s="461" t="s">
        <v>183</v>
      </c>
      <c r="F67" s="461"/>
      <c r="G67" s="461"/>
      <c r="H67" s="461"/>
      <c r="I67" s="461"/>
      <c r="J67" s="461"/>
      <c r="K67" s="461"/>
      <c r="L67" s="461"/>
      <c r="M67" s="461"/>
      <c r="N67" s="461"/>
      <c r="O67" s="461"/>
      <c r="P67" s="461"/>
      <c r="Q67" s="461"/>
      <c r="R67" s="461"/>
      <c r="S67" s="729"/>
      <c r="T67" s="729"/>
      <c r="U67" s="729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  <c r="AF67" s="729"/>
      <c r="AG67" s="729"/>
    </row>
    <row r="68" spans="1:33">
      <c r="A68" s="729"/>
      <c r="B68" s="216" t="s">
        <v>184</v>
      </c>
      <c r="C68" s="807">
        <v>1</v>
      </c>
      <c r="D68" s="378">
        <v>4531575</v>
      </c>
      <c r="E68" s="216" t="s">
        <v>185</v>
      </c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808"/>
      <c r="Q68" s="216"/>
      <c r="R68" s="674"/>
      <c r="S68" s="729"/>
      <c r="T68" s="729"/>
      <c r="U68" s="729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  <c r="AF68" s="729"/>
      <c r="AG68" s="729"/>
    </row>
    <row r="69" spans="1:33">
      <c r="A69" s="729"/>
      <c r="B69" s="216" t="s">
        <v>186</v>
      </c>
      <c r="C69" s="807">
        <v>2</v>
      </c>
      <c r="D69" s="378">
        <v>2748792</v>
      </c>
      <c r="E69" s="216" t="s">
        <v>185</v>
      </c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674"/>
      <c r="S69" s="729"/>
      <c r="T69" s="729"/>
      <c r="U69" s="729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  <c r="AF69" s="729"/>
      <c r="AG69" s="729"/>
    </row>
    <row r="70" spans="1:33">
      <c r="A70" s="729"/>
      <c r="B70" s="216" t="s">
        <v>187</v>
      </c>
      <c r="C70" s="807">
        <v>1</v>
      </c>
      <c r="D70" s="378">
        <v>6781385</v>
      </c>
      <c r="E70" s="216" t="s">
        <v>188</v>
      </c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674"/>
      <c r="S70" s="729"/>
      <c r="T70" s="729"/>
      <c r="U70" s="729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  <c r="AF70" s="729"/>
      <c r="AG70" s="729"/>
    </row>
    <row r="71" spans="1:33">
      <c r="A71" s="729"/>
      <c r="B71" s="216" t="s">
        <v>189</v>
      </c>
      <c r="C71" s="809" t="s">
        <v>190</v>
      </c>
      <c r="D71" s="216" t="s">
        <v>191</v>
      </c>
      <c r="E71" s="216" t="s">
        <v>192</v>
      </c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674"/>
      <c r="S71" s="729"/>
      <c r="T71" s="729"/>
      <c r="U71" s="729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  <c r="AF71" s="729"/>
      <c r="AG71" s="729"/>
    </row>
    <row r="72" spans="1:33">
      <c r="A72" s="729"/>
      <c r="B72" s="216"/>
      <c r="C72" s="216"/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674"/>
      <c r="S72" s="729"/>
      <c r="T72" s="729"/>
      <c r="U72" s="729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  <c r="AF72" s="729"/>
      <c r="AG72" s="729"/>
    </row>
    <row r="73" spans="1:33">
      <c r="A73" s="729"/>
      <c r="B73" s="190" t="s">
        <v>193</v>
      </c>
      <c r="C73" s="191" t="s">
        <v>194</v>
      </c>
      <c r="D73" s="78" t="s">
        <v>195</v>
      </c>
      <c r="E73" s="191" t="s">
        <v>196</v>
      </c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674"/>
      <c r="S73" s="729"/>
      <c r="T73" s="729"/>
      <c r="U73" s="729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  <c r="AF73" s="729"/>
      <c r="AG73" s="729"/>
    </row>
    <row r="74" spans="1:33">
      <c r="A74" s="729"/>
      <c r="B74" s="741" t="s">
        <v>197</v>
      </c>
      <c r="C74" s="810">
        <v>0</v>
      </c>
      <c r="D74" s="811">
        <v>0</v>
      </c>
      <c r="E74" s="378">
        <v>0</v>
      </c>
      <c r="F74" s="79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674"/>
      <c r="S74" s="729"/>
      <c r="T74" s="729"/>
      <c r="U74" s="729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  <c r="AF74" s="729"/>
      <c r="AG74" s="729"/>
    </row>
    <row r="75" spans="1:33">
      <c r="A75" s="729"/>
      <c r="B75" s="741" t="s">
        <v>198</v>
      </c>
      <c r="C75" s="807">
        <v>1</v>
      </c>
      <c r="D75" s="812">
        <f>C75*D80</f>
        <v>10029159</v>
      </c>
      <c r="E75" s="749">
        <f>C75*D81</f>
        <v>6781385</v>
      </c>
      <c r="F75" s="796" t="s">
        <v>199</v>
      </c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674"/>
      <c r="S75" s="729"/>
      <c r="T75" s="729"/>
      <c r="U75" s="729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  <c r="AF75" s="729"/>
      <c r="AG75" s="729"/>
    </row>
    <row r="76" spans="1:33">
      <c r="A76" s="729"/>
      <c r="B76" s="741" t="s">
        <v>200</v>
      </c>
      <c r="C76" s="807">
        <v>2</v>
      </c>
      <c r="D76" s="812">
        <f>C76*D80</f>
        <v>20058318</v>
      </c>
      <c r="E76" s="749">
        <f>C76*D81</f>
        <v>13562770</v>
      </c>
      <c r="F76" s="796" t="s">
        <v>201</v>
      </c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674"/>
      <c r="S76" s="729"/>
      <c r="T76" s="729"/>
      <c r="U76" s="729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  <c r="AF76" s="729"/>
      <c r="AG76" s="729"/>
    </row>
    <row r="77" spans="1:33">
      <c r="A77" s="729"/>
      <c r="B77" s="741" t="s">
        <v>202</v>
      </c>
      <c r="C77" s="807">
        <v>3</v>
      </c>
      <c r="D77" s="812">
        <f>C77*D80</f>
        <v>30087477</v>
      </c>
      <c r="E77" s="749">
        <f>C77*D81</f>
        <v>20344155</v>
      </c>
      <c r="F77" s="796" t="s">
        <v>203</v>
      </c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674"/>
      <c r="S77" s="729"/>
      <c r="T77" s="729"/>
      <c r="U77" s="729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  <c r="AF77" s="729"/>
      <c r="AG77" s="729"/>
    </row>
    <row r="78" spans="1:33">
      <c r="A78" s="729"/>
      <c r="B78" s="741"/>
      <c r="C78" s="216"/>
      <c r="D78" s="813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674"/>
      <c r="S78" s="729"/>
      <c r="T78" s="729"/>
      <c r="U78" s="729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  <c r="AF78" s="729"/>
      <c r="AG78" s="729"/>
    </row>
    <row r="79" spans="1:33">
      <c r="A79" s="729"/>
      <c r="B79" s="814" t="s">
        <v>204</v>
      </c>
      <c r="C79" s="682"/>
      <c r="D79" s="815"/>
      <c r="E79" s="682"/>
      <c r="F79" s="682"/>
      <c r="G79" s="682"/>
      <c r="H79" s="682"/>
      <c r="I79" s="682"/>
      <c r="J79" s="682"/>
      <c r="K79" s="682"/>
      <c r="L79" s="682"/>
      <c r="M79" s="682"/>
      <c r="N79" s="682"/>
      <c r="O79" s="682"/>
      <c r="P79" s="682"/>
      <c r="Q79" s="682"/>
      <c r="R79" s="682"/>
      <c r="S79" s="729"/>
      <c r="T79" s="729"/>
      <c r="U79" s="729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  <c r="AF79" s="729"/>
      <c r="AG79" s="729"/>
    </row>
    <row r="80" spans="1:33">
      <c r="A80" s="729"/>
      <c r="B80" s="741" t="s">
        <v>205</v>
      </c>
      <c r="C80" s="216"/>
      <c r="D80" s="811">
        <f t="array" ref="D80">SUMPRODUCT((E68:E69="COGS → Mano de Obra Directa")*C68:C69*D68:D69)</f>
        <v>10029159</v>
      </c>
      <c r="E80" s="216" t="s">
        <v>206</v>
      </c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674"/>
      <c r="S80" s="729"/>
      <c r="T80" s="729"/>
      <c r="U80" s="729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  <c r="AF80" s="729"/>
      <c r="AG80" s="729"/>
    </row>
    <row r="81" spans="1:33">
      <c r="A81" s="729"/>
      <c r="B81" s="741" t="s">
        <v>207</v>
      </c>
      <c r="C81" s="216"/>
      <c r="D81" s="811">
        <f t="array" ref="D81">SUMPRODUCT((E70="Ventas → Gastos de Personal")*C70*D70)</f>
        <v>6781385</v>
      </c>
      <c r="E81" s="216" t="s">
        <v>208</v>
      </c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674"/>
      <c r="S81" s="729"/>
      <c r="T81" s="729"/>
      <c r="U81" s="729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  <c r="AF81" s="729"/>
      <c r="AG81" s="729"/>
    </row>
    <row r="82" spans="1:33">
      <c r="A82" s="729"/>
      <c r="B82" s="216"/>
      <c r="C82" s="216"/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674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  <c r="AF82" s="729"/>
      <c r="AG82" s="729"/>
    </row>
    <row r="83" spans="1:33">
      <c r="A83" s="729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4"/>
      <c r="P83" s="674"/>
      <c r="Q83" s="674"/>
      <c r="R83" s="674"/>
      <c r="S83" s="729"/>
      <c r="T83" s="729"/>
      <c r="U83" s="729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  <c r="AF83" s="729"/>
      <c r="AG83" s="729"/>
    </row>
    <row r="84" spans="1:33">
      <c r="A84" s="729"/>
      <c r="B84" s="498" t="s">
        <v>1147</v>
      </c>
      <c r="C84" s="498"/>
      <c r="D84" s="498"/>
      <c r="E84" s="498"/>
      <c r="F84" s="498"/>
      <c r="G84" s="464"/>
      <c r="H84" s="464"/>
      <c r="I84" s="498"/>
      <c r="J84" s="464"/>
      <c r="K84" s="464"/>
      <c r="L84" s="464"/>
      <c r="M84" s="464"/>
      <c r="N84" s="464"/>
      <c r="O84" s="464"/>
      <c r="P84" s="464"/>
      <c r="Q84" s="464"/>
      <c r="R84" s="464"/>
      <c r="S84" s="729"/>
      <c r="T84" s="729"/>
      <c r="U84" s="729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  <c r="AF84" s="729"/>
      <c r="AG84" s="729"/>
    </row>
    <row r="85" spans="1:33">
      <c r="A85" s="729"/>
      <c r="B85" s="497" t="s">
        <v>1148</v>
      </c>
      <c r="C85" s="497"/>
      <c r="D85" s="497"/>
      <c r="E85" s="497"/>
      <c r="F85" s="497"/>
      <c r="G85" s="682"/>
      <c r="H85" s="682"/>
      <c r="I85" s="497"/>
      <c r="J85" s="682"/>
      <c r="K85" s="682"/>
      <c r="L85" s="682"/>
      <c r="M85" s="682"/>
      <c r="N85" s="682"/>
      <c r="O85" s="682"/>
      <c r="P85" s="682"/>
      <c r="Q85" s="682"/>
      <c r="R85" s="682"/>
      <c r="S85" s="729"/>
      <c r="T85" s="729"/>
      <c r="U85" s="72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  <c r="AF85" s="729"/>
      <c r="AG85" s="729"/>
    </row>
    <row r="86" spans="1:33">
      <c r="A86" s="729"/>
      <c r="B86" s="194"/>
      <c r="C86" s="194"/>
      <c r="D86" s="194"/>
      <c r="E86" s="194"/>
      <c r="F86" s="194"/>
      <c r="G86" s="674"/>
      <c r="H86" s="674"/>
      <c r="I86" s="184"/>
      <c r="J86" s="674"/>
      <c r="K86" s="674"/>
      <c r="L86" s="674"/>
      <c r="M86" s="674"/>
      <c r="N86" s="674"/>
      <c r="O86" s="674"/>
      <c r="P86" s="674"/>
      <c r="Q86" s="674"/>
      <c r="R86" s="674"/>
      <c r="S86" s="729"/>
      <c r="T86" s="729"/>
      <c r="U86" s="729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  <c r="AF86" s="729"/>
      <c r="AG86" s="729"/>
    </row>
    <row r="87" spans="1:33">
      <c r="A87" s="729"/>
      <c r="B87" s="184"/>
      <c r="C87" s="184"/>
      <c r="D87" s="184"/>
      <c r="E87" s="184"/>
      <c r="F87" s="184"/>
      <c r="G87" s="674"/>
      <c r="H87" s="674"/>
      <c r="I87" s="184"/>
      <c r="J87" s="674"/>
      <c r="K87" s="674"/>
      <c r="L87" s="674"/>
      <c r="M87" s="674"/>
      <c r="N87" s="674"/>
      <c r="O87" s="674"/>
      <c r="P87" s="674"/>
      <c r="Q87" s="674"/>
      <c r="R87" s="674"/>
      <c r="S87" s="729"/>
      <c r="T87" s="729"/>
      <c r="U87" s="729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  <c r="AF87" s="729"/>
      <c r="AG87" s="729"/>
    </row>
    <row r="88" spans="1:33">
      <c r="A88" s="729"/>
      <c r="B88" s="498" t="s">
        <v>1149</v>
      </c>
      <c r="C88" s="498"/>
      <c r="D88" s="498"/>
      <c r="E88" s="498"/>
      <c r="F88" s="498"/>
      <c r="G88" s="464"/>
      <c r="H88" s="464"/>
      <c r="I88" s="464"/>
      <c r="J88" s="498"/>
      <c r="K88" s="464"/>
      <c r="L88" s="464"/>
      <c r="M88" s="464"/>
      <c r="N88" s="464"/>
      <c r="O88" s="464"/>
      <c r="P88" s="464"/>
      <c r="Q88" s="464"/>
      <c r="R88" s="464"/>
      <c r="S88" s="729"/>
      <c r="T88" s="729"/>
      <c r="U88" s="729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  <c r="AF88" s="729"/>
      <c r="AG88" s="729"/>
    </row>
    <row r="89" spans="1:33">
      <c r="A89" s="729"/>
      <c r="B89" s="184"/>
      <c r="C89" s="184"/>
      <c r="D89" s="184"/>
      <c r="E89" s="184"/>
      <c r="F89" s="184"/>
      <c r="G89" s="674"/>
      <c r="H89" s="674"/>
      <c r="I89" s="674"/>
      <c r="J89" s="674"/>
      <c r="K89" s="674"/>
      <c r="L89" s="674"/>
      <c r="M89" s="674"/>
      <c r="N89" s="674"/>
      <c r="O89" s="678"/>
      <c r="P89" s="674"/>
      <c r="Q89" s="674"/>
      <c r="R89" s="674"/>
      <c r="S89" s="729"/>
      <c r="T89" s="729"/>
      <c r="U89" s="729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  <c r="AF89" s="729"/>
      <c r="AG89" s="729"/>
    </row>
    <row r="90" spans="1:33" ht="30" customHeight="1">
      <c r="A90" s="729"/>
      <c r="B90" s="500" t="s">
        <v>210</v>
      </c>
      <c r="C90" s="499" t="s">
        <v>211</v>
      </c>
      <c r="D90" s="499" t="s">
        <v>212</v>
      </c>
      <c r="E90" s="499" t="s">
        <v>213</v>
      </c>
      <c r="F90" s="499" t="s">
        <v>214</v>
      </c>
      <c r="G90" s="499" t="s">
        <v>215</v>
      </c>
      <c r="H90" s="499" t="s">
        <v>867</v>
      </c>
      <c r="I90" s="499" t="s">
        <v>880</v>
      </c>
      <c r="J90" s="499" t="s">
        <v>1144</v>
      </c>
      <c r="K90" s="499" t="s">
        <v>1146</v>
      </c>
      <c r="L90" s="499" t="s">
        <v>216</v>
      </c>
      <c r="M90" s="461"/>
      <c r="N90" s="499" t="s">
        <v>217</v>
      </c>
      <c r="O90" s="461"/>
      <c r="P90" s="461"/>
      <c r="Q90" s="461"/>
      <c r="R90" s="461"/>
      <c r="S90" s="729"/>
      <c r="T90" s="729"/>
      <c r="U90" s="729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  <c r="AF90" s="729"/>
      <c r="AG90" s="729"/>
    </row>
    <row r="91" spans="1:33">
      <c r="A91" s="729"/>
      <c r="B91" s="628" t="s">
        <v>868</v>
      </c>
      <c r="C91" s="629"/>
      <c r="D91" s="629"/>
      <c r="E91" s="629"/>
      <c r="F91" s="629"/>
      <c r="G91" s="629"/>
      <c r="H91" s="629"/>
      <c r="I91" s="629"/>
      <c r="J91" s="629"/>
      <c r="K91" s="629"/>
      <c r="L91" s="630"/>
      <c r="M91" s="627"/>
      <c r="N91" s="631"/>
      <c r="O91" s="627"/>
      <c r="P91" s="627"/>
      <c r="Q91" s="627"/>
      <c r="R91" s="627"/>
      <c r="S91" s="729"/>
      <c r="T91" s="729"/>
      <c r="U91" s="729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  <c r="AF91" s="729"/>
      <c r="AG91" s="729"/>
    </row>
    <row r="92" spans="1:33">
      <c r="A92" s="729"/>
      <c r="B92" s="632" t="s">
        <v>869</v>
      </c>
      <c r="C92" s="633"/>
      <c r="D92" s="633"/>
      <c r="E92" s="633"/>
      <c r="F92" s="633"/>
      <c r="G92" s="633"/>
      <c r="H92" s="633"/>
      <c r="I92" s="633"/>
      <c r="J92" s="633"/>
      <c r="K92" s="633"/>
      <c r="L92" s="634"/>
      <c r="M92" s="627"/>
      <c r="N92" s="635"/>
      <c r="O92" s="627"/>
      <c r="P92" s="627"/>
      <c r="Q92" s="627"/>
      <c r="R92" s="627"/>
      <c r="S92" s="729"/>
      <c r="T92" s="729"/>
      <c r="U92" s="72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  <c r="AF92" s="729"/>
      <c r="AG92" s="729"/>
    </row>
    <row r="93" spans="1:33">
      <c r="A93" s="729"/>
      <c r="B93" s="196" t="s">
        <v>218</v>
      </c>
      <c r="C93" s="46"/>
      <c r="D93" s="48">
        <v>425594626</v>
      </c>
      <c r="E93" s="48">
        <v>120301539</v>
      </c>
      <c r="F93" s="48">
        <v>269488711</v>
      </c>
      <c r="G93" s="48">
        <v>357757161</v>
      </c>
      <c r="H93" s="48">
        <v>244822345</v>
      </c>
      <c r="I93" s="48">
        <v>115441362</v>
      </c>
      <c r="J93" s="48">
        <v>174266926</v>
      </c>
      <c r="K93" s="60">
        <f>J93-I93</f>
        <v>58825564</v>
      </c>
      <c r="L93" s="343">
        <f>IF(I93=0,"-",(J93-I93)/ABS(I93))</f>
        <v>0.50957094563731842</v>
      </c>
      <c r="M93" s="674"/>
      <c r="N93" s="50" t="s">
        <v>219</v>
      </c>
      <c r="O93" s="678"/>
      <c r="P93" s="674"/>
      <c r="Q93" s="674"/>
      <c r="R93" s="674"/>
      <c r="S93" s="729"/>
      <c r="T93" s="729"/>
      <c r="U93" s="729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  <c r="AF93" s="729"/>
      <c r="AG93" s="729"/>
    </row>
    <row r="94" spans="1:33">
      <c r="A94" s="729"/>
      <c r="B94" s="197" t="s">
        <v>220</v>
      </c>
      <c r="C94" s="51"/>
      <c r="D94" s="53">
        <v>92548595</v>
      </c>
      <c r="E94" s="53">
        <v>93008823</v>
      </c>
      <c r="F94" s="53">
        <v>93705293</v>
      </c>
      <c r="G94" s="53">
        <v>94574157</v>
      </c>
      <c r="H94" s="53">
        <v>175907394</v>
      </c>
      <c r="I94" s="53">
        <v>77569331</v>
      </c>
      <c r="J94" s="53">
        <v>78270032</v>
      </c>
      <c r="K94" s="51">
        <f>J94-I94</f>
        <v>700701</v>
      </c>
      <c r="L94" s="344">
        <f>IF(I94=0,"-",(J94-I94)/ABS(I94))</f>
        <v>9.0332221635378036E-3</v>
      </c>
      <c r="M94" s="674"/>
      <c r="N94" s="54" t="s">
        <v>221</v>
      </c>
      <c r="O94" s="678"/>
      <c r="P94" s="674"/>
      <c r="Q94" s="674"/>
      <c r="R94" s="674"/>
      <c r="S94" s="729"/>
      <c r="T94" s="729"/>
      <c r="U94" s="729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  <c r="AF94" s="729"/>
      <c r="AG94" s="729"/>
    </row>
    <row r="95" spans="1:33">
      <c r="A95" s="729"/>
      <c r="B95" s="198" t="s">
        <v>222</v>
      </c>
      <c r="C95" s="55"/>
      <c r="D95" s="56">
        <v>4922286580</v>
      </c>
      <c r="E95" s="56">
        <v>5157064970</v>
      </c>
      <c r="F95" s="56">
        <v>5088484812</v>
      </c>
      <c r="G95" s="56">
        <v>5045610659</v>
      </c>
      <c r="H95" s="56">
        <v>5144264271</v>
      </c>
      <c r="I95" s="56">
        <v>5297287438</v>
      </c>
      <c r="J95" s="56">
        <v>5218154960</v>
      </c>
      <c r="K95" s="345">
        <f>J95-I95</f>
        <v>-79132478</v>
      </c>
      <c r="L95" s="346">
        <f>IF(I95=0,"-",(J95-I95)/ABS(I95))</f>
        <v>-1.4938301711238951E-2</v>
      </c>
      <c r="M95" s="674"/>
      <c r="N95" s="57" t="s">
        <v>223</v>
      </c>
      <c r="O95" s="678"/>
      <c r="P95" s="674"/>
      <c r="Q95" s="674"/>
      <c r="R95" s="674"/>
      <c r="S95" s="729"/>
      <c r="T95" s="729"/>
      <c r="U95" s="72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  <c r="AF95" s="729"/>
      <c r="AG95" s="729"/>
    </row>
    <row r="96" spans="1:33">
      <c r="A96" s="729"/>
      <c r="B96" s="197" t="s">
        <v>224</v>
      </c>
      <c r="C96" s="51"/>
      <c r="D96" s="53">
        <v>1590540829</v>
      </c>
      <c r="E96" s="53">
        <v>1797557189</v>
      </c>
      <c r="F96" s="53">
        <v>1690589814</v>
      </c>
      <c r="G96" s="53">
        <v>1612589704</v>
      </c>
      <c r="H96" s="53">
        <v>1675346692</v>
      </c>
      <c r="I96" s="53">
        <v>1799431102</v>
      </c>
      <c r="J96" s="53">
        <v>1688457915</v>
      </c>
      <c r="K96" s="51">
        <f>J96-I96</f>
        <v>-110973187</v>
      </c>
      <c r="L96" s="344">
        <f>IF(I96=0,"-",(J96-I96)/ABS(I96))</f>
        <v>-6.167126203201527E-2</v>
      </c>
      <c r="M96" s="674"/>
      <c r="N96" s="54" t="s">
        <v>223</v>
      </c>
      <c r="O96" s="678"/>
      <c r="P96" s="674"/>
      <c r="Q96" s="674"/>
      <c r="R96" s="674"/>
      <c r="S96" s="729"/>
      <c r="T96" s="729"/>
      <c r="U96" s="72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  <c r="AF96" s="729"/>
      <c r="AG96" s="729"/>
    </row>
    <row r="97" spans="1:33">
      <c r="A97" s="729"/>
      <c r="B97" s="198" t="s">
        <v>225</v>
      </c>
      <c r="C97" s="55"/>
      <c r="D97" s="56">
        <v>3331745751</v>
      </c>
      <c r="E97" s="56">
        <v>3359507781</v>
      </c>
      <c r="F97" s="56">
        <v>3397894998</v>
      </c>
      <c r="G97" s="56">
        <v>3433020955</v>
      </c>
      <c r="H97" s="345">
        <f>H95-H96</f>
        <v>3468917579</v>
      </c>
      <c r="I97" s="345">
        <f>I95-I96</f>
        <v>3497856336</v>
      </c>
      <c r="J97" s="345">
        <f>J95-J96</f>
        <v>3529697045</v>
      </c>
      <c r="K97" s="345">
        <f>J97-I97</f>
        <v>31840709</v>
      </c>
      <c r="L97" s="346">
        <f>IF(I97=0,"-",(J97-I97)/ABS(I97))</f>
        <v>9.102920743855273E-3</v>
      </c>
      <c r="M97" s="674"/>
      <c r="N97" s="57" t="s">
        <v>223</v>
      </c>
      <c r="O97" s="678"/>
      <c r="P97" s="674"/>
      <c r="Q97" s="674"/>
      <c r="R97" s="674"/>
      <c r="S97" s="729"/>
      <c r="T97" s="729"/>
      <c r="U97" s="729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  <c r="AF97" s="729"/>
      <c r="AG97" s="729"/>
    </row>
    <row r="98" spans="1:33" ht="15" thickBot="1">
      <c r="A98" s="729"/>
      <c r="B98" s="199" t="s">
        <v>226</v>
      </c>
      <c r="C98" s="58"/>
      <c r="D98" s="58">
        <f t="shared" ref="D98:I98" si="4">SUM(D93:D95)</f>
        <v>5440429801</v>
      </c>
      <c r="E98" s="58">
        <f t="shared" si="4"/>
        <v>5370375332</v>
      </c>
      <c r="F98" s="58">
        <f t="shared" si="4"/>
        <v>5451678816</v>
      </c>
      <c r="G98" s="58">
        <f t="shared" si="4"/>
        <v>5497941977</v>
      </c>
      <c r="H98" s="58">
        <f t="shared" si="4"/>
        <v>5564994010</v>
      </c>
      <c r="I98" s="58">
        <f t="shared" si="4"/>
        <v>5490298131</v>
      </c>
      <c r="J98" s="58">
        <f>SUM(J93:J95)</f>
        <v>5470691918</v>
      </c>
      <c r="K98" s="58">
        <f>J98-I98</f>
        <v>-19606213</v>
      </c>
      <c r="L98" s="347">
        <f>IF(I98=0,"-",(J98-I98)/ABS(I98))</f>
        <v>-3.5710652740872078E-3</v>
      </c>
      <c r="M98" s="816"/>
      <c r="N98" s="59" t="s">
        <v>227</v>
      </c>
      <c r="O98" s="816"/>
      <c r="P98" s="816"/>
      <c r="Q98" s="816"/>
      <c r="R98" s="816"/>
      <c r="S98" s="729"/>
      <c r="T98" s="729"/>
      <c r="U98" s="729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  <c r="AF98" s="729"/>
      <c r="AG98" s="729"/>
    </row>
    <row r="99" spans="1:33" ht="15" thickTop="1">
      <c r="A99" s="729"/>
      <c r="B99" s="196"/>
      <c r="C99" s="60"/>
      <c r="D99" s="47"/>
      <c r="E99" s="47"/>
      <c r="F99" s="47"/>
      <c r="G99" s="47"/>
      <c r="H99" s="47"/>
      <c r="I99" s="47"/>
      <c r="J99" s="47"/>
      <c r="K99" s="47"/>
      <c r="L99" s="49"/>
      <c r="M99" s="674"/>
      <c r="N99" s="50"/>
      <c r="O99" s="678"/>
      <c r="P99" s="674"/>
      <c r="Q99" s="674"/>
      <c r="R99" s="674"/>
      <c r="S99" s="729"/>
      <c r="T99" s="729"/>
      <c r="U99" s="729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  <c r="AF99" s="729"/>
      <c r="AG99" s="729"/>
    </row>
    <row r="100" spans="1:33">
      <c r="A100" s="729"/>
      <c r="B100" s="636" t="s">
        <v>870</v>
      </c>
      <c r="C100" s="637"/>
      <c r="D100" s="637"/>
      <c r="E100" s="637"/>
      <c r="F100" s="637"/>
      <c r="G100" s="637"/>
      <c r="H100" s="637"/>
      <c r="I100" s="637"/>
      <c r="J100" s="637"/>
      <c r="K100" s="637"/>
      <c r="L100" s="638"/>
      <c r="M100" s="627"/>
      <c r="N100" s="639"/>
      <c r="O100" s="627"/>
      <c r="P100" s="627"/>
      <c r="Q100" s="627"/>
      <c r="R100" s="627"/>
      <c r="S100" s="729"/>
      <c r="T100" s="729"/>
      <c r="U100" s="729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  <c r="AF100" s="729"/>
      <c r="AG100" s="729"/>
    </row>
    <row r="101" spans="1:33">
      <c r="A101" s="729"/>
      <c r="B101" s="196" t="s">
        <v>228</v>
      </c>
      <c r="C101" s="60"/>
      <c r="D101" s="48">
        <v>216571954</v>
      </c>
      <c r="E101" s="48">
        <v>222840954</v>
      </c>
      <c r="F101" s="48">
        <v>223130002</v>
      </c>
      <c r="G101" s="48">
        <v>218182533</v>
      </c>
      <c r="H101" s="48">
        <v>225975514</v>
      </c>
      <c r="I101" s="48">
        <v>225975514</v>
      </c>
      <c r="J101" s="48">
        <v>225975514</v>
      </c>
      <c r="K101" s="60">
        <f>J101-I101</f>
        <v>0</v>
      </c>
      <c r="L101" s="343">
        <f>IF(I101=0,"-",(J101-I101)/ABS(I101))</f>
        <v>0</v>
      </c>
      <c r="M101" s="674"/>
      <c r="N101" s="50" t="s">
        <v>229</v>
      </c>
      <c r="O101" s="678"/>
      <c r="P101" s="674"/>
      <c r="Q101" s="674"/>
      <c r="R101" s="674"/>
      <c r="S101" s="729"/>
      <c r="T101" s="729"/>
      <c r="U101" s="72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  <c r="AF101" s="729"/>
      <c r="AG101" s="729"/>
    </row>
    <row r="102" spans="1:33">
      <c r="A102" s="729"/>
      <c r="B102" s="197" t="s">
        <v>230</v>
      </c>
      <c r="C102" s="51"/>
      <c r="D102" s="53">
        <v>410000000</v>
      </c>
      <c r="E102" s="53">
        <v>410000000</v>
      </c>
      <c r="F102" s="53">
        <v>410000000</v>
      </c>
      <c r="G102" s="53">
        <v>410000000</v>
      </c>
      <c r="H102" s="53">
        <v>410000000</v>
      </c>
      <c r="I102" s="53">
        <v>410000000</v>
      </c>
      <c r="J102" s="53">
        <v>410000000</v>
      </c>
      <c r="K102" s="51">
        <f>J102-I102</f>
        <v>0</v>
      </c>
      <c r="L102" s="344">
        <f>IF(I102=0,"-",(J102-I102)/ABS(I102))</f>
        <v>0</v>
      </c>
      <c r="M102" s="674"/>
      <c r="N102" s="54" t="s">
        <v>231</v>
      </c>
      <c r="O102" s="678"/>
      <c r="P102" s="674"/>
      <c r="Q102" s="674"/>
      <c r="R102" s="674"/>
      <c r="S102" s="729"/>
      <c r="T102" s="729"/>
      <c r="U102" s="729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  <c r="AF102" s="729"/>
      <c r="AG102" s="729"/>
    </row>
    <row r="103" spans="1:33" ht="15" thickBot="1">
      <c r="A103" s="729"/>
      <c r="B103" s="501" t="s">
        <v>232</v>
      </c>
      <c r="C103" s="502"/>
      <c r="D103" s="503">
        <f t="shared" ref="D103:I103" si="5">SUM(D101:D102)</f>
        <v>626571954</v>
      </c>
      <c r="E103" s="503">
        <f t="shared" si="5"/>
        <v>632840954</v>
      </c>
      <c r="F103" s="503">
        <f t="shared" si="5"/>
        <v>633130002</v>
      </c>
      <c r="G103" s="503">
        <f t="shared" si="5"/>
        <v>628182533</v>
      </c>
      <c r="H103" s="503">
        <f t="shared" si="5"/>
        <v>635975514</v>
      </c>
      <c r="I103" s="503">
        <f t="shared" si="5"/>
        <v>635975514</v>
      </c>
      <c r="J103" s="503">
        <f>SUM(J101:J102)</f>
        <v>635975514</v>
      </c>
      <c r="K103" s="503">
        <f>J103-I103</f>
        <v>0</v>
      </c>
      <c r="L103" s="504">
        <f>IF(I103=0,"-",(J103-I103)/ABS(I103))</f>
        <v>0</v>
      </c>
      <c r="M103" s="679"/>
      <c r="N103" s="505" t="s">
        <v>227</v>
      </c>
      <c r="O103" s="679"/>
      <c r="P103" s="679"/>
      <c r="Q103" s="679"/>
      <c r="R103" s="679"/>
      <c r="S103" s="729"/>
      <c r="T103" s="729"/>
      <c r="U103" s="72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  <c r="AF103" s="729"/>
      <c r="AG103" s="729"/>
    </row>
    <row r="104" spans="1:33" ht="15.6" thickTop="1" thickBot="1">
      <c r="A104" s="729"/>
      <c r="B104" s="506" t="s">
        <v>233</v>
      </c>
      <c r="C104" s="507"/>
      <c r="D104" s="508">
        <f t="shared" ref="D104:I104" si="6">SUM(D98,D103)</f>
        <v>6067001755</v>
      </c>
      <c r="E104" s="508">
        <f t="shared" si="6"/>
        <v>6003216286</v>
      </c>
      <c r="F104" s="508">
        <f t="shared" si="6"/>
        <v>6084808818</v>
      </c>
      <c r="G104" s="508">
        <f t="shared" si="6"/>
        <v>6126124510</v>
      </c>
      <c r="H104" s="508">
        <f t="shared" si="6"/>
        <v>6200969524</v>
      </c>
      <c r="I104" s="508">
        <f t="shared" si="6"/>
        <v>6126273645</v>
      </c>
      <c r="J104" s="508">
        <f>SUM(J98,J103)</f>
        <v>6106667432</v>
      </c>
      <c r="K104" s="508">
        <f>J104-I104</f>
        <v>-19606213</v>
      </c>
      <c r="L104" s="509">
        <f>IF(I104=0,"-",(J104-I104)/ABS(I104))</f>
        <v>-3.2003488802694515E-3</v>
      </c>
      <c r="M104" s="817"/>
      <c r="N104" s="510" t="s">
        <v>234</v>
      </c>
      <c r="O104" s="817"/>
      <c r="P104" s="817"/>
      <c r="Q104" s="817"/>
      <c r="R104" s="817"/>
      <c r="S104" s="729"/>
      <c r="T104" s="729"/>
      <c r="U104" s="729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  <c r="AF104" s="729"/>
      <c r="AG104" s="729"/>
    </row>
    <row r="105" spans="1:33" ht="15" thickTop="1">
      <c r="A105" s="729"/>
      <c r="B105" s="196"/>
      <c r="C105" s="60"/>
      <c r="D105" s="47"/>
      <c r="E105" s="47"/>
      <c r="F105" s="47"/>
      <c r="G105" s="47"/>
      <c r="H105" s="47"/>
      <c r="I105" s="47"/>
      <c r="J105" s="47"/>
      <c r="K105" s="47"/>
      <c r="L105" s="49"/>
      <c r="M105" s="674"/>
      <c r="N105" s="50"/>
      <c r="O105" s="678"/>
      <c r="P105" s="674"/>
      <c r="Q105" s="674"/>
      <c r="R105" s="674"/>
      <c r="S105" s="729"/>
      <c r="T105" s="729"/>
      <c r="U105" s="729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  <c r="AF105" s="729"/>
      <c r="AG105" s="729"/>
    </row>
    <row r="106" spans="1:33">
      <c r="A106" s="729"/>
      <c r="B106" s="636" t="s">
        <v>871</v>
      </c>
      <c r="C106" s="637"/>
      <c r="D106" s="637"/>
      <c r="E106" s="637"/>
      <c r="F106" s="637"/>
      <c r="G106" s="637"/>
      <c r="H106" s="637"/>
      <c r="I106" s="637"/>
      <c r="J106" s="637"/>
      <c r="K106" s="637"/>
      <c r="L106" s="638"/>
      <c r="M106" s="627"/>
      <c r="N106" s="639"/>
      <c r="O106" s="627"/>
      <c r="P106" s="627"/>
      <c r="Q106" s="627"/>
      <c r="R106" s="627"/>
      <c r="S106" s="729"/>
      <c r="T106" s="729"/>
      <c r="U106" s="729"/>
      <c r="V106" s="729"/>
      <c r="W106" s="729"/>
      <c r="X106" s="729"/>
      <c r="Y106" s="729"/>
      <c r="Z106" s="729"/>
      <c r="AA106" s="729"/>
      <c r="AB106" s="729"/>
      <c r="AC106" s="729"/>
      <c r="AD106" s="729"/>
      <c r="AE106" s="729"/>
      <c r="AF106" s="729"/>
      <c r="AG106" s="729"/>
    </row>
    <row r="107" spans="1:33">
      <c r="A107" s="729"/>
      <c r="B107" s="636" t="s">
        <v>872</v>
      </c>
      <c r="C107" s="637"/>
      <c r="D107" s="637"/>
      <c r="E107" s="637"/>
      <c r="F107" s="637"/>
      <c r="G107" s="637"/>
      <c r="H107" s="637"/>
      <c r="I107" s="637"/>
      <c r="J107" s="637"/>
      <c r="K107" s="637"/>
      <c r="L107" s="638"/>
      <c r="M107" s="627"/>
      <c r="N107" s="639"/>
      <c r="O107" s="627"/>
      <c r="P107" s="627"/>
      <c r="Q107" s="627"/>
      <c r="R107" s="627"/>
      <c r="S107" s="729"/>
      <c r="T107" s="729"/>
      <c r="U107" s="729"/>
      <c r="V107" s="729"/>
      <c r="W107" s="729"/>
      <c r="X107" s="729"/>
      <c r="Y107" s="729"/>
      <c r="Z107" s="729"/>
      <c r="AA107" s="729"/>
      <c r="AB107" s="729"/>
      <c r="AC107" s="729"/>
      <c r="AD107" s="729"/>
      <c r="AE107" s="729"/>
      <c r="AF107" s="729"/>
      <c r="AG107" s="729"/>
    </row>
    <row r="108" spans="1:33">
      <c r="A108" s="729"/>
      <c r="B108" s="197" t="s">
        <v>235</v>
      </c>
      <c r="C108" s="51"/>
      <c r="D108" s="53">
        <v>72783461</v>
      </c>
      <c r="E108" s="53">
        <v>101365099</v>
      </c>
      <c r="F108" s="53">
        <v>104189980</v>
      </c>
      <c r="G108" s="53">
        <v>112563470</v>
      </c>
      <c r="H108" s="53">
        <v>99589767</v>
      </c>
      <c r="I108" s="53">
        <v>83503947</v>
      </c>
      <c r="J108" s="53">
        <v>104555195</v>
      </c>
      <c r="K108" s="51">
        <f>J108-I108</f>
        <v>21051248</v>
      </c>
      <c r="L108" s="344">
        <f>IF(I108=0,"-",(J108-I108)/ABS(I108))</f>
        <v>0.25209883791481136</v>
      </c>
      <c r="M108" s="674"/>
      <c r="N108" s="54" t="s">
        <v>236</v>
      </c>
      <c r="O108" s="678"/>
      <c r="P108" s="674"/>
      <c r="Q108" s="674"/>
      <c r="R108" s="674"/>
      <c r="S108" s="729"/>
      <c r="T108" s="729"/>
      <c r="U108" s="729"/>
      <c r="V108" s="729"/>
      <c r="W108" s="729"/>
      <c r="X108" s="729"/>
      <c r="Y108" s="729"/>
      <c r="Z108" s="729"/>
      <c r="AA108" s="729"/>
      <c r="AB108" s="729"/>
      <c r="AC108" s="729"/>
      <c r="AD108" s="729"/>
      <c r="AE108" s="729"/>
      <c r="AF108" s="729"/>
      <c r="AG108" s="729"/>
    </row>
    <row r="109" spans="1:33">
      <c r="A109" s="729"/>
      <c r="B109" s="196" t="s">
        <v>237</v>
      </c>
      <c r="C109" s="46"/>
      <c r="D109" s="48">
        <v>502128241</v>
      </c>
      <c r="E109" s="48">
        <v>493782297</v>
      </c>
      <c r="F109" s="48">
        <v>571037565</v>
      </c>
      <c r="G109" s="48">
        <v>563841763</v>
      </c>
      <c r="H109" s="48">
        <v>502311050</v>
      </c>
      <c r="I109" s="48">
        <v>483390906</v>
      </c>
      <c r="J109" s="60">
        <f>SUM(J110:J111)</f>
        <v>403760304</v>
      </c>
      <c r="K109" s="60">
        <f>J109-I109</f>
        <v>-79630602</v>
      </c>
      <c r="L109" s="343">
        <f>IF(I109=0,"-",(J109-I109)/ABS(I109))</f>
        <v>-0.16473334730049721</v>
      </c>
      <c r="M109" s="674"/>
      <c r="N109" s="50" t="s">
        <v>238</v>
      </c>
      <c r="O109" s="678"/>
      <c r="P109" s="674"/>
      <c r="Q109" s="674"/>
      <c r="R109" s="674"/>
      <c r="S109" s="729"/>
      <c r="T109" s="729"/>
      <c r="U109" s="729"/>
      <c r="V109" s="729"/>
      <c r="W109" s="729"/>
      <c r="X109" s="729"/>
      <c r="Y109" s="729"/>
      <c r="Z109" s="729"/>
      <c r="AA109" s="729"/>
      <c r="AB109" s="729"/>
      <c r="AC109" s="729"/>
      <c r="AD109" s="729"/>
      <c r="AE109" s="729"/>
      <c r="AF109" s="729"/>
      <c r="AG109" s="729"/>
    </row>
    <row r="110" spans="1:33">
      <c r="A110" s="729"/>
      <c r="B110" s="198" t="s">
        <v>873</v>
      </c>
      <c r="C110" s="56">
        <v>544703000</v>
      </c>
      <c r="D110" s="56">
        <v>496565120</v>
      </c>
      <c r="E110" s="56">
        <v>476073840.19999999</v>
      </c>
      <c r="F110" s="56">
        <v>555649841</v>
      </c>
      <c r="G110" s="56">
        <v>547636362</v>
      </c>
      <c r="H110" s="56">
        <v>500381050</v>
      </c>
      <c r="I110" s="56">
        <v>469974009</v>
      </c>
      <c r="J110" s="56">
        <v>384931931</v>
      </c>
      <c r="K110" s="345">
        <f>J110-I110</f>
        <v>-85042078</v>
      </c>
      <c r="L110" s="346">
        <f>IF(I110=0,"-",(J110-I110)/ABS(I110))</f>
        <v>-0.18095059805743427</v>
      </c>
      <c r="M110" s="674"/>
      <c r="N110" s="57" t="s">
        <v>236</v>
      </c>
      <c r="O110" s="678"/>
      <c r="P110" s="674"/>
      <c r="Q110" s="674"/>
      <c r="R110" s="674"/>
      <c r="S110" s="729"/>
      <c r="T110" s="729"/>
      <c r="U110" s="729"/>
      <c r="V110" s="729"/>
      <c r="W110" s="729"/>
      <c r="X110" s="729"/>
      <c r="Y110" s="729"/>
      <c r="Z110" s="729"/>
      <c r="AA110" s="729"/>
      <c r="AB110" s="729"/>
      <c r="AC110" s="729"/>
      <c r="AD110" s="729"/>
      <c r="AE110" s="729"/>
      <c r="AF110" s="729"/>
      <c r="AG110" s="729"/>
    </row>
    <row r="111" spans="1:33">
      <c r="A111" s="729"/>
      <c r="B111" s="196" t="s">
        <v>874</v>
      </c>
      <c r="C111" s="60"/>
      <c r="D111" s="60">
        <f t="shared" ref="D111:I111" si="7">D109-D110</f>
        <v>5563121</v>
      </c>
      <c r="E111" s="60">
        <f t="shared" si="7"/>
        <v>17708456.800000012</v>
      </c>
      <c r="F111" s="60">
        <f t="shared" si="7"/>
        <v>15387724</v>
      </c>
      <c r="G111" s="60">
        <f t="shared" si="7"/>
        <v>16205401</v>
      </c>
      <c r="H111" s="60">
        <f t="shared" si="7"/>
        <v>1930000</v>
      </c>
      <c r="I111" s="60">
        <f t="shared" si="7"/>
        <v>13416897</v>
      </c>
      <c r="J111" s="48">
        <v>18828373</v>
      </c>
      <c r="K111" s="60">
        <f>J111-I111</f>
        <v>5411476</v>
      </c>
      <c r="L111" s="343">
        <f>IF(I111=0,"-",(J111-I111)/ABS(I111))</f>
        <v>0.40333290178794695</v>
      </c>
      <c r="M111" s="674"/>
      <c r="N111" s="50" t="s">
        <v>236</v>
      </c>
      <c r="O111" s="678"/>
      <c r="P111" s="674"/>
      <c r="Q111" s="674"/>
      <c r="R111" s="674"/>
      <c r="S111" s="729"/>
      <c r="T111" s="729"/>
      <c r="U111" s="729"/>
      <c r="V111" s="729"/>
      <c r="W111" s="729"/>
      <c r="X111" s="729"/>
      <c r="Y111" s="729"/>
      <c r="Z111" s="729"/>
      <c r="AA111" s="729"/>
      <c r="AB111" s="729"/>
      <c r="AC111" s="729"/>
      <c r="AD111" s="729"/>
      <c r="AE111" s="729"/>
      <c r="AF111" s="729"/>
      <c r="AG111" s="729"/>
    </row>
    <row r="112" spans="1:33">
      <c r="A112" s="729"/>
      <c r="B112" s="184" t="s">
        <v>239</v>
      </c>
      <c r="C112" s="51"/>
      <c r="D112" s="53">
        <v>14350080</v>
      </c>
      <c r="E112" s="53">
        <v>1791700</v>
      </c>
      <c r="F112" s="53">
        <v>25570584</v>
      </c>
      <c r="G112" s="53">
        <v>24496645</v>
      </c>
      <c r="H112" s="53">
        <v>22513416</v>
      </c>
      <c r="I112" s="53">
        <v>23325495</v>
      </c>
      <c r="J112" s="53">
        <v>19229474</v>
      </c>
      <c r="K112" s="51">
        <f>J112-I112</f>
        <v>-4096021</v>
      </c>
      <c r="L112" s="344">
        <f>IF(I112=0,"-",(J112-I112)/ABS(I112))</f>
        <v>-0.17560274712283705</v>
      </c>
      <c r="M112" s="674"/>
      <c r="N112" s="54" t="s">
        <v>236</v>
      </c>
      <c r="O112" s="678"/>
      <c r="P112" s="674"/>
      <c r="Q112" s="674"/>
      <c r="R112" s="674"/>
      <c r="S112" s="729"/>
      <c r="T112" s="729"/>
      <c r="U112" s="729"/>
      <c r="V112" s="729"/>
      <c r="W112" s="729"/>
      <c r="X112" s="729"/>
      <c r="Y112" s="729"/>
      <c r="Z112" s="729"/>
      <c r="AA112" s="729"/>
      <c r="AB112" s="729"/>
      <c r="AC112" s="729"/>
      <c r="AD112" s="729"/>
      <c r="AE112" s="729"/>
      <c r="AF112" s="729"/>
      <c r="AG112" s="729"/>
    </row>
    <row r="113" spans="1:33">
      <c r="A113" s="729"/>
      <c r="B113" s="200" t="s">
        <v>240</v>
      </c>
      <c r="C113" s="61"/>
      <c r="D113" s="62">
        <v>344307623</v>
      </c>
      <c r="E113" s="62">
        <v>241683051</v>
      </c>
      <c r="F113" s="62">
        <v>236353731</v>
      </c>
      <c r="G113" s="62">
        <v>271532869</v>
      </c>
      <c r="H113" s="62">
        <v>320296862</v>
      </c>
      <c r="I113" s="62">
        <v>247533920</v>
      </c>
      <c r="J113" s="62">
        <v>265675229</v>
      </c>
      <c r="K113" s="348">
        <f>J113-I113</f>
        <v>18141309</v>
      </c>
      <c r="L113" s="349">
        <f>IF(I113=0,"-",(J113-I113)/ABS(I113))</f>
        <v>7.3288174000557177E-2</v>
      </c>
      <c r="M113" s="674"/>
      <c r="N113" s="63" t="s">
        <v>236</v>
      </c>
      <c r="O113" s="678"/>
      <c r="P113" s="674"/>
      <c r="Q113" s="674"/>
      <c r="R113" s="674"/>
      <c r="S113" s="729"/>
      <c r="T113" s="729"/>
      <c r="U113" s="729"/>
      <c r="V113" s="729"/>
      <c r="W113" s="729"/>
      <c r="X113" s="729"/>
      <c r="Y113" s="729"/>
      <c r="Z113" s="729"/>
      <c r="AA113" s="729"/>
      <c r="AB113" s="729"/>
      <c r="AC113" s="729"/>
      <c r="AD113" s="729"/>
      <c r="AE113" s="729"/>
      <c r="AF113" s="729"/>
      <c r="AG113" s="729"/>
    </row>
    <row r="114" spans="1:33" ht="15" thickBot="1">
      <c r="A114" s="729"/>
      <c r="B114" s="201" t="s">
        <v>241</v>
      </c>
      <c r="C114" s="64"/>
      <c r="D114" s="64">
        <f t="shared" ref="D114:I114" si="8">SUM(D108:D109,D112:D113)</f>
        <v>933569405</v>
      </c>
      <c r="E114" s="64">
        <f t="shared" si="8"/>
        <v>838622147</v>
      </c>
      <c r="F114" s="64">
        <f t="shared" si="8"/>
        <v>937151860</v>
      </c>
      <c r="G114" s="64">
        <f t="shared" si="8"/>
        <v>972434747</v>
      </c>
      <c r="H114" s="64">
        <f t="shared" si="8"/>
        <v>944711095</v>
      </c>
      <c r="I114" s="64">
        <f t="shared" si="8"/>
        <v>837754268</v>
      </c>
      <c r="J114" s="64">
        <f>SUM(J108:J109,J112:J113)</f>
        <v>793220202</v>
      </c>
      <c r="K114" s="64">
        <f>J114-I114</f>
        <v>-44534066</v>
      </c>
      <c r="L114" s="350">
        <f>IF(I114=0,"-",(J114-I114)/ABS(I114))</f>
        <v>-5.3158864957283634E-2</v>
      </c>
      <c r="M114" s="818"/>
      <c r="N114" s="65" t="s">
        <v>227</v>
      </c>
      <c r="O114" s="818"/>
      <c r="P114" s="818"/>
      <c r="Q114" s="818"/>
      <c r="R114" s="818"/>
      <c r="S114" s="729"/>
      <c r="T114" s="729"/>
      <c r="U114" s="729"/>
      <c r="V114" s="729"/>
      <c r="W114" s="729"/>
      <c r="X114" s="729"/>
      <c r="Y114" s="729"/>
      <c r="Z114" s="729"/>
      <c r="AA114" s="729"/>
      <c r="AB114" s="729"/>
      <c r="AC114" s="729"/>
      <c r="AD114" s="729"/>
      <c r="AE114" s="729"/>
      <c r="AF114" s="729"/>
      <c r="AG114" s="729"/>
    </row>
    <row r="115" spans="1:33" ht="15" thickTop="1">
      <c r="A115" s="729"/>
      <c r="B115" s="636" t="s">
        <v>875</v>
      </c>
      <c r="C115" s="637"/>
      <c r="D115" s="637"/>
      <c r="E115" s="637"/>
      <c r="F115" s="637"/>
      <c r="G115" s="637"/>
      <c r="H115" s="637"/>
      <c r="I115" s="640"/>
      <c r="J115" s="640"/>
      <c r="K115" s="641"/>
      <c r="L115" s="642"/>
      <c r="M115" s="627"/>
      <c r="N115" s="627"/>
      <c r="O115" s="627"/>
      <c r="P115" s="627"/>
      <c r="Q115" s="627"/>
      <c r="R115" s="627"/>
      <c r="S115" s="729"/>
      <c r="T115" s="729"/>
      <c r="U115" s="729"/>
      <c r="V115" s="729"/>
      <c r="W115" s="729"/>
      <c r="X115" s="729"/>
      <c r="Y115" s="729"/>
      <c r="Z115" s="729"/>
      <c r="AA115" s="729"/>
      <c r="AB115" s="729"/>
      <c r="AC115" s="729"/>
      <c r="AD115" s="729"/>
      <c r="AE115" s="729"/>
      <c r="AF115" s="729"/>
      <c r="AG115" s="729"/>
    </row>
    <row r="116" spans="1:33">
      <c r="A116" s="729"/>
      <c r="B116" s="197" t="s">
        <v>242</v>
      </c>
      <c r="C116" s="51"/>
      <c r="D116" s="53">
        <v>2645015181</v>
      </c>
      <c r="E116" s="53">
        <v>2622128056</v>
      </c>
      <c r="F116" s="53">
        <v>2643128881</v>
      </c>
      <c r="G116" s="53">
        <v>2648455481</v>
      </c>
      <c r="H116" s="53">
        <v>2642649181</v>
      </c>
      <c r="I116" s="66">
        <v>2641566481</v>
      </c>
      <c r="J116" s="66">
        <v>2641787281</v>
      </c>
      <c r="K116" s="819">
        <f>J116-I116</f>
        <v>220800</v>
      </c>
      <c r="L116" s="68">
        <f>IF(I116=0,"-",(J116-I116)/ABS(I116))</f>
        <v>8.3586766257123774E-5</v>
      </c>
      <c r="M116" s="674"/>
      <c r="N116" s="216" t="s">
        <v>236</v>
      </c>
      <c r="O116" s="678"/>
      <c r="P116" s="674"/>
      <c r="Q116" s="674"/>
      <c r="R116" s="674"/>
      <c r="S116" s="729"/>
      <c r="T116" s="729"/>
      <c r="U116" s="729"/>
      <c r="V116" s="729"/>
      <c r="W116" s="729"/>
      <c r="X116" s="729"/>
      <c r="Y116" s="729"/>
      <c r="Z116" s="729"/>
      <c r="AA116" s="729"/>
      <c r="AB116" s="729"/>
      <c r="AC116" s="729"/>
      <c r="AD116" s="729"/>
      <c r="AE116" s="729"/>
      <c r="AF116" s="729"/>
      <c r="AG116" s="729"/>
    </row>
    <row r="117" spans="1:33" ht="15" thickBot="1">
      <c r="A117" s="729"/>
      <c r="B117" s="511" t="s">
        <v>876</v>
      </c>
      <c r="C117" s="512"/>
      <c r="D117" s="512">
        <f t="shared" ref="D117:I117" si="9">D116</f>
        <v>2645015181</v>
      </c>
      <c r="E117" s="512">
        <f t="shared" si="9"/>
        <v>2622128056</v>
      </c>
      <c r="F117" s="512">
        <f t="shared" si="9"/>
        <v>2643128881</v>
      </c>
      <c r="G117" s="820">
        <f t="shared" si="9"/>
        <v>2648455481</v>
      </c>
      <c r="H117" s="513">
        <f t="shared" si="9"/>
        <v>2642649181</v>
      </c>
      <c r="I117" s="513">
        <f t="shared" si="9"/>
        <v>2641566481</v>
      </c>
      <c r="J117" s="513">
        <f>J116</f>
        <v>2641787281</v>
      </c>
      <c r="K117" s="820">
        <f>J117-I117</f>
        <v>220800</v>
      </c>
      <c r="L117" s="514">
        <f>IF(I117=0,"-",(J117-I117)/ABS(I117))</f>
        <v>8.3586766257123774E-5</v>
      </c>
      <c r="M117" s="679"/>
      <c r="N117" s="821" t="s">
        <v>227</v>
      </c>
      <c r="O117" s="679"/>
      <c r="P117" s="679"/>
      <c r="Q117" s="679"/>
      <c r="R117" s="679"/>
      <c r="S117" s="729"/>
      <c r="T117" s="729"/>
      <c r="U117" s="729"/>
      <c r="V117" s="729"/>
      <c r="W117" s="729"/>
      <c r="X117" s="729"/>
      <c r="Y117" s="729"/>
      <c r="Z117" s="729"/>
      <c r="AA117" s="729"/>
      <c r="AB117" s="729"/>
      <c r="AC117" s="729"/>
      <c r="AD117" s="729"/>
      <c r="AE117" s="729"/>
      <c r="AF117" s="729"/>
      <c r="AG117" s="729"/>
    </row>
    <row r="118" spans="1:33" ht="15.6" thickTop="1" thickBot="1">
      <c r="A118" s="729"/>
      <c r="B118" s="515" t="s">
        <v>243</v>
      </c>
      <c r="C118" s="516"/>
      <c r="D118" s="517">
        <f t="shared" ref="D118:I118" si="10">SUM(D114,D117)</f>
        <v>3578584586</v>
      </c>
      <c r="E118" s="517">
        <f t="shared" si="10"/>
        <v>3460750203</v>
      </c>
      <c r="F118" s="517">
        <f t="shared" si="10"/>
        <v>3580280741</v>
      </c>
      <c r="G118" s="822">
        <f t="shared" si="10"/>
        <v>3620890228</v>
      </c>
      <c r="H118" s="518">
        <f t="shared" si="10"/>
        <v>3587360276</v>
      </c>
      <c r="I118" s="518">
        <f t="shared" si="10"/>
        <v>3479320749</v>
      </c>
      <c r="J118" s="518">
        <f>SUM(J114,J117)</f>
        <v>3435007483</v>
      </c>
      <c r="K118" s="822">
        <f>J118-I118</f>
        <v>-44313266</v>
      </c>
      <c r="L118" s="519">
        <f>IF(I118=0,"-",(J118-I118)/ABS(I118))</f>
        <v>-1.2736183064678984E-2</v>
      </c>
      <c r="M118" s="817"/>
      <c r="N118" s="823" t="s">
        <v>227</v>
      </c>
      <c r="O118" s="817"/>
      <c r="P118" s="817"/>
      <c r="Q118" s="817"/>
      <c r="R118" s="817"/>
      <c r="S118" s="729"/>
      <c r="T118" s="729"/>
      <c r="U118" s="729"/>
      <c r="V118" s="729"/>
      <c r="W118" s="729"/>
      <c r="X118" s="729"/>
      <c r="Y118" s="729"/>
      <c r="Z118" s="729"/>
      <c r="AA118" s="729"/>
      <c r="AB118" s="729"/>
      <c r="AC118" s="729"/>
      <c r="AD118" s="729"/>
      <c r="AE118" s="729"/>
      <c r="AF118" s="729"/>
      <c r="AG118" s="729"/>
    </row>
    <row r="119" spans="1:33" ht="15" thickTop="1">
      <c r="A119" s="729"/>
      <c r="B119" s="197"/>
      <c r="C119" s="51"/>
      <c r="D119" s="51"/>
      <c r="E119" s="51"/>
      <c r="F119" s="51"/>
      <c r="G119" s="824"/>
      <c r="H119" s="824"/>
      <c r="I119" s="824"/>
      <c r="J119" s="824"/>
      <c r="K119" s="824"/>
      <c r="L119" s="825"/>
      <c r="M119" s="674"/>
      <c r="N119" s="674"/>
      <c r="O119" s="678"/>
      <c r="P119" s="674"/>
      <c r="Q119" s="674"/>
      <c r="R119" s="674"/>
      <c r="S119" s="729"/>
      <c r="T119" s="729"/>
      <c r="U119" s="729"/>
      <c r="V119" s="729"/>
      <c r="W119" s="729"/>
      <c r="X119" s="729"/>
      <c r="Y119" s="729"/>
      <c r="Z119" s="729"/>
      <c r="AA119" s="729"/>
      <c r="AB119" s="729"/>
      <c r="AC119" s="729"/>
      <c r="AD119" s="729"/>
      <c r="AE119" s="729"/>
      <c r="AF119" s="729"/>
      <c r="AG119" s="729"/>
    </row>
    <row r="120" spans="1:33">
      <c r="A120" s="729"/>
      <c r="B120" s="636" t="s">
        <v>251</v>
      </c>
      <c r="C120" s="643"/>
      <c r="D120" s="641"/>
      <c r="E120" s="641"/>
      <c r="F120" s="641"/>
      <c r="G120" s="641"/>
      <c r="H120" s="641"/>
      <c r="I120" s="641"/>
      <c r="J120" s="641"/>
      <c r="K120" s="641"/>
      <c r="L120" s="642"/>
      <c r="M120" s="627"/>
      <c r="N120" s="627"/>
      <c r="O120" s="627"/>
      <c r="P120" s="627"/>
      <c r="Q120" s="627"/>
      <c r="R120" s="627"/>
      <c r="S120" s="729"/>
      <c r="T120" s="729"/>
      <c r="U120" s="729"/>
      <c r="V120" s="729"/>
      <c r="W120" s="729"/>
      <c r="X120" s="729"/>
      <c r="Y120" s="729"/>
      <c r="Z120" s="729"/>
      <c r="AA120" s="729"/>
      <c r="AB120" s="729"/>
      <c r="AC120" s="729"/>
      <c r="AD120" s="729"/>
      <c r="AE120" s="729"/>
      <c r="AF120" s="729"/>
      <c r="AG120" s="729"/>
    </row>
    <row r="121" spans="1:33">
      <c r="A121" s="729"/>
      <c r="B121" s="184" t="s">
        <v>244</v>
      </c>
      <c r="C121" s="67"/>
      <c r="D121" s="826">
        <v>1210339000</v>
      </c>
      <c r="E121" s="826">
        <v>1210339000</v>
      </c>
      <c r="F121" s="826">
        <v>1210339000</v>
      </c>
      <c r="G121" s="826">
        <v>1210339000</v>
      </c>
      <c r="H121" s="826">
        <v>1210339000</v>
      </c>
      <c r="I121" s="826">
        <v>1210339000</v>
      </c>
      <c r="J121" s="826">
        <v>1210339000</v>
      </c>
      <c r="K121" s="819">
        <f>J121-I121</f>
        <v>0</v>
      </c>
      <c r="L121" s="68">
        <f>IF(I121=0,"-",(J121-I121)/ABS(I121))</f>
        <v>0</v>
      </c>
      <c r="M121" s="674"/>
      <c r="N121" s="674" t="s">
        <v>245</v>
      </c>
      <c r="O121" s="678"/>
      <c r="P121" s="674"/>
      <c r="Q121" s="674"/>
      <c r="R121" s="674"/>
      <c r="S121" s="729"/>
      <c r="T121" s="729"/>
      <c r="U121" s="729"/>
      <c r="V121" s="729"/>
      <c r="W121" s="729"/>
      <c r="X121" s="729"/>
      <c r="Y121" s="729"/>
      <c r="Z121" s="729"/>
      <c r="AA121" s="729"/>
      <c r="AB121" s="729"/>
      <c r="AC121" s="729"/>
      <c r="AD121" s="729"/>
      <c r="AE121" s="729"/>
      <c r="AF121" s="729"/>
      <c r="AG121" s="729"/>
    </row>
    <row r="122" spans="1:33">
      <c r="A122" s="729"/>
      <c r="B122" s="184" t="s">
        <v>246</v>
      </c>
      <c r="C122" s="67"/>
      <c r="D122" s="826">
        <v>1278078168</v>
      </c>
      <c r="E122" s="826">
        <v>1332127083</v>
      </c>
      <c r="F122" s="826">
        <v>1294189077</v>
      </c>
      <c r="G122" s="826">
        <v>1294895280</v>
      </c>
      <c r="H122" s="826">
        <v>1403270248</v>
      </c>
      <c r="I122" s="826">
        <v>1436613897</v>
      </c>
      <c r="J122" s="826">
        <v>1461320949</v>
      </c>
      <c r="K122" s="819">
        <f>J122-I122</f>
        <v>24707052</v>
      </c>
      <c r="L122" s="68">
        <f>IF(I122=0,"-",(J122-I122)/ABS(I122))</f>
        <v>1.7198115688282251E-2</v>
      </c>
      <c r="M122" s="674"/>
      <c r="N122" s="674" t="s">
        <v>245</v>
      </c>
      <c r="O122" s="678"/>
      <c r="P122" s="674"/>
      <c r="Q122" s="674"/>
      <c r="R122" s="674"/>
      <c r="S122" s="729"/>
      <c r="T122" s="729"/>
      <c r="U122" s="729"/>
      <c r="V122" s="729"/>
      <c r="W122" s="729"/>
      <c r="X122" s="729"/>
      <c r="Y122" s="729"/>
      <c r="Z122" s="729"/>
      <c r="AA122" s="729"/>
      <c r="AB122" s="729"/>
      <c r="AC122" s="729"/>
      <c r="AD122" s="729"/>
      <c r="AE122" s="729"/>
      <c r="AF122" s="729"/>
      <c r="AG122" s="729"/>
    </row>
    <row r="123" spans="1:33" ht="15" thickBot="1">
      <c r="A123" s="729"/>
      <c r="B123" s="511" t="s">
        <v>247</v>
      </c>
      <c r="C123" s="521"/>
      <c r="D123" s="820">
        <f t="shared" ref="D123:I123" si="11">SUM(D121:D122)</f>
        <v>2488417168</v>
      </c>
      <c r="E123" s="820">
        <f t="shared" si="11"/>
        <v>2542466083</v>
      </c>
      <c r="F123" s="820">
        <f t="shared" si="11"/>
        <v>2504528077</v>
      </c>
      <c r="G123" s="820">
        <f t="shared" si="11"/>
        <v>2505234280</v>
      </c>
      <c r="H123" s="820">
        <f t="shared" si="11"/>
        <v>2613609248</v>
      </c>
      <c r="I123" s="820">
        <f t="shared" si="11"/>
        <v>2646952897</v>
      </c>
      <c r="J123" s="820">
        <f>SUM(J121:J122)</f>
        <v>2671659949</v>
      </c>
      <c r="K123" s="820">
        <f>J123-I123</f>
        <v>24707052</v>
      </c>
      <c r="L123" s="514">
        <f>IF(I123=0,"-",(J123-I123)/ABS(I123))</f>
        <v>9.3341487217254403E-3</v>
      </c>
      <c r="M123" s="679"/>
      <c r="N123" s="821" t="s">
        <v>227</v>
      </c>
      <c r="O123" s="679"/>
      <c r="P123" s="679"/>
      <c r="Q123" s="679"/>
      <c r="R123" s="679"/>
      <c r="S123" s="729"/>
      <c r="T123" s="729"/>
      <c r="U123" s="729"/>
      <c r="V123" s="729"/>
      <c r="W123" s="729"/>
      <c r="X123" s="729"/>
      <c r="Y123" s="729"/>
      <c r="Z123" s="729"/>
      <c r="AA123" s="729"/>
      <c r="AB123" s="729"/>
      <c r="AC123" s="729"/>
      <c r="AD123" s="729"/>
      <c r="AE123" s="729"/>
      <c r="AF123" s="729"/>
      <c r="AG123" s="729"/>
    </row>
    <row r="124" spans="1:33" ht="15.6" thickTop="1" thickBot="1">
      <c r="A124" s="729"/>
      <c r="B124" s="522" t="s">
        <v>248</v>
      </c>
      <c r="C124" s="523"/>
      <c r="D124" s="822">
        <f t="shared" ref="D124:I124" si="12">SUM(D118,D123)</f>
        <v>6067001754</v>
      </c>
      <c r="E124" s="822">
        <f t="shared" si="12"/>
        <v>6003216286</v>
      </c>
      <c r="F124" s="822">
        <f t="shared" si="12"/>
        <v>6084808818</v>
      </c>
      <c r="G124" s="822">
        <f t="shared" si="12"/>
        <v>6126124508</v>
      </c>
      <c r="H124" s="822">
        <f t="shared" si="12"/>
        <v>6200969524</v>
      </c>
      <c r="I124" s="822">
        <f t="shared" si="12"/>
        <v>6126273646</v>
      </c>
      <c r="J124" s="822">
        <f>SUM(J118,J123)</f>
        <v>6106667432</v>
      </c>
      <c r="K124" s="822">
        <f>J124-I124</f>
        <v>-19606214</v>
      </c>
      <c r="L124" s="524">
        <f>IF(I124=0,"-",(J124-I124)/ABS(I124))</f>
        <v>-3.2003490429784176E-3</v>
      </c>
      <c r="M124" s="817"/>
      <c r="N124" s="823" t="s">
        <v>227</v>
      </c>
      <c r="O124" s="817"/>
      <c r="P124" s="817"/>
      <c r="Q124" s="817"/>
      <c r="R124" s="817"/>
      <c r="S124" s="729"/>
      <c r="T124" s="729"/>
      <c r="U124" s="729"/>
      <c r="V124" s="729"/>
      <c r="W124" s="729"/>
      <c r="X124" s="729"/>
      <c r="Y124" s="729"/>
      <c r="Z124" s="729"/>
      <c r="AA124" s="729"/>
      <c r="AB124" s="729"/>
      <c r="AC124" s="729"/>
      <c r="AD124" s="729"/>
      <c r="AE124" s="729"/>
      <c r="AF124" s="729"/>
      <c r="AG124" s="729"/>
    </row>
    <row r="125" spans="1:33" ht="15.6" thickTop="1" thickBot="1">
      <c r="A125" s="729"/>
      <c r="B125" s="202" t="s">
        <v>249</v>
      </c>
      <c r="C125" s="69"/>
      <c r="D125" s="827">
        <f t="shared" ref="D125:I125" si="13">IF(ABS(D104-D124)&lt;=2,0,D104-D124)</f>
        <v>0</v>
      </c>
      <c r="E125" s="827">
        <f t="shared" si="13"/>
        <v>0</v>
      </c>
      <c r="F125" s="827">
        <f t="shared" si="13"/>
        <v>0</v>
      </c>
      <c r="G125" s="827">
        <f t="shared" si="13"/>
        <v>0</v>
      </c>
      <c r="H125" s="827">
        <f t="shared" si="13"/>
        <v>0</v>
      </c>
      <c r="I125" s="827">
        <f t="shared" si="13"/>
        <v>0</v>
      </c>
      <c r="J125" s="827">
        <f>IF(ABS(J104-J124)&lt;=2,0,J104-J124)</f>
        <v>0</v>
      </c>
      <c r="K125" s="828"/>
      <c r="L125" s="70"/>
      <c r="M125" s="674"/>
      <c r="N125" s="829" t="s">
        <v>250</v>
      </c>
      <c r="O125" s="678"/>
      <c r="P125" s="674"/>
      <c r="Q125" s="674"/>
      <c r="R125" s="674"/>
      <c r="S125" s="729"/>
      <c r="T125" s="729"/>
      <c r="U125" s="729"/>
      <c r="V125" s="729"/>
      <c r="W125" s="729"/>
      <c r="X125" s="729"/>
      <c r="Y125" s="729"/>
      <c r="Z125" s="729"/>
      <c r="AA125" s="729"/>
      <c r="AB125" s="729"/>
      <c r="AC125" s="729"/>
      <c r="AD125" s="729"/>
      <c r="AE125" s="729"/>
      <c r="AF125" s="729"/>
      <c r="AG125" s="729"/>
    </row>
    <row r="126" spans="1:33" ht="15" thickTop="1">
      <c r="A126" s="729"/>
      <c r="B126" s="184"/>
      <c r="C126" s="67"/>
      <c r="D126" s="674"/>
      <c r="E126" s="674"/>
      <c r="F126" s="674"/>
      <c r="G126" s="674"/>
      <c r="H126" s="674"/>
      <c r="I126" s="674"/>
      <c r="J126" s="674"/>
      <c r="K126" s="184"/>
      <c r="L126" s="674"/>
      <c r="M126" s="674"/>
      <c r="N126" s="678"/>
      <c r="O126" s="674"/>
      <c r="P126" s="674"/>
      <c r="Q126" s="674"/>
      <c r="R126" s="674"/>
      <c r="S126" s="729"/>
      <c r="T126" s="729"/>
      <c r="U126" s="729"/>
      <c r="V126" s="729"/>
      <c r="W126" s="729"/>
      <c r="X126" s="729"/>
      <c r="Y126" s="729"/>
      <c r="Z126" s="729"/>
      <c r="AA126" s="729"/>
      <c r="AB126" s="729"/>
      <c r="AC126" s="729"/>
      <c r="AD126" s="729"/>
      <c r="AE126" s="729"/>
      <c r="AF126" s="729"/>
      <c r="AG126" s="729"/>
    </row>
    <row r="127" spans="1:33">
      <c r="A127" s="729"/>
      <c r="B127" s="184"/>
      <c r="C127" s="67"/>
      <c r="D127" s="674"/>
      <c r="E127" s="674"/>
      <c r="F127" s="674"/>
      <c r="G127" s="674"/>
      <c r="H127" s="674"/>
      <c r="I127" s="674"/>
      <c r="J127" s="674"/>
      <c r="K127" s="184"/>
      <c r="L127" s="674"/>
      <c r="M127" s="674"/>
      <c r="N127" s="674"/>
      <c r="O127" s="674"/>
      <c r="P127" s="674"/>
      <c r="Q127" s="674"/>
      <c r="R127" s="674"/>
      <c r="S127" s="729"/>
      <c r="T127" s="729"/>
      <c r="U127" s="729"/>
      <c r="V127" s="729"/>
      <c r="W127" s="729"/>
      <c r="X127" s="729"/>
      <c r="Y127" s="729"/>
      <c r="Z127" s="729"/>
      <c r="AA127" s="729"/>
      <c r="AB127" s="729"/>
      <c r="AC127" s="729"/>
      <c r="AD127" s="729"/>
      <c r="AE127" s="729"/>
      <c r="AF127" s="729"/>
      <c r="AG127" s="729"/>
    </row>
    <row r="128" spans="1:33">
      <c r="A128" s="729"/>
      <c r="B128" s="184"/>
      <c r="C128" s="67"/>
      <c r="D128" s="674"/>
      <c r="E128" s="674"/>
      <c r="F128" s="674"/>
      <c r="G128" s="674"/>
      <c r="H128" s="674"/>
      <c r="I128" s="674"/>
      <c r="J128" s="674"/>
      <c r="K128" s="184"/>
      <c r="L128" s="674"/>
      <c r="M128" s="674"/>
      <c r="N128" s="674"/>
      <c r="O128" s="674"/>
      <c r="P128" s="674"/>
      <c r="Q128" s="674"/>
      <c r="R128" s="674"/>
      <c r="S128" s="729"/>
      <c r="T128" s="729"/>
      <c r="U128" s="729"/>
      <c r="V128" s="729"/>
      <c r="W128" s="729"/>
      <c r="X128" s="729"/>
      <c r="Y128" s="729"/>
      <c r="Z128" s="729"/>
      <c r="AA128" s="729"/>
      <c r="AB128" s="729"/>
      <c r="AC128" s="729"/>
      <c r="AD128" s="729"/>
      <c r="AE128" s="729"/>
      <c r="AF128" s="729"/>
      <c r="AG128" s="729"/>
    </row>
    <row r="129" spans="1:33">
      <c r="A129" s="729"/>
      <c r="B129" s="498" t="s">
        <v>1150</v>
      </c>
      <c r="C129" s="498"/>
      <c r="D129" s="498"/>
      <c r="E129" s="498"/>
      <c r="F129" s="498"/>
      <c r="G129" s="520"/>
      <c r="H129" s="464"/>
      <c r="I129" s="464"/>
      <c r="J129" s="464"/>
      <c r="K129" s="464"/>
      <c r="L129" s="464"/>
      <c r="M129" s="464"/>
      <c r="N129" s="464"/>
      <c r="O129" s="464"/>
      <c r="P129" s="464"/>
      <c r="Q129" s="464"/>
      <c r="R129" s="464"/>
      <c r="S129" s="729"/>
      <c r="T129" s="729"/>
      <c r="U129" s="729"/>
      <c r="V129" s="729"/>
      <c r="W129" s="729"/>
      <c r="X129" s="729"/>
      <c r="Y129" s="729"/>
      <c r="Z129" s="729"/>
      <c r="AA129" s="729"/>
      <c r="AB129" s="729"/>
      <c r="AC129" s="729"/>
      <c r="AD129" s="729"/>
      <c r="AE129" s="729"/>
      <c r="AF129" s="729"/>
      <c r="AG129" s="729"/>
    </row>
    <row r="130" spans="1:33">
      <c r="A130" s="729"/>
      <c r="B130" s="184"/>
      <c r="C130" s="67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729"/>
      <c r="T130" s="729"/>
      <c r="U130" s="729"/>
      <c r="V130" s="729"/>
      <c r="W130" s="729"/>
      <c r="X130" s="729"/>
      <c r="Y130" s="729"/>
      <c r="Z130" s="729"/>
      <c r="AA130" s="729"/>
      <c r="AB130" s="729"/>
      <c r="AC130" s="729"/>
      <c r="AD130" s="729"/>
      <c r="AE130" s="729"/>
      <c r="AF130" s="729"/>
      <c r="AG130" s="729"/>
    </row>
    <row r="131" spans="1:33" ht="30" customHeight="1">
      <c r="A131" s="729"/>
      <c r="B131" s="500" t="s">
        <v>210</v>
      </c>
      <c r="C131" s="499" t="s">
        <v>211</v>
      </c>
      <c r="D131" s="499" t="s">
        <v>212</v>
      </c>
      <c r="E131" s="499" t="s">
        <v>213</v>
      </c>
      <c r="F131" s="499" t="s">
        <v>214</v>
      </c>
      <c r="G131" s="499" t="s">
        <v>215</v>
      </c>
      <c r="H131" s="499" t="s">
        <v>867</v>
      </c>
      <c r="I131" s="499" t="s">
        <v>880</v>
      </c>
      <c r="J131" s="499" t="s">
        <v>1144</v>
      </c>
      <c r="K131" s="499" t="s">
        <v>1146</v>
      </c>
      <c r="L131" s="499" t="s">
        <v>216</v>
      </c>
      <c r="M131" s="461" t="s">
        <v>879</v>
      </c>
      <c r="N131" s="461" t="s">
        <v>1145</v>
      </c>
      <c r="O131" s="461"/>
      <c r="P131" s="461"/>
      <c r="Q131" s="461"/>
      <c r="R131" s="461"/>
      <c r="S131" s="729"/>
      <c r="T131" s="729"/>
      <c r="U131" s="729"/>
      <c r="V131" s="729"/>
      <c r="W131" s="729"/>
      <c r="X131" s="729"/>
      <c r="Y131" s="729"/>
      <c r="Z131" s="729"/>
      <c r="AA131" s="729"/>
      <c r="AB131" s="729"/>
      <c r="AC131" s="729"/>
      <c r="AD131" s="729"/>
      <c r="AE131" s="729"/>
      <c r="AF131" s="729"/>
      <c r="AG131" s="729"/>
    </row>
    <row r="132" spans="1:33">
      <c r="A132" s="729"/>
      <c r="B132" s="203" t="s">
        <v>252</v>
      </c>
      <c r="C132" s="351">
        <f t="shared" ref="C132:H132" si="14">SUM(C133:C134)</f>
        <v>7968872000</v>
      </c>
      <c r="D132" s="830">
        <f t="shared" si="14"/>
        <v>612247701</v>
      </c>
      <c r="E132" s="830">
        <f t="shared" si="14"/>
        <v>744218137</v>
      </c>
      <c r="F132" s="831">
        <f t="shared" si="14"/>
        <v>787041187</v>
      </c>
      <c r="G132" s="352">
        <f t="shared" si="14"/>
        <v>750867662</v>
      </c>
      <c r="H132" s="352">
        <f t="shared" si="14"/>
        <v>826514746</v>
      </c>
      <c r="I132" s="352">
        <f>SUM(I133:I134)</f>
        <v>751453314</v>
      </c>
      <c r="J132" s="352">
        <f>SUM(J133:J134)</f>
        <v>679890552</v>
      </c>
      <c r="K132" s="352">
        <f>J132-I132</f>
        <v>-71562762</v>
      </c>
      <c r="L132" s="353">
        <f>IF(I132=0,"-",(J132-I132)/ABS(I132))</f>
        <v>-9.5232479073210932E-2</v>
      </c>
      <c r="M132" s="749">
        <f>SUM(M133:M134)</f>
        <v>4472342747</v>
      </c>
      <c r="N132" s="749">
        <f>SUM(N133:N134)</f>
        <v>5152233299</v>
      </c>
      <c r="O132" s="674"/>
      <c r="P132" s="674"/>
      <c r="Q132" s="674"/>
      <c r="R132" s="674"/>
      <c r="S132" s="729"/>
      <c r="T132" s="729"/>
      <c r="U132" s="729"/>
      <c r="V132" s="729"/>
      <c r="W132" s="729"/>
      <c r="X132" s="729"/>
      <c r="Y132" s="729"/>
      <c r="Z132" s="729"/>
      <c r="AA132" s="729"/>
      <c r="AB132" s="729"/>
      <c r="AC132" s="729"/>
      <c r="AD132" s="729"/>
      <c r="AE132" s="729"/>
      <c r="AF132" s="729"/>
      <c r="AG132" s="729"/>
    </row>
    <row r="133" spans="1:33">
      <c r="A133" s="729"/>
      <c r="B133" s="197" t="s">
        <v>253</v>
      </c>
      <c r="C133" s="53">
        <v>8560432000</v>
      </c>
      <c r="D133" s="832">
        <v>689690890</v>
      </c>
      <c r="E133" s="832">
        <v>744218137</v>
      </c>
      <c r="F133" s="833">
        <v>839105106</v>
      </c>
      <c r="G133" s="354">
        <v>819197300</v>
      </c>
      <c r="H133" s="354">
        <v>881948086</v>
      </c>
      <c r="I133" s="355">
        <f>M133-SUM(D133:H133)</f>
        <v>929451219</v>
      </c>
      <c r="J133" s="355">
        <f>N133-SUM(D133:I133)</f>
        <v>711900651</v>
      </c>
      <c r="K133" s="355">
        <f>J133-I133</f>
        <v>-217550568</v>
      </c>
      <c r="L133" s="356">
        <f>IF(I133=0,"-",(J133-I133)/ABS(I133))</f>
        <v>-0.23406345976291629</v>
      </c>
      <c r="M133" s="378">
        <v>4903610738</v>
      </c>
      <c r="N133" s="378">
        <v>5615511389</v>
      </c>
      <c r="O133" s="674"/>
      <c r="P133" s="674"/>
      <c r="Q133" s="674"/>
      <c r="R133" s="674"/>
      <c r="S133" s="729"/>
      <c r="T133" s="729"/>
      <c r="U133" s="729"/>
      <c r="V133" s="729"/>
      <c r="W133" s="729"/>
      <c r="X133" s="729"/>
      <c r="Y133" s="729"/>
      <c r="Z133" s="729"/>
      <c r="AA133" s="729"/>
      <c r="AB133" s="729"/>
      <c r="AC133" s="729"/>
      <c r="AD133" s="729"/>
      <c r="AE133" s="729"/>
      <c r="AF133" s="729"/>
      <c r="AG133" s="729"/>
    </row>
    <row r="134" spans="1:33">
      <c r="A134" s="729"/>
      <c r="B134" s="196" t="s">
        <v>254</v>
      </c>
      <c r="C134" s="48">
        <v>-591560000</v>
      </c>
      <c r="D134" s="53">
        <v>-77443189</v>
      </c>
      <c r="E134" s="53">
        <v>0</v>
      </c>
      <c r="F134" s="834">
        <v>-52063919</v>
      </c>
      <c r="G134" s="357">
        <v>-68329638</v>
      </c>
      <c r="H134" s="357">
        <v>-55433340</v>
      </c>
      <c r="I134" s="358">
        <f>M134-SUM(D134:H134)</f>
        <v>-177997905</v>
      </c>
      <c r="J134" s="358">
        <f>N134-SUM(D134:I134)</f>
        <v>-32010099</v>
      </c>
      <c r="K134" s="358">
        <f>J134-I134</f>
        <v>145987806</v>
      </c>
      <c r="L134" s="359">
        <f>IF(I134=0,"-",(J134-I134)/ABS(I134))</f>
        <v>0.82016586655893509</v>
      </c>
      <c r="M134" s="378">
        <v>-431267991</v>
      </c>
      <c r="N134" s="378">
        <v>-463278090</v>
      </c>
      <c r="O134" s="674"/>
      <c r="P134" s="674"/>
      <c r="Q134" s="674"/>
      <c r="R134" s="674"/>
      <c r="S134" s="729"/>
      <c r="T134" s="729"/>
      <c r="U134" s="729"/>
      <c r="V134" s="729"/>
      <c r="W134" s="729"/>
      <c r="X134" s="729"/>
      <c r="Y134" s="729"/>
      <c r="Z134" s="729"/>
      <c r="AA134" s="729"/>
      <c r="AB134" s="729"/>
      <c r="AC134" s="729"/>
      <c r="AD134" s="729"/>
      <c r="AE134" s="729"/>
      <c r="AF134" s="729"/>
      <c r="AG134" s="729"/>
    </row>
    <row r="135" spans="1:33">
      <c r="A135" s="729"/>
      <c r="B135" s="204" t="s">
        <v>255</v>
      </c>
      <c r="C135" s="360">
        <v>3795959000</v>
      </c>
      <c r="D135" s="835">
        <v>238535794</v>
      </c>
      <c r="E135" s="835">
        <v>343308791</v>
      </c>
      <c r="F135" s="835">
        <v>455639201</v>
      </c>
      <c r="G135" s="835">
        <v>379273594</v>
      </c>
      <c r="H135" s="835">
        <v>355470523</v>
      </c>
      <c r="I135" s="836">
        <f>M135-SUM(D135:H135)</f>
        <v>348477606</v>
      </c>
      <c r="J135" s="836">
        <f>N135-SUM(D135:I135)</f>
        <v>321917838</v>
      </c>
      <c r="K135" s="836">
        <f>J135-I135</f>
        <v>-26559768</v>
      </c>
      <c r="L135" s="837">
        <f>IF(I135=0,"-",(J135-I135)/ABS(I135))</f>
        <v>-7.6216570427196983E-2</v>
      </c>
      <c r="M135" s="378">
        <v>2120705509</v>
      </c>
      <c r="N135" s="378">
        <v>2442623347</v>
      </c>
      <c r="O135" s="674"/>
      <c r="P135" s="674"/>
      <c r="Q135" s="674"/>
      <c r="R135" s="674"/>
      <c r="S135" s="729"/>
      <c r="T135" s="729"/>
      <c r="U135" s="729"/>
      <c r="V135" s="729"/>
      <c r="W135" s="729"/>
      <c r="X135" s="729"/>
      <c r="Y135" s="729"/>
      <c r="Z135" s="729"/>
      <c r="AA135" s="729"/>
      <c r="AB135" s="729"/>
      <c r="AC135" s="729"/>
      <c r="AD135" s="729"/>
      <c r="AE135" s="729"/>
      <c r="AF135" s="729"/>
      <c r="AG135" s="729"/>
    </row>
    <row r="136" spans="1:33">
      <c r="A136" s="729"/>
      <c r="B136" s="197"/>
      <c r="C136" s="51"/>
      <c r="D136" s="52"/>
      <c r="E136" s="52"/>
      <c r="F136" s="838"/>
      <c r="G136" s="73"/>
      <c r="H136" s="73"/>
      <c r="I136" s="73"/>
      <c r="J136" s="73"/>
      <c r="K136" s="73"/>
      <c r="L136" s="74"/>
      <c r="M136" s="674"/>
      <c r="N136" s="674"/>
      <c r="O136" s="674"/>
      <c r="P136" s="674"/>
      <c r="Q136" s="674"/>
      <c r="R136" s="674"/>
      <c r="S136" s="729"/>
      <c r="T136" s="729"/>
      <c r="U136" s="729"/>
      <c r="V136" s="729"/>
      <c r="W136" s="729"/>
      <c r="X136" s="729"/>
      <c r="Y136" s="729"/>
      <c r="Z136" s="729"/>
      <c r="AA136" s="729"/>
      <c r="AB136" s="729"/>
      <c r="AC136" s="729"/>
      <c r="AD136" s="729"/>
      <c r="AE136" s="729"/>
      <c r="AF136" s="729"/>
      <c r="AG136" s="729"/>
    </row>
    <row r="137" spans="1:33">
      <c r="A137" s="729"/>
      <c r="B137" s="205" t="s">
        <v>256</v>
      </c>
      <c r="C137" s="361">
        <f t="shared" ref="C137:H137" si="15">C132-C135</f>
        <v>4172913000</v>
      </c>
      <c r="D137" s="830">
        <f t="shared" si="15"/>
        <v>373711907</v>
      </c>
      <c r="E137" s="830">
        <f t="shared" si="15"/>
        <v>400909346</v>
      </c>
      <c r="F137" s="831">
        <f t="shared" si="15"/>
        <v>331401986</v>
      </c>
      <c r="G137" s="362">
        <f t="shared" si="15"/>
        <v>371594068</v>
      </c>
      <c r="H137" s="362">
        <f t="shared" si="15"/>
        <v>471044223</v>
      </c>
      <c r="I137" s="362">
        <f>I132-I135</f>
        <v>402975708</v>
      </c>
      <c r="J137" s="362">
        <f>J132-J135</f>
        <v>357972714</v>
      </c>
      <c r="K137" s="362">
        <f>J137-I137</f>
        <v>-45002994</v>
      </c>
      <c r="L137" s="363">
        <f>IF(I137=0,"-",(J137-I137)/ABS(I137))</f>
        <v>-0.11167669193598141</v>
      </c>
      <c r="M137" s="749">
        <f>M132-M135</f>
        <v>2351637238</v>
      </c>
      <c r="N137" s="749">
        <f>N132-N135</f>
        <v>2709609952</v>
      </c>
      <c r="O137" s="674"/>
      <c r="P137" s="674"/>
      <c r="Q137" s="674"/>
      <c r="R137" s="674"/>
      <c r="S137" s="729"/>
      <c r="T137" s="729"/>
      <c r="U137" s="729"/>
      <c r="V137" s="729"/>
      <c r="W137" s="729"/>
      <c r="X137" s="729"/>
      <c r="Y137" s="729"/>
      <c r="Z137" s="729"/>
      <c r="AA137" s="729"/>
      <c r="AB137" s="729"/>
      <c r="AC137" s="729"/>
      <c r="AD137" s="729"/>
      <c r="AE137" s="729"/>
      <c r="AF137" s="729"/>
      <c r="AG137" s="729"/>
    </row>
    <row r="138" spans="1:33">
      <c r="A138" s="729"/>
      <c r="B138" s="184"/>
      <c r="C138" s="51"/>
      <c r="D138" s="839"/>
      <c r="E138" s="839"/>
      <c r="F138" s="840"/>
      <c r="G138" s="73"/>
      <c r="H138" s="73"/>
      <c r="I138" s="73"/>
      <c r="J138" s="73"/>
      <c r="K138" s="73"/>
      <c r="L138" s="74"/>
      <c r="M138" s="674"/>
      <c r="N138" s="674"/>
      <c r="O138" s="674"/>
      <c r="P138" s="674"/>
      <c r="Q138" s="674"/>
      <c r="R138" s="674"/>
      <c r="S138" s="729"/>
      <c r="T138" s="729"/>
      <c r="U138" s="729"/>
      <c r="V138" s="729"/>
      <c r="W138" s="729"/>
      <c r="X138" s="729"/>
      <c r="Y138" s="729"/>
      <c r="Z138" s="729"/>
      <c r="AA138" s="729"/>
      <c r="AB138" s="729"/>
      <c r="AC138" s="729"/>
      <c r="AD138" s="729"/>
      <c r="AE138" s="729"/>
      <c r="AF138" s="729"/>
      <c r="AG138" s="729"/>
    </row>
    <row r="139" spans="1:33">
      <c r="A139" s="729"/>
      <c r="B139" s="204" t="s">
        <v>257</v>
      </c>
      <c r="C139" s="360">
        <v>1545956000</v>
      </c>
      <c r="D139" s="364">
        <v>98722435</v>
      </c>
      <c r="E139" s="364">
        <v>105633472</v>
      </c>
      <c r="F139" s="364">
        <v>141811865</v>
      </c>
      <c r="G139" s="364">
        <v>114280887</v>
      </c>
      <c r="H139" s="364">
        <v>116808824</v>
      </c>
      <c r="I139" s="365">
        <f>M139-SUM(D139:H139)</f>
        <v>112288693</v>
      </c>
      <c r="J139" s="365">
        <f>N139-SUM(D139:I139)</f>
        <v>107932742</v>
      </c>
      <c r="K139" s="365">
        <f>J139-I139</f>
        <v>-4355951</v>
      </c>
      <c r="L139" s="366">
        <f>IF(I139=0,"-",(J139-I139)/ABS(I139))</f>
        <v>-3.8792427657876473E-2</v>
      </c>
      <c r="M139" s="378">
        <v>689546176</v>
      </c>
      <c r="N139" s="378">
        <v>797478918</v>
      </c>
      <c r="O139" s="674"/>
      <c r="P139" s="674"/>
      <c r="Q139" s="674"/>
      <c r="R139" s="674"/>
      <c r="S139" s="729"/>
      <c r="T139" s="729"/>
      <c r="U139" s="729"/>
      <c r="V139" s="729"/>
      <c r="W139" s="729"/>
      <c r="X139" s="729"/>
      <c r="Y139" s="729"/>
      <c r="Z139" s="729"/>
      <c r="AA139" s="729"/>
      <c r="AB139" s="729"/>
      <c r="AC139" s="729"/>
      <c r="AD139" s="729"/>
      <c r="AE139" s="729"/>
      <c r="AF139" s="729"/>
      <c r="AG139" s="729"/>
    </row>
    <row r="140" spans="1:33">
      <c r="A140" s="729"/>
      <c r="B140" s="196"/>
      <c r="C140" s="46"/>
      <c r="D140" s="52"/>
      <c r="E140" s="52"/>
      <c r="F140" s="838"/>
      <c r="G140" s="71"/>
      <c r="H140" s="71"/>
      <c r="I140" s="71"/>
      <c r="J140" s="71"/>
      <c r="K140" s="71"/>
      <c r="L140" s="72"/>
      <c r="M140" s="674"/>
      <c r="N140" s="674"/>
      <c r="O140" s="674"/>
      <c r="P140" s="674"/>
      <c r="Q140" s="674"/>
      <c r="R140" s="674"/>
      <c r="S140" s="729"/>
      <c r="T140" s="729"/>
      <c r="U140" s="729"/>
      <c r="V140" s="729"/>
      <c r="W140" s="729"/>
      <c r="X140" s="729"/>
      <c r="Y140" s="729"/>
      <c r="Z140" s="729"/>
      <c r="AA140" s="729"/>
      <c r="AB140" s="729"/>
      <c r="AC140" s="729"/>
      <c r="AD140" s="729"/>
      <c r="AE140" s="729"/>
      <c r="AF140" s="729"/>
      <c r="AG140" s="729"/>
    </row>
    <row r="141" spans="1:33">
      <c r="A141" s="729"/>
      <c r="B141" s="184" t="s">
        <v>258</v>
      </c>
      <c r="C141" s="53">
        <v>1290488000</v>
      </c>
      <c r="D141" s="53">
        <v>73409852</v>
      </c>
      <c r="E141" s="53">
        <v>75509638</v>
      </c>
      <c r="F141" s="834">
        <v>72217138</v>
      </c>
      <c r="G141" s="66">
        <v>122384514</v>
      </c>
      <c r="H141" s="66">
        <v>120992711</v>
      </c>
      <c r="I141" s="79">
        <f>M141-SUM(D141:H141)</f>
        <v>108908060</v>
      </c>
      <c r="J141" s="79">
        <f>N141-SUM(D141:I141)</f>
        <v>102936374</v>
      </c>
      <c r="K141" s="79">
        <f>J141-I141</f>
        <v>-5971686</v>
      </c>
      <c r="L141" s="367">
        <f>IF(I141=0,"-",(J141-I141)/ABS(I141))</f>
        <v>-5.4832360433194755E-2</v>
      </c>
      <c r="M141" s="378">
        <v>573421913</v>
      </c>
      <c r="N141" s="378">
        <v>676358287</v>
      </c>
      <c r="O141" s="674"/>
      <c r="P141" s="674"/>
      <c r="Q141" s="674"/>
      <c r="R141" s="674"/>
      <c r="S141" s="729"/>
      <c r="T141" s="729"/>
      <c r="U141" s="729"/>
      <c r="V141" s="729"/>
      <c r="W141" s="729"/>
      <c r="X141" s="729"/>
      <c r="Y141" s="729"/>
      <c r="Z141" s="729"/>
      <c r="AA141" s="729"/>
      <c r="AB141" s="729"/>
      <c r="AC141" s="729"/>
      <c r="AD141" s="729"/>
      <c r="AE141" s="729"/>
      <c r="AF141" s="729"/>
      <c r="AG141" s="729"/>
    </row>
    <row r="142" spans="1:33">
      <c r="A142" s="729"/>
      <c r="B142" s="204" t="s">
        <v>259</v>
      </c>
      <c r="C142" s="360">
        <v>2481297000</v>
      </c>
      <c r="D142" s="364">
        <v>131600259</v>
      </c>
      <c r="E142" s="364">
        <v>173632204</v>
      </c>
      <c r="F142" s="364">
        <v>139615776</v>
      </c>
      <c r="G142" s="364">
        <v>130090415</v>
      </c>
      <c r="H142" s="364">
        <v>120233213</v>
      </c>
      <c r="I142" s="365">
        <f>M142-SUM(D142:H142)</f>
        <v>146803460</v>
      </c>
      <c r="J142" s="365">
        <f>N142-SUM(D142:I142)</f>
        <v>117761236</v>
      </c>
      <c r="K142" s="365">
        <f>J142-I142</f>
        <v>-29042224</v>
      </c>
      <c r="L142" s="366">
        <f>IF(I142=0,"-",(J142-I142)/ABS(I142))</f>
        <v>-0.19783065058548346</v>
      </c>
      <c r="M142" s="378">
        <v>841975327</v>
      </c>
      <c r="N142" s="378">
        <v>959736563</v>
      </c>
      <c r="O142" s="674"/>
      <c r="P142" s="674"/>
      <c r="Q142" s="674"/>
      <c r="R142" s="674"/>
      <c r="S142" s="729"/>
      <c r="T142" s="729"/>
      <c r="U142" s="729"/>
      <c r="V142" s="729"/>
      <c r="W142" s="729"/>
      <c r="X142" s="729"/>
      <c r="Y142" s="729"/>
      <c r="Z142" s="729"/>
      <c r="AA142" s="729"/>
      <c r="AB142" s="729"/>
      <c r="AC142" s="729"/>
      <c r="AD142" s="729"/>
      <c r="AE142" s="729"/>
      <c r="AF142" s="729"/>
      <c r="AG142" s="729"/>
    </row>
    <row r="143" spans="1:33">
      <c r="A143" s="729"/>
      <c r="B143" s="184"/>
      <c r="C143" s="51"/>
      <c r="D143" s="52"/>
      <c r="E143" s="52"/>
      <c r="F143" s="838"/>
      <c r="G143" s="73"/>
      <c r="H143" s="73"/>
      <c r="I143" s="73"/>
      <c r="J143" s="73"/>
      <c r="K143" s="73"/>
      <c r="L143" s="74"/>
      <c r="M143" s="674"/>
      <c r="N143" s="674"/>
      <c r="O143" s="674"/>
      <c r="P143" s="674"/>
      <c r="Q143" s="674"/>
      <c r="R143" s="674"/>
      <c r="S143" s="729"/>
      <c r="T143" s="729"/>
      <c r="U143" s="729"/>
      <c r="V143" s="729"/>
      <c r="W143" s="729"/>
      <c r="X143" s="729"/>
      <c r="Y143" s="729"/>
      <c r="Z143" s="729"/>
      <c r="AA143" s="729"/>
      <c r="AB143" s="729"/>
      <c r="AC143" s="729"/>
      <c r="AD143" s="729"/>
      <c r="AE143" s="729"/>
      <c r="AF143" s="729"/>
      <c r="AG143" s="729"/>
    </row>
    <row r="144" spans="1:33">
      <c r="A144" s="729"/>
      <c r="B144" s="205" t="s">
        <v>260</v>
      </c>
      <c r="C144" s="361">
        <f t="shared" ref="C144:H144" si="16">C137-C139-C141-C142</f>
        <v>-1144828000</v>
      </c>
      <c r="D144" s="830">
        <f t="shared" si="16"/>
        <v>69979361</v>
      </c>
      <c r="E144" s="830">
        <f t="shared" si="16"/>
        <v>46134032</v>
      </c>
      <c r="F144" s="831">
        <f t="shared" si="16"/>
        <v>-22242793</v>
      </c>
      <c r="G144" s="362">
        <f t="shared" si="16"/>
        <v>4838252</v>
      </c>
      <c r="H144" s="362">
        <f t="shared" si="16"/>
        <v>113009475</v>
      </c>
      <c r="I144" s="362">
        <f>I137-I139-I141-I142</f>
        <v>34975495</v>
      </c>
      <c r="J144" s="362">
        <f>J137-J139-J141-J142</f>
        <v>29342362</v>
      </c>
      <c r="K144" s="362">
        <f>J144-I144</f>
        <v>-5633133</v>
      </c>
      <c r="L144" s="363">
        <f>IF(I144=0,"-",(J144-I144)/ABS(I144))</f>
        <v>-0.16105942174656857</v>
      </c>
      <c r="M144" s="749">
        <f>M137-M139-M141-M142</f>
        <v>246693822</v>
      </c>
      <c r="N144" s="749">
        <f>N137-N139-N141-N142</f>
        <v>276036184</v>
      </c>
      <c r="O144" s="674"/>
      <c r="P144" s="674"/>
      <c r="Q144" s="674"/>
      <c r="R144" s="674"/>
      <c r="S144" s="729"/>
      <c r="T144" s="729"/>
      <c r="U144" s="729"/>
      <c r="V144" s="729"/>
      <c r="W144" s="729"/>
      <c r="X144" s="729"/>
      <c r="Y144" s="729"/>
      <c r="Z144" s="729"/>
      <c r="AA144" s="729"/>
      <c r="AB144" s="729"/>
      <c r="AC144" s="729"/>
      <c r="AD144" s="729"/>
      <c r="AE144" s="729"/>
      <c r="AF144" s="729"/>
      <c r="AG144" s="729"/>
    </row>
    <row r="145" spans="1:33">
      <c r="A145" s="729"/>
      <c r="B145" s="184"/>
      <c r="C145" s="51"/>
      <c r="D145" s="839"/>
      <c r="E145" s="839"/>
      <c r="F145" s="840"/>
      <c r="G145" s="73"/>
      <c r="H145" s="73"/>
      <c r="I145" s="73"/>
      <c r="J145" s="73"/>
      <c r="K145" s="73"/>
      <c r="L145" s="74"/>
      <c r="M145" s="674"/>
      <c r="N145" s="674"/>
      <c r="O145" s="674"/>
      <c r="P145" s="674"/>
      <c r="Q145" s="674"/>
      <c r="R145" s="674"/>
      <c r="S145" s="729"/>
      <c r="T145" s="729"/>
      <c r="U145" s="729"/>
      <c r="V145" s="729"/>
      <c r="W145" s="729"/>
      <c r="X145" s="729"/>
      <c r="Y145" s="729"/>
      <c r="Z145" s="729"/>
      <c r="AA145" s="729"/>
      <c r="AB145" s="729"/>
      <c r="AC145" s="729"/>
      <c r="AD145" s="729"/>
      <c r="AE145" s="729"/>
      <c r="AF145" s="729"/>
      <c r="AG145" s="729"/>
    </row>
    <row r="146" spans="1:33">
      <c r="A146" s="729"/>
      <c r="B146" s="204" t="s">
        <v>261</v>
      </c>
      <c r="C146" s="368">
        <f t="shared" ref="C146:H146" si="17">SUM(C147:C148)</f>
        <v>133664000</v>
      </c>
      <c r="D146" s="841">
        <f t="shared" si="17"/>
        <v>597687</v>
      </c>
      <c r="E146" s="841">
        <f t="shared" si="17"/>
        <v>13488976</v>
      </c>
      <c r="F146" s="842">
        <f t="shared" si="17"/>
        <v>-10197660</v>
      </c>
      <c r="G146" s="369">
        <f t="shared" si="17"/>
        <v>906545</v>
      </c>
      <c r="H146" s="369">
        <f t="shared" si="17"/>
        <v>1366339</v>
      </c>
      <c r="I146" s="369">
        <f>SUM(I147:I148)</f>
        <v>3920249</v>
      </c>
      <c r="J146" s="369">
        <f>SUM(J147:J148)</f>
        <v>718311</v>
      </c>
      <c r="K146" s="369">
        <f>J146-I146</f>
        <v>-3201938</v>
      </c>
      <c r="L146" s="370">
        <f>IF(I146=0,"-",(J146-I146)/ABS(I146))</f>
        <v>-0.81676903686475022</v>
      </c>
      <c r="M146" s="749">
        <f>SUM(M147:M148)</f>
        <v>10082136</v>
      </c>
      <c r="N146" s="749">
        <f>SUM(N147:N148)</f>
        <v>10800447</v>
      </c>
      <c r="O146" s="674"/>
      <c r="P146" s="674"/>
      <c r="Q146" s="674"/>
      <c r="R146" s="674"/>
      <c r="S146" s="729"/>
      <c r="T146" s="729"/>
      <c r="U146" s="729"/>
      <c r="V146" s="729"/>
      <c r="W146" s="729"/>
      <c r="X146" s="729"/>
      <c r="Y146" s="729"/>
      <c r="Z146" s="729"/>
      <c r="AA146" s="729"/>
      <c r="AB146" s="729"/>
      <c r="AC146" s="729"/>
      <c r="AD146" s="729"/>
      <c r="AE146" s="729"/>
      <c r="AF146" s="729"/>
      <c r="AG146" s="729"/>
    </row>
    <row r="147" spans="1:33">
      <c r="A147" s="729"/>
      <c r="B147" s="197" t="s">
        <v>262</v>
      </c>
      <c r="C147" s="53">
        <v>21583000</v>
      </c>
      <c r="D147" s="53">
        <v>597687</v>
      </c>
      <c r="E147" s="53">
        <v>13488976</v>
      </c>
      <c r="F147" s="834">
        <v>-10197660</v>
      </c>
      <c r="G147" s="354">
        <v>906545</v>
      </c>
      <c r="H147" s="354">
        <v>1366339</v>
      </c>
      <c r="I147" s="355">
        <f>M147-SUM(D147:H147)</f>
        <v>3920249</v>
      </c>
      <c r="J147" s="355">
        <f>N147-SUM(D147:I147)</f>
        <v>718311</v>
      </c>
      <c r="K147" s="355">
        <f>J147-I147</f>
        <v>-3201938</v>
      </c>
      <c r="L147" s="356">
        <f>IF(I147=0,"-",(J147-I147)/ABS(I147))</f>
        <v>-0.81676903686475022</v>
      </c>
      <c r="M147" s="378">
        <v>10082136</v>
      </c>
      <c r="N147" s="378">
        <v>10800447</v>
      </c>
      <c r="O147" s="674"/>
      <c r="P147" s="674"/>
      <c r="Q147" s="674"/>
      <c r="R147" s="674"/>
      <c r="S147" s="729"/>
      <c r="T147" s="729"/>
      <c r="U147" s="729"/>
      <c r="V147" s="729"/>
      <c r="W147" s="729"/>
      <c r="X147" s="729"/>
      <c r="Y147" s="729"/>
      <c r="Z147" s="729"/>
      <c r="AA147" s="729"/>
      <c r="AB147" s="729"/>
      <c r="AC147" s="729"/>
      <c r="AD147" s="729"/>
      <c r="AE147" s="729"/>
      <c r="AF147" s="729"/>
      <c r="AG147" s="729"/>
    </row>
    <row r="148" spans="1:33">
      <c r="A148" s="729"/>
      <c r="B148" s="196" t="s">
        <v>263</v>
      </c>
      <c r="C148" s="48">
        <v>112081000</v>
      </c>
      <c r="D148" s="53">
        <v>0</v>
      </c>
      <c r="E148" s="53">
        <v>0</v>
      </c>
      <c r="F148" s="834">
        <v>0</v>
      </c>
      <c r="G148" s="357">
        <v>0</v>
      </c>
      <c r="H148" s="357">
        <v>0</v>
      </c>
      <c r="I148" s="358">
        <f>M148-SUM(D148:H148)</f>
        <v>0</v>
      </c>
      <c r="J148" s="358">
        <f>N148-SUM(D148:I148)</f>
        <v>0</v>
      </c>
      <c r="K148" s="358">
        <f>J148-I148</f>
        <v>0</v>
      </c>
      <c r="L148" s="72" t="str">
        <f>IF(I148=0,"-",(J148-I148)/ABS(I148))</f>
        <v>-</v>
      </c>
      <c r="M148" s="378">
        <v>0</v>
      </c>
      <c r="N148" s="378">
        <v>0</v>
      </c>
      <c r="O148" s="674"/>
      <c r="P148" s="674"/>
      <c r="Q148" s="674"/>
      <c r="R148" s="674"/>
      <c r="S148" s="729"/>
      <c r="T148" s="729"/>
      <c r="U148" s="729"/>
      <c r="V148" s="729"/>
      <c r="W148" s="729"/>
      <c r="X148" s="729"/>
      <c r="Y148" s="729"/>
      <c r="Z148" s="729"/>
      <c r="AA148" s="729"/>
      <c r="AB148" s="729"/>
      <c r="AC148" s="729"/>
      <c r="AD148" s="729"/>
      <c r="AE148" s="729"/>
      <c r="AF148" s="729"/>
      <c r="AG148" s="729"/>
    </row>
    <row r="149" spans="1:33">
      <c r="A149" s="729"/>
      <c r="B149" s="184"/>
      <c r="C149" s="51"/>
      <c r="D149" s="52"/>
      <c r="E149" s="52"/>
      <c r="F149" s="838"/>
      <c r="G149" s="73"/>
      <c r="H149" s="73"/>
      <c r="I149" s="73"/>
      <c r="J149" s="73"/>
      <c r="K149" s="73"/>
      <c r="L149" s="74"/>
      <c r="M149" s="674"/>
      <c r="N149" s="674"/>
      <c r="O149" s="674"/>
      <c r="P149" s="674"/>
      <c r="Q149" s="674"/>
      <c r="R149" s="674"/>
      <c r="S149" s="729"/>
      <c r="T149" s="729"/>
      <c r="U149" s="729"/>
      <c r="V149" s="729"/>
      <c r="W149" s="729"/>
      <c r="X149" s="729"/>
      <c r="Y149" s="729"/>
      <c r="Z149" s="729"/>
      <c r="AA149" s="729"/>
      <c r="AB149" s="729"/>
      <c r="AC149" s="729"/>
      <c r="AD149" s="729"/>
      <c r="AE149" s="729"/>
      <c r="AF149" s="729"/>
      <c r="AG149" s="729"/>
    </row>
    <row r="150" spans="1:33">
      <c r="A150" s="729"/>
      <c r="B150" s="204" t="s">
        <v>264</v>
      </c>
      <c r="C150" s="368">
        <f t="shared" ref="C150:H150" si="18">SUM(C151:C151)</f>
        <v>92043000</v>
      </c>
      <c r="D150" s="836">
        <f t="shared" si="18"/>
        <v>7091551</v>
      </c>
      <c r="E150" s="836">
        <f t="shared" si="18"/>
        <v>5574093</v>
      </c>
      <c r="F150" s="843">
        <f t="shared" si="18"/>
        <v>5497554</v>
      </c>
      <c r="G150" s="369">
        <f t="shared" si="18"/>
        <v>5038594</v>
      </c>
      <c r="H150" s="369">
        <f t="shared" si="18"/>
        <v>6000846</v>
      </c>
      <c r="I150" s="369">
        <f>SUM(I151:I151)</f>
        <v>5552094</v>
      </c>
      <c r="J150" s="369">
        <f>SUM(J151:J151)</f>
        <v>5353621</v>
      </c>
      <c r="K150" s="369">
        <f>J150-I150</f>
        <v>-198473</v>
      </c>
      <c r="L150" s="370">
        <f>IF(I150=0,"-",(J150-I150)/ABS(I150))</f>
        <v>-3.5747413498402582E-2</v>
      </c>
      <c r="M150" s="749">
        <f>SUM(M151:M151)</f>
        <v>34754732</v>
      </c>
      <c r="N150" s="749">
        <f>SUM(N151:N151)</f>
        <v>40108353</v>
      </c>
      <c r="O150" s="674"/>
      <c r="P150" s="674"/>
      <c r="Q150" s="674"/>
      <c r="R150" s="674"/>
      <c r="S150" s="729"/>
      <c r="T150" s="729"/>
      <c r="U150" s="729"/>
      <c r="V150" s="729"/>
      <c r="W150" s="729"/>
      <c r="X150" s="729"/>
      <c r="Y150" s="729"/>
      <c r="Z150" s="729"/>
      <c r="AA150" s="729"/>
      <c r="AB150" s="729"/>
      <c r="AC150" s="729"/>
      <c r="AD150" s="729"/>
      <c r="AE150" s="729"/>
      <c r="AF150" s="729"/>
      <c r="AG150" s="729"/>
    </row>
    <row r="151" spans="1:33">
      <c r="A151" s="729"/>
      <c r="B151" s="197" t="s">
        <v>265</v>
      </c>
      <c r="C151" s="53">
        <v>92043000</v>
      </c>
      <c r="D151" s="53">
        <v>7091551</v>
      </c>
      <c r="E151" s="53">
        <v>5574093</v>
      </c>
      <c r="F151" s="834">
        <v>5497554</v>
      </c>
      <c r="G151" s="354">
        <v>5038594</v>
      </c>
      <c r="H151" s="354">
        <v>6000846</v>
      </c>
      <c r="I151" s="355">
        <f>M151-SUM(D151:H151)</f>
        <v>5552094</v>
      </c>
      <c r="J151" s="355">
        <f>N151-SUM(D151:I151)</f>
        <v>5353621</v>
      </c>
      <c r="K151" s="355">
        <f>J151-I151</f>
        <v>-198473</v>
      </c>
      <c r="L151" s="356">
        <f>IF(I151=0,"-",(J151-I151)/ABS(I151))</f>
        <v>-3.5747413498402582E-2</v>
      </c>
      <c r="M151" s="378">
        <v>34754732</v>
      </c>
      <c r="N151" s="378">
        <v>40108353</v>
      </c>
      <c r="O151" s="674"/>
      <c r="P151" s="674"/>
      <c r="Q151" s="674"/>
      <c r="R151" s="674"/>
      <c r="S151" s="729"/>
      <c r="T151" s="729"/>
      <c r="U151" s="729"/>
      <c r="V151" s="729"/>
      <c r="W151" s="729"/>
      <c r="X151" s="729"/>
      <c r="Y151" s="729"/>
      <c r="Z151" s="729"/>
      <c r="AA151" s="729"/>
      <c r="AB151" s="729"/>
      <c r="AC151" s="729"/>
      <c r="AD151" s="729"/>
      <c r="AE151" s="729"/>
      <c r="AF151" s="729"/>
      <c r="AG151" s="729"/>
    </row>
    <row r="152" spans="1:33">
      <c r="A152" s="729"/>
      <c r="B152" s="184"/>
      <c r="C152" s="51"/>
      <c r="D152" s="52"/>
      <c r="E152" s="52"/>
      <c r="F152" s="838"/>
      <c r="G152" s="73"/>
      <c r="H152" s="73"/>
      <c r="I152" s="73"/>
      <c r="J152" s="73"/>
      <c r="K152" s="73"/>
      <c r="L152" s="74"/>
      <c r="M152" s="674"/>
      <c r="N152" s="674"/>
      <c r="O152" s="674"/>
      <c r="P152" s="674"/>
      <c r="Q152" s="674"/>
      <c r="R152" s="674"/>
      <c r="S152" s="729"/>
      <c r="T152" s="729"/>
      <c r="U152" s="729"/>
      <c r="V152" s="729"/>
      <c r="W152" s="729"/>
      <c r="X152" s="729"/>
      <c r="Y152" s="729"/>
      <c r="Z152" s="729"/>
      <c r="AA152" s="729"/>
      <c r="AB152" s="729"/>
      <c r="AC152" s="729"/>
      <c r="AD152" s="729"/>
      <c r="AE152" s="729"/>
      <c r="AF152" s="729"/>
      <c r="AG152" s="729"/>
    </row>
    <row r="153" spans="1:33">
      <c r="A153" s="729"/>
      <c r="B153" s="206" t="s">
        <v>266</v>
      </c>
      <c r="C153" s="371">
        <f t="shared" ref="C153:H153" si="19">C144+C146-C150</f>
        <v>-1103207000</v>
      </c>
      <c r="D153" s="844">
        <f t="shared" si="19"/>
        <v>63485497</v>
      </c>
      <c r="E153" s="844">
        <f t="shared" si="19"/>
        <v>54048915</v>
      </c>
      <c r="F153" s="845">
        <f t="shared" si="19"/>
        <v>-37938007</v>
      </c>
      <c r="G153" s="372">
        <f t="shared" si="19"/>
        <v>706203</v>
      </c>
      <c r="H153" s="372">
        <f t="shared" si="19"/>
        <v>108374968</v>
      </c>
      <c r="I153" s="372">
        <f>I144+I146-I150</f>
        <v>33343650</v>
      </c>
      <c r="J153" s="372">
        <f>J144+J146-J150</f>
        <v>24707052</v>
      </c>
      <c r="K153" s="372">
        <f>J153-I153</f>
        <v>-8636598</v>
      </c>
      <c r="L153" s="373">
        <f>IF(I153=0,"-",(J153-I153)/ABS(I153))</f>
        <v>-0.25901777399894732</v>
      </c>
      <c r="M153" s="749">
        <f>M144+M146-M150</f>
        <v>222021226</v>
      </c>
      <c r="N153" s="749">
        <f>N144+N146-N150</f>
        <v>246728278</v>
      </c>
      <c r="O153" s="674"/>
      <c r="P153" s="674"/>
      <c r="Q153" s="674"/>
      <c r="R153" s="674"/>
      <c r="S153" s="729"/>
      <c r="T153" s="729"/>
      <c r="U153" s="729"/>
      <c r="V153" s="729"/>
      <c r="W153" s="729"/>
      <c r="X153" s="729"/>
      <c r="Y153" s="729"/>
      <c r="Z153" s="729"/>
      <c r="AA153" s="729"/>
      <c r="AB153" s="729"/>
      <c r="AC153" s="729"/>
      <c r="AD153" s="729"/>
      <c r="AE153" s="729"/>
      <c r="AF153" s="729"/>
      <c r="AG153" s="729"/>
    </row>
    <row r="154" spans="1:33">
      <c r="A154" s="729"/>
      <c r="B154" s="196" t="s">
        <v>267</v>
      </c>
      <c r="C154" s="48">
        <v>0</v>
      </c>
      <c r="D154" s="846">
        <v>0</v>
      </c>
      <c r="E154" s="846">
        <v>0</v>
      </c>
      <c r="F154" s="847">
        <v>0</v>
      </c>
      <c r="G154" s="374">
        <v>0</v>
      </c>
      <c r="H154" s="374">
        <v>0</v>
      </c>
      <c r="I154" s="374">
        <v>0</v>
      </c>
      <c r="J154" s="374">
        <v>0</v>
      </c>
      <c r="K154" s="375">
        <f>J154-I154</f>
        <v>0</v>
      </c>
      <c r="L154" s="75" t="str">
        <f>IF(I154=0,"-",(J154-I154)/ABS(I154))</f>
        <v>-</v>
      </c>
      <c r="M154" s="378">
        <v>0</v>
      </c>
      <c r="N154" s="378">
        <v>0</v>
      </c>
      <c r="O154" s="674"/>
      <c r="P154" s="674"/>
      <c r="Q154" s="674"/>
      <c r="R154" s="674"/>
      <c r="S154" s="729"/>
      <c r="T154" s="729"/>
      <c r="U154" s="729"/>
      <c r="V154" s="729"/>
      <c r="W154" s="729"/>
      <c r="X154" s="729"/>
      <c r="Y154" s="729"/>
      <c r="Z154" s="729"/>
      <c r="AA154" s="729"/>
      <c r="AB154" s="729"/>
      <c r="AC154" s="729"/>
      <c r="AD154" s="729"/>
      <c r="AE154" s="729"/>
      <c r="AF154" s="729"/>
      <c r="AG154" s="729"/>
    </row>
    <row r="155" spans="1:33">
      <c r="A155" s="729"/>
      <c r="B155" s="200" t="s">
        <v>268</v>
      </c>
      <c r="C155" s="348">
        <f t="shared" ref="C155:H155" si="20">C153-C154</f>
        <v>-1103207000</v>
      </c>
      <c r="D155" s="848">
        <f t="shared" si="20"/>
        <v>63485497</v>
      </c>
      <c r="E155" s="848">
        <f t="shared" si="20"/>
        <v>54048915</v>
      </c>
      <c r="F155" s="849">
        <f t="shared" si="20"/>
        <v>-37938007</v>
      </c>
      <c r="G155" s="376">
        <f t="shared" si="20"/>
        <v>706203</v>
      </c>
      <c r="H155" s="376">
        <f t="shared" si="20"/>
        <v>108374968</v>
      </c>
      <c r="I155" s="376">
        <f>I153-I154</f>
        <v>33343650</v>
      </c>
      <c r="J155" s="376">
        <f>J153-J154</f>
        <v>24707052</v>
      </c>
      <c r="K155" s="376">
        <f>J155-I155</f>
        <v>-8636598</v>
      </c>
      <c r="L155" s="377">
        <f>IF(I155=0,"-",(J155-I155)/ABS(I155))</f>
        <v>-0.25901777399894732</v>
      </c>
      <c r="M155" s="749">
        <f>M153-M154</f>
        <v>222021226</v>
      </c>
      <c r="N155" s="749">
        <f>N153-N154</f>
        <v>246728278</v>
      </c>
      <c r="O155" s="674"/>
      <c r="P155" s="674"/>
      <c r="Q155" s="674"/>
      <c r="R155" s="674"/>
      <c r="S155" s="729"/>
      <c r="T155" s="729"/>
      <c r="U155" s="729"/>
      <c r="V155" s="729"/>
      <c r="W155" s="729"/>
      <c r="X155" s="729"/>
      <c r="Y155" s="729"/>
      <c r="Z155" s="729"/>
      <c r="AA155" s="729"/>
      <c r="AB155" s="729"/>
      <c r="AC155" s="729"/>
      <c r="AD155" s="729"/>
      <c r="AE155" s="729"/>
      <c r="AF155" s="729"/>
      <c r="AG155" s="729"/>
    </row>
    <row r="156" spans="1:33">
      <c r="A156" s="729"/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184"/>
      <c r="P156" s="674"/>
      <c r="Q156" s="674"/>
      <c r="R156" s="674"/>
      <c r="S156" s="729"/>
      <c r="T156" s="729"/>
      <c r="U156" s="729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  <c r="AF156" s="729"/>
      <c r="AG156" s="729"/>
    </row>
    <row r="157" spans="1:33">
      <c r="A157" s="729"/>
      <c r="B157" s="197"/>
      <c r="C157" s="197"/>
      <c r="D157" s="76"/>
      <c r="E157" s="76"/>
      <c r="F157" s="76"/>
      <c r="G157" s="76"/>
      <c r="H157" s="674"/>
      <c r="I157" s="674"/>
      <c r="J157" s="674"/>
      <c r="K157" s="674"/>
      <c r="L157" s="674"/>
      <c r="M157" s="674"/>
      <c r="N157" s="674"/>
      <c r="O157" s="184"/>
      <c r="P157" s="674"/>
      <c r="Q157" s="674"/>
      <c r="R157" s="674"/>
      <c r="S157" s="729"/>
      <c r="T157" s="729"/>
      <c r="U157" s="729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  <c r="AF157" s="729"/>
      <c r="AG157" s="729"/>
    </row>
    <row r="158" spans="1:33" ht="15" thickBot="1">
      <c r="A158" s="729"/>
      <c r="B158" s="498" t="s">
        <v>1151</v>
      </c>
      <c r="C158" s="498"/>
      <c r="D158" s="498"/>
      <c r="E158" s="498"/>
      <c r="F158" s="498"/>
      <c r="G158" s="525"/>
      <c r="H158" s="464"/>
      <c r="I158" s="464"/>
      <c r="J158" s="464"/>
      <c r="K158" s="464"/>
      <c r="L158" s="464"/>
      <c r="M158" s="464"/>
      <c r="N158" s="464"/>
      <c r="O158" s="498"/>
      <c r="P158" s="464"/>
      <c r="Q158" s="464"/>
      <c r="R158" s="464"/>
      <c r="S158" s="729"/>
      <c r="T158" s="729"/>
      <c r="U158" s="729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  <c r="AF158" s="729"/>
      <c r="AG158" s="729"/>
    </row>
    <row r="159" spans="1:33" ht="30" customHeight="1" thickTop="1">
      <c r="A159" s="729"/>
      <c r="B159" s="462" t="s">
        <v>210</v>
      </c>
      <c r="C159" s="459" t="s">
        <v>1152</v>
      </c>
      <c r="D159" s="459" t="s">
        <v>1153</v>
      </c>
      <c r="E159" s="459" t="s">
        <v>274</v>
      </c>
      <c r="F159" s="459" t="s">
        <v>820</v>
      </c>
      <c r="G159" s="526"/>
      <c r="H159" s="461"/>
      <c r="I159" s="461"/>
      <c r="J159" s="461"/>
      <c r="K159" s="461"/>
      <c r="L159" s="461"/>
      <c r="M159" s="461"/>
      <c r="N159" s="461"/>
      <c r="O159" s="461"/>
      <c r="P159" s="461"/>
      <c r="Q159" s="461"/>
      <c r="R159" s="461"/>
      <c r="S159" s="729"/>
      <c r="T159" s="729"/>
      <c r="U159" s="729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  <c r="AF159" s="729"/>
      <c r="AG159" s="729"/>
    </row>
    <row r="160" spans="1:33">
      <c r="A160" s="729"/>
      <c r="B160" s="197" t="s">
        <v>1035</v>
      </c>
      <c r="C160" s="79">
        <f>SUM($D$133:$J$133)</f>
        <v>5615511389</v>
      </c>
      <c r="D160" s="79">
        <f>N133</f>
        <v>5615511389</v>
      </c>
      <c r="E160" s="79">
        <f t="shared" ref="E160:E171" si="21">C160-D160</f>
        <v>0</v>
      </c>
      <c r="F160" s="208" t="str">
        <f t="shared" ref="F160:F167" si="22">IF(E160=0,"OK","REVISAR")</f>
        <v>OK</v>
      </c>
      <c r="G160" s="674"/>
      <c r="H160" s="674"/>
      <c r="I160" s="674"/>
      <c r="J160" s="674"/>
      <c r="K160" s="674"/>
      <c r="L160" s="674"/>
      <c r="M160" s="674"/>
      <c r="N160" s="184"/>
      <c r="O160" s="674"/>
      <c r="P160" s="674"/>
      <c r="Q160" s="674"/>
      <c r="R160" s="674"/>
      <c r="S160" s="729"/>
      <c r="T160" s="729"/>
      <c r="U160" s="729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  <c r="AF160" s="729"/>
      <c r="AG160" s="729"/>
    </row>
    <row r="161" spans="1:33">
      <c r="A161" s="729"/>
      <c r="B161" s="197" t="s">
        <v>1036</v>
      </c>
      <c r="C161" s="79">
        <f>SUM($D$134:$J$134)</f>
        <v>-463278090</v>
      </c>
      <c r="D161" s="79">
        <f>N134</f>
        <v>-463278090</v>
      </c>
      <c r="E161" s="79">
        <f t="shared" si="21"/>
        <v>0</v>
      </c>
      <c r="F161" s="208" t="str">
        <f t="shared" si="22"/>
        <v>OK</v>
      </c>
      <c r="G161" s="674"/>
      <c r="H161" s="674"/>
      <c r="I161" s="674"/>
      <c r="J161" s="674"/>
      <c r="K161" s="674"/>
      <c r="L161" s="674"/>
      <c r="M161" s="674"/>
      <c r="N161" s="184"/>
      <c r="O161" s="674"/>
      <c r="P161" s="674"/>
      <c r="Q161" s="674"/>
      <c r="R161" s="674"/>
      <c r="S161" s="729"/>
      <c r="T161" s="729"/>
      <c r="U161" s="729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  <c r="AF161" s="729"/>
      <c r="AG161" s="729"/>
    </row>
    <row r="162" spans="1:33">
      <c r="A162" s="729"/>
      <c r="B162" s="197" t="s">
        <v>255</v>
      </c>
      <c r="C162" s="79">
        <f>SUM($D$135:$J$135)</f>
        <v>2442623347</v>
      </c>
      <c r="D162" s="79">
        <f>N135</f>
        <v>2442623347</v>
      </c>
      <c r="E162" s="79">
        <f t="shared" si="21"/>
        <v>0</v>
      </c>
      <c r="F162" s="208" t="str">
        <f t="shared" si="22"/>
        <v>OK</v>
      </c>
      <c r="G162" s="674"/>
      <c r="H162" s="674"/>
      <c r="I162" s="674"/>
      <c r="J162" s="674"/>
      <c r="K162" s="674"/>
      <c r="L162" s="674"/>
      <c r="M162" s="674"/>
      <c r="N162" s="184"/>
      <c r="O162" s="674"/>
      <c r="P162" s="674"/>
      <c r="Q162" s="674"/>
      <c r="R162" s="674"/>
      <c r="S162" s="729"/>
      <c r="T162" s="729"/>
      <c r="U162" s="729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  <c r="AF162" s="729"/>
      <c r="AG162" s="729"/>
    </row>
    <row r="163" spans="1:33">
      <c r="A163" s="729"/>
      <c r="B163" s="197" t="s">
        <v>1037</v>
      </c>
      <c r="C163" s="79">
        <f>SUM($D$139:$J$139)</f>
        <v>797478918</v>
      </c>
      <c r="D163" s="79">
        <f>N139</f>
        <v>797478918</v>
      </c>
      <c r="E163" s="79">
        <f t="shared" si="21"/>
        <v>0</v>
      </c>
      <c r="F163" s="208" t="str">
        <f t="shared" si="22"/>
        <v>OK</v>
      </c>
      <c r="G163" s="674"/>
      <c r="H163" s="674"/>
      <c r="I163" s="674"/>
      <c r="J163" s="674"/>
      <c r="K163" s="674"/>
      <c r="L163" s="674"/>
      <c r="M163" s="674"/>
      <c r="N163" s="184"/>
      <c r="O163" s="674"/>
      <c r="P163" s="674"/>
      <c r="Q163" s="674"/>
      <c r="R163" s="674"/>
      <c r="S163" s="729"/>
      <c r="T163" s="729"/>
      <c r="U163" s="729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  <c r="AF163" s="729"/>
      <c r="AG163" s="729"/>
    </row>
    <row r="164" spans="1:33">
      <c r="A164" s="729"/>
      <c r="B164" s="197" t="s">
        <v>1038</v>
      </c>
      <c r="C164" s="79">
        <f>SUM($D$141:$J$141)</f>
        <v>676358287</v>
      </c>
      <c r="D164" s="79">
        <f>N141</f>
        <v>676358287</v>
      </c>
      <c r="E164" s="79">
        <f t="shared" si="21"/>
        <v>0</v>
      </c>
      <c r="F164" s="208" t="str">
        <f t="shared" si="22"/>
        <v>OK</v>
      </c>
      <c r="G164" s="674"/>
      <c r="H164" s="674"/>
      <c r="I164" s="674"/>
      <c r="J164" s="674"/>
      <c r="K164" s="674"/>
      <c r="L164" s="674"/>
      <c r="M164" s="674"/>
      <c r="N164" s="184"/>
      <c r="O164" s="674"/>
      <c r="P164" s="674"/>
      <c r="Q164" s="674"/>
      <c r="R164" s="674"/>
      <c r="S164" s="729"/>
      <c r="T164" s="729"/>
      <c r="U164" s="729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  <c r="AF164" s="729"/>
      <c r="AG164" s="729"/>
    </row>
    <row r="165" spans="1:33">
      <c r="A165" s="729"/>
      <c r="B165" s="197" t="s">
        <v>804</v>
      </c>
      <c r="C165" s="79">
        <f>SUM($D$142:$J$142)</f>
        <v>959736563</v>
      </c>
      <c r="D165" s="79">
        <f>N142</f>
        <v>959736563</v>
      </c>
      <c r="E165" s="79">
        <f t="shared" si="21"/>
        <v>0</v>
      </c>
      <c r="F165" s="208" t="str">
        <f t="shared" si="22"/>
        <v>OK</v>
      </c>
      <c r="G165" s="674"/>
      <c r="H165" s="674"/>
      <c r="I165" s="674"/>
      <c r="J165" s="674"/>
      <c r="K165" s="674"/>
      <c r="L165" s="674"/>
      <c r="M165" s="674"/>
      <c r="N165" s="184"/>
      <c r="O165" s="674"/>
      <c r="P165" s="674"/>
      <c r="Q165" s="674"/>
      <c r="R165" s="674"/>
      <c r="S165" s="729"/>
      <c r="T165" s="729"/>
      <c r="U165" s="729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  <c r="AF165" s="729"/>
      <c r="AG165" s="729"/>
    </row>
    <row r="166" spans="1:33">
      <c r="A166" s="729"/>
      <c r="B166" s="197" t="s">
        <v>261</v>
      </c>
      <c r="C166" s="79">
        <f>SUM($D$146:$J$146)</f>
        <v>10800447</v>
      </c>
      <c r="D166" s="79">
        <f>N146</f>
        <v>10800447</v>
      </c>
      <c r="E166" s="79">
        <f t="shared" si="21"/>
        <v>0</v>
      </c>
      <c r="F166" s="208" t="str">
        <f t="shared" si="22"/>
        <v>OK</v>
      </c>
      <c r="G166" s="674"/>
      <c r="H166" s="674"/>
      <c r="I166" s="674"/>
      <c r="J166" s="674"/>
      <c r="K166" s="674"/>
      <c r="L166" s="674"/>
      <c r="M166" s="674"/>
      <c r="N166" s="184"/>
      <c r="O166" s="674"/>
      <c r="P166" s="674"/>
      <c r="Q166" s="674"/>
      <c r="R166" s="674"/>
      <c r="S166" s="729"/>
      <c r="T166" s="729"/>
      <c r="U166" s="729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  <c r="AF166" s="729"/>
      <c r="AG166" s="729"/>
    </row>
    <row r="167" spans="1:33">
      <c r="A167" s="729"/>
      <c r="B167" s="197" t="s">
        <v>986</v>
      </c>
      <c r="C167" s="79">
        <f>SUM($D$150:$J$150)</f>
        <v>40108353</v>
      </c>
      <c r="D167" s="79">
        <f>N150</f>
        <v>40108353</v>
      </c>
      <c r="E167" s="79">
        <f t="shared" si="21"/>
        <v>0</v>
      </c>
      <c r="F167" s="208" t="str">
        <f t="shared" si="22"/>
        <v>OK</v>
      </c>
      <c r="G167" s="674"/>
      <c r="H167" s="674"/>
      <c r="I167" s="674"/>
      <c r="J167" s="674"/>
      <c r="K167" s="674"/>
      <c r="L167" s="674"/>
      <c r="M167" s="674"/>
      <c r="N167" s="184"/>
      <c r="O167" s="674"/>
      <c r="P167" s="674"/>
      <c r="Q167" s="674"/>
      <c r="R167" s="674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  <c r="AF167" s="729"/>
      <c r="AG167" s="729"/>
    </row>
    <row r="168" spans="1:33">
      <c r="A168" s="729"/>
      <c r="B168" s="197" t="s">
        <v>1039</v>
      </c>
      <c r="C168" s="79">
        <f>SUM($D$144:$J$144)</f>
        <v>276036184</v>
      </c>
      <c r="D168" s="66">
        <v>276036182</v>
      </c>
      <c r="E168" s="79">
        <f t="shared" si="21"/>
        <v>2</v>
      </c>
      <c r="F168" s="209" t="str">
        <f>IF(E168=0,"OK","DIF. PDF")</f>
        <v>DIF. PDF</v>
      </c>
      <c r="G168" s="674"/>
      <c r="H168" s="184"/>
      <c r="I168" s="674"/>
      <c r="J168" s="674"/>
      <c r="K168" s="674"/>
      <c r="L168" s="674"/>
      <c r="M168" s="674"/>
      <c r="N168" s="184"/>
      <c r="O168" s="674"/>
      <c r="P168" s="674"/>
      <c r="Q168" s="674"/>
      <c r="R168" s="674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  <c r="AF168" s="729"/>
      <c r="AG168" s="729"/>
    </row>
    <row r="169" spans="1:33">
      <c r="A169" s="729"/>
      <c r="B169" s="197" t="s">
        <v>268</v>
      </c>
      <c r="C169" s="79">
        <f>SUM($D$155:$J$155)</f>
        <v>246728278</v>
      </c>
      <c r="D169" s="66">
        <v>246728277</v>
      </c>
      <c r="E169" s="79">
        <f t="shared" si="21"/>
        <v>1</v>
      </c>
      <c r="F169" s="209" t="str">
        <f>IF(E169=0,"OK","DIF. PDF")</f>
        <v>DIF. PDF</v>
      </c>
      <c r="G169" s="674"/>
      <c r="H169" s="184"/>
      <c r="I169" s="674"/>
      <c r="J169" s="674"/>
      <c r="K169" s="674"/>
      <c r="L169" s="674"/>
      <c r="M169" s="674"/>
      <c r="N169" s="184"/>
      <c r="O169" s="674"/>
      <c r="P169" s="674"/>
      <c r="Q169" s="674"/>
      <c r="R169" s="674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  <c r="AF169" s="729"/>
      <c r="AG169" s="729"/>
    </row>
    <row r="170" spans="1:33">
      <c r="A170" s="729"/>
      <c r="B170" s="527" t="s">
        <v>1154</v>
      </c>
      <c r="C170" s="528">
        <f>$J$104</f>
        <v>6106667432</v>
      </c>
      <c r="D170" s="529">
        <v>6106667432</v>
      </c>
      <c r="E170" s="528">
        <f t="shared" si="21"/>
        <v>0</v>
      </c>
      <c r="F170" s="530" t="str">
        <f>IF(E170=0,"OK","REVISAR")</f>
        <v>OK</v>
      </c>
      <c r="G170" s="679"/>
      <c r="H170" s="531"/>
      <c r="I170" s="679"/>
      <c r="J170" s="679"/>
      <c r="K170" s="679"/>
      <c r="L170" s="679"/>
      <c r="M170" s="679"/>
      <c r="N170" s="531"/>
      <c r="O170" s="679"/>
      <c r="P170" s="679"/>
      <c r="Q170" s="679"/>
      <c r="R170" s="67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  <c r="AF170" s="729"/>
      <c r="AG170" s="729"/>
    </row>
    <row r="171" spans="1:33">
      <c r="A171" s="729"/>
      <c r="B171" s="527" t="s">
        <v>1155</v>
      </c>
      <c r="C171" s="528">
        <f>$J$124</f>
        <v>6106667432</v>
      </c>
      <c r="D171" s="529">
        <v>6106667432</v>
      </c>
      <c r="E171" s="528">
        <f t="shared" si="21"/>
        <v>0</v>
      </c>
      <c r="F171" s="532" t="str">
        <f>IF(E171=0,"OK","DIF. PDF")</f>
        <v>OK</v>
      </c>
      <c r="G171" s="679"/>
      <c r="H171" s="679"/>
      <c r="I171" s="679"/>
      <c r="J171" s="679"/>
      <c r="K171" s="679"/>
      <c r="L171" s="679"/>
      <c r="M171" s="679"/>
      <c r="N171" s="679"/>
      <c r="O171" s="679"/>
      <c r="P171" s="679"/>
      <c r="Q171" s="679"/>
      <c r="R171" s="67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  <c r="AF171" s="729"/>
      <c r="AG171" s="729"/>
    </row>
    <row r="172" spans="1:33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  <c r="AF172" s="729"/>
      <c r="AG172" s="729"/>
    </row>
    <row r="173" spans="1:33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  <c r="AF173" s="729"/>
      <c r="AG173" s="729"/>
    </row>
    <row r="174" spans="1:33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  <c r="AF174" s="729"/>
      <c r="AG174" s="729"/>
    </row>
    <row r="175" spans="1:33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  <c r="AF175" s="729"/>
      <c r="AG175" s="729"/>
    </row>
    <row r="176" spans="1:33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  <c r="AF176" s="729"/>
      <c r="AG176" s="729"/>
    </row>
    <row r="177" spans="1:33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  <c r="AF177" s="729"/>
      <c r="AG177" s="729"/>
    </row>
    <row r="178" spans="1:33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  <c r="AF178" s="729"/>
      <c r="AG178" s="729"/>
    </row>
    <row r="179" spans="1:33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  <c r="AF179" s="729"/>
      <c r="AG179" s="729"/>
    </row>
    <row r="180" spans="1:33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  <c r="AF180" s="729"/>
      <c r="AG180" s="729"/>
    </row>
    <row r="181" spans="1:33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  <c r="AF181" s="729"/>
      <c r="AG181" s="729"/>
    </row>
    <row r="182" spans="1:33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  <c r="AF182" s="729"/>
      <c r="AG182" s="729"/>
    </row>
    <row r="183" spans="1:33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  <c r="AF183" s="729"/>
      <c r="AG183" s="729"/>
    </row>
    <row r="184" spans="1:33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  <c r="AF184" s="729"/>
      <c r="AG184" s="729"/>
    </row>
    <row r="185" spans="1:33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  <c r="AF185" s="729"/>
      <c r="AG185" s="729"/>
    </row>
    <row r="186" spans="1:33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  <c r="AF186" s="729"/>
      <c r="AG186" s="729"/>
    </row>
    <row r="187" spans="1:33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  <c r="AF187" s="729"/>
      <c r="AG187" s="729"/>
    </row>
    <row r="188" spans="1:33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  <c r="AF188" s="729"/>
      <c r="AG188" s="729"/>
    </row>
    <row r="189" spans="1:33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  <c r="AF189" s="729"/>
      <c r="AG189" s="729"/>
    </row>
    <row r="190" spans="1:33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  <c r="AF190" s="729"/>
      <c r="AG190" s="729"/>
    </row>
    <row r="191" spans="1:33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  <c r="AF191" s="729"/>
      <c r="AG191" s="729"/>
    </row>
    <row r="192" spans="1:33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  <c r="AF192" s="729"/>
      <c r="AG192" s="729"/>
    </row>
    <row r="193" spans="1:33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  <c r="AF193" s="729"/>
      <c r="AG193" s="729"/>
    </row>
    <row r="194" spans="1:33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  <c r="AF194" s="729"/>
      <c r="AG194" s="729"/>
    </row>
    <row r="195" spans="1:33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  <c r="AF195" s="729"/>
      <c r="AG195" s="729"/>
    </row>
    <row r="196" spans="1:33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9"/>
      <c r="P196" s="729"/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  <c r="AF196" s="729"/>
      <c r="AG196" s="729"/>
    </row>
    <row r="197" spans="1:33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9"/>
      <c r="P197" s="729"/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  <c r="AF197" s="729"/>
      <c r="AG197" s="729"/>
    </row>
    <row r="198" spans="1:33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9"/>
      <c r="P198" s="729"/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  <c r="AF198" s="729"/>
      <c r="AG198" s="729"/>
    </row>
    <row r="199" spans="1:33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9"/>
      <c r="P199" s="729"/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  <c r="AF199" s="729"/>
      <c r="AG199" s="729"/>
    </row>
    <row r="200" spans="1:33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9"/>
      <c r="P200" s="729"/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  <c r="AF200" s="729"/>
      <c r="AG200" s="729"/>
    </row>
    <row r="201" spans="1:33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9"/>
      <c r="P201" s="729"/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  <c r="AF201" s="729"/>
      <c r="AG201" s="729"/>
    </row>
    <row r="202" spans="1:33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9"/>
      <c r="P202" s="729"/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  <c r="AF202" s="729"/>
      <c r="AG202" s="729"/>
    </row>
    <row r="203" spans="1:33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9"/>
      <c r="P203" s="729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  <c r="AF203" s="729"/>
      <c r="AG203" s="729"/>
    </row>
    <row r="204" spans="1:33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9"/>
      <c r="P204" s="729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  <c r="AF204" s="729"/>
      <c r="AG204" s="729"/>
    </row>
    <row r="205" spans="1:33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9"/>
      <c r="P205" s="729"/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  <c r="AF205" s="729"/>
      <c r="AG205" s="729"/>
    </row>
    <row r="206" spans="1:33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9"/>
      <c r="P206" s="729"/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  <c r="AF206" s="729"/>
      <c r="AG206" s="729"/>
    </row>
    <row r="207" spans="1:33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9"/>
      <c r="P207" s="729"/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  <c r="AF207" s="729"/>
      <c r="AG207" s="729"/>
    </row>
    <row r="208" spans="1:33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9"/>
      <c r="P208" s="729"/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  <c r="AF208" s="729"/>
      <c r="AG208" s="729"/>
    </row>
    <row r="209" spans="1:33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9"/>
      <c r="P209" s="729"/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  <c r="AF209" s="729"/>
      <c r="AG209" s="729"/>
    </row>
    <row r="210" spans="1:33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9"/>
      <c r="P210" s="729"/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  <c r="AF210" s="729"/>
      <c r="AG210" s="729"/>
    </row>
    <row r="211" spans="1:33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9"/>
      <c r="P211" s="729"/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  <c r="AF211" s="729"/>
      <c r="AG211" s="729"/>
    </row>
    <row r="212" spans="1:33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  <c r="AF212" s="729"/>
      <c r="AG212" s="729"/>
    </row>
    <row r="213" spans="1:33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9"/>
      <c r="P213" s="729"/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  <c r="AF213" s="729"/>
      <c r="AG213" s="729"/>
    </row>
    <row r="214" spans="1:33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9"/>
      <c r="P214" s="729"/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  <c r="AF214" s="729"/>
      <c r="AG214" s="729"/>
    </row>
    <row r="215" spans="1:33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9"/>
      <c r="P215" s="729"/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  <c r="AF215" s="729"/>
      <c r="AG215" s="729"/>
    </row>
    <row r="216" spans="1:33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9"/>
      <c r="P216" s="729"/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  <c r="AF216" s="729"/>
      <c r="AG216" s="729"/>
    </row>
    <row r="217" spans="1:33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9"/>
      <c r="P217" s="729"/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  <c r="AF217" s="729"/>
      <c r="AG217" s="729"/>
    </row>
    <row r="218" spans="1:33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9"/>
      <c r="P218" s="729"/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  <c r="AF218" s="729"/>
      <c r="AG218" s="729"/>
    </row>
    <row r="219" spans="1:33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9"/>
      <c r="P219" s="729"/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  <c r="AF219" s="729"/>
      <c r="AG219" s="729"/>
    </row>
    <row r="220" spans="1:33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9"/>
      <c r="P220" s="729"/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  <c r="AF220" s="729"/>
      <c r="AG220" s="729"/>
    </row>
    <row r="221" spans="1:33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9"/>
      <c r="P221" s="729"/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  <c r="AF221" s="729"/>
      <c r="AG221" s="729"/>
    </row>
    <row r="222" spans="1:33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9"/>
      <c r="P222" s="729"/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  <c r="AF222" s="729"/>
      <c r="AG222" s="729"/>
    </row>
    <row r="223" spans="1:33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9"/>
      <c r="P223" s="729"/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  <c r="AF223" s="729"/>
      <c r="AG223" s="729"/>
    </row>
    <row r="224" spans="1:33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9"/>
      <c r="P224" s="729"/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  <c r="AF224" s="729"/>
      <c r="AG224" s="729"/>
    </row>
    <row r="225" spans="1:33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9"/>
      <c r="P225" s="729"/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  <c r="AF225" s="729"/>
      <c r="AG225" s="729"/>
    </row>
    <row r="226" spans="1:33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9"/>
      <c r="P226" s="729"/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  <c r="AF226" s="729"/>
      <c r="AG226" s="729"/>
    </row>
    <row r="227" spans="1:33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  <c r="AF227" s="729"/>
      <c r="AG227" s="729"/>
    </row>
    <row r="228" spans="1:33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9"/>
      <c r="P228" s="729"/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  <c r="AF228" s="729"/>
      <c r="AG228" s="729"/>
    </row>
    <row r="229" spans="1:33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9"/>
      <c r="P229" s="729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  <c r="AF229" s="729"/>
      <c r="AG229" s="729"/>
    </row>
    <row r="230" spans="1:33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9"/>
      <c r="P230" s="729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  <c r="AF230" s="729"/>
      <c r="AG230" s="729"/>
    </row>
    <row r="231" spans="1:33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9"/>
      <c r="P231" s="729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  <c r="AF231" s="729"/>
      <c r="AG231" s="729"/>
    </row>
    <row r="232" spans="1:33">
      <c r="A232" s="729"/>
      <c r="B232" s="729"/>
      <c r="C232" s="729"/>
      <c r="D232" s="729"/>
      <c r="E232" s="729"/>
      <c r="F232" s="729"/>
      <c r="G232" s="729"/>
      <c r="H232" s="729"/>
      <c r="I232" s="729"/>
      <c r="J232" s="729"/>
      <c r="K232" s="729"/>
      <c r="L232" s="729"/>
      <c r="M232" s="729"/>
      <c r="N232" s="729"/>
      <c r="O232" s="729"/>
      <c r="P232" s="729"/>
      <c r="Q232" s="729"/>
      <c r="R232" s="729"/>
      <c r="S232" s="729"/>
      <c r="T232" s="729"/>
      <c r="U232" s="729"/>
      <c r="V232" s="729"/>
      <c r="W232" s="729"/>
      <c r="X232" s="729"/>
      <c r="Y232" s="729"/>
      <c r="Z232" s="729"/>
      <c r="AA232" s="729"/>
      <c r="AB232" s="729"/>
      <c r="AC232" s="729"/>
      <c r="AD232" s="729"/>
      <c r="AE232" s="729"/>
      <c r="AF232" s="729"/>
      <c r="AG232" s="729"/>
    </row>
    <row r="233" spans="1:33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29"/>
      <c r="P233" s="729"/>
      <c r="Q233" s="729"/>
      <c r="R233" s="729"/>
      <c r="S233" s="729"/>
      <c r="T233" s="729"/>
      <c r="U233" s="729"/>
      <c r="V233" s="729"/>
      <c r="W233" s="729"/>
      <c r="X233" s="729"/>
      <c r="Y233" s="729"/>
      <c r="Z233" s="729"/>
      <c r="AA233" s="729"/>
      <c r="AB233" s="729"/>
      <c r="AC233" s="729"/>
      <c r="AD233" s="729"/>
      <c r="AE233" s="729"/>
      <c r="AF233" s="729"/>
      <c r="AG233" s="729"/>
    </row>
    <row r="234" spans="1:33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29"/>
      <c r="P234" s="729"/>
      <c r="Q234" s="729"/>
      <c r="R234" s="729"/>
      <c r="S234" s="729"/>
      <c r="T234" s="729"/>
      <c r="U234" s="729"/>
      <c r="V234" s="729"/>
      <c r="W234" s="729"/>
      <c r="X234" s="729"/>
      <c r="Y234" s="729"/>
      <c r="Z234" s="729"/>
      <c r="AA234" s="729"/>
      <c r="AB234" s="729"/>
      <c r="AC234" s="729"/>
      <c r="AD234" s="729"/>
      <c r="AE234" s="729"/>
      <c r="AF234" s="729"/>
      <c r="AG234" s="729"/>
    </row>
    <row r="235" spans="1:33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29"/>
      <c r="P235" s="729"/>
      <c r="Q235" s="729"/>
      <c r="R235" s="729"/>
      <c r="S235" s="729"/>
      <c r="T235" s="729"/>
      <c r="U235" s="729"/>
      <c r="V235" s="729"/>
      <c r="W235" s="729"/>
      <c r="X235" s="729"/>
      <c r="Y235" s="729"/>
      <c r="Z235" s="729"/>
      <c r="AA235" s="729"/>
      <c r="AB235" s="729"/>
      <c r="AC235" s="729"/>
      <c r="AD235" s="729"/>
      <c r="AE235" s="729"/>
      <c r="AF235" s="729"/>
      <c r="AG235" s="729"/>
    </row>
    <row r="236" spans="1:33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29"/>
      <c r="P236" s="729"/>
      <c r="Q236" s="729"/>
      <c r="R236" s="729"/>
      <c r="S236" s="729"/>
      <c r="T236" s="729"/>
      <c r="U236" s="729"/>
      <c r="V236" s="729"/>
      <c r="W236" s="729"/>
      <c r="X236" s="729"/>
      <c r="Y236" s="729"/>
      <c r="Z236" s="729"/>
      <c r="AA236" s="729"/>
      <c r="AB236" s="729"/>
      <c r="AC236" s="729"/>
      <c r="AD236" s="729"/>
      <c r="AE236" s="729"/>
      <c r="AF236" s="729"/>
      <c r="AG236" s="729"/>
    </row>
    <row r="237" spans="1:33">
      <c r="A237" s="729"/>
      <c r="B237" s="729"/>
      <c r="C237" s="729"/>
      <c r="D237" s="729"/>
      <c r="E237" s="729"/>
      <c r="F237" s="729"/>
      <c r="G237" s="729"/>
      <c r="H237" s="729"/>
      <c r="I237" s="729"/>
      <c r="J237" s="729"/>
      <c r="K237" s="729"/>
      <c r="L237" s="729"/>
      <c r="M237" s="729"/>
      <c r="N237" s="729"/>
      <c r="O237" s="729"/>
      <c r="P237" s="729"/>
      <c r="Q237" s="729"/>
      <c r="R237" s="729"/>
      <c r="S237" s="729"/>
      <c r="T237" s="729"/>
      <c r="U237" s="729"/>
      <c r="V237" s="729"/>
      <c r="W237" s="729"/>
      <c r="X237" s="729"/>
      <c r="Y237" s="729"/>
      <c r="Z237" s="729"/>
      <c r="AA237" s="729"/>
      <c r="AB237" s="729"/>
      <c r="AC237" s="729"/>
      <c r="AD237" s="729"/>
      <c r="AE237" s="729"/>
      <c r="AF237" s="729"/>
      <c r="AG237" s="729"/>
    </row>
    <row r="238" spans="1:33">
      <c r="A238" s="729"/>
      <c r="B238" s="729"/>
      <c r="C238" s="729"/>
      <c r="D238" s="729"/>
      <c r="E238" s="729"/>
      <c r="F238" s="729"/>
      <c r="G238" s="729"/>
      <c r="H238" s="729"/>
      <c r="I238" s="729"/>
      <c r="J238" s="729"/>
      <c r="K238" s="729"/>
      <c r="L238" s="729"/>
      <c r="M238" s="729"/>
      <c r="N238" s="729"/>
      <c r="O238" s="729"/>
      <c r="P238" s="729"/>
      <c r="Q238" s="729"/>
      <c r="R238" s="729"/>
      <c r="S238" s="729"/>
      <c r="T238" s="729"/>
      <c r="U238" s="729"/>
      <c r="V238" s="729"/>
      <c r="W238" s="729"/>
      <c r="X238" s="729"/>
      <c r="Y238" s="729"/>
      <c r="Z238" s="729"/>
      <c r="AA238" s="729"/>
      <c r="AB238" s="729"/>
      <c r="AC238" s="729"/>
      <c r="AD238" s="729"/>
      <c r="AE238" s="729"/>
      <c r="AF238" s="729"/>
      <c r="AG238" s="729"/>
    </row>
    <row r="239" spans="1:33">
      <c r="A239" s="729"/>
      <c r="B239" s="729"/>
      <c r="C239" s="729"/>
      <c r="D239" s="729"/>
      <c r="E239" s="729"/>
      <c r="F239" s="729"/>
      <c r="G239" s="729"/>
      <c r="H239" s="729"/>
      <c r="I239" s="729"/>
      <c r="J239" s="729"/>
      <c r="K239" s="729"/>
      <c r="L239" s="729"/>
      <c r="M239" s="729"/>
      <c r="N239" s="729"/>
      <c r="O239" s="729"/>
      <c r="P239" s="729"/>
      <c r="Q239" s="729"/>
      <c r="R239" s="729"/>
      <c r="S239" s="729"/>
      <c r="T239" s="729"/>
      <c r="U239" s="729"/>
      <c r="V239" s="729"/>
      <c r="W239" s="729"/>
      <c r="X239" s="729"/>
      <c r="Y239" s="729"/>
      <c r="Z239" s="729"/>
      <c r="AA239" s="729"/>
      <c r="AB239" s="729"/>
      <c r="AC239" s="729"/>
      <c r="AD239" s="729"/>
      <c r="AE239" s="729"/>
      <c r="AF239" s="729"/>
      <c r="AG239" s="729"/>
    </row>
    <row r="240" spans="1:33">
      <c r="A240" s="729"/>
      <c r="B240" s="729"/>
      <c r="C240" s="729"/>
      <c r="D240" s="729"/>
      <c r="E240" s="729"/>
      <c r="F240" s="729"/>
      <c r="G240" s="729"/>
      <c r="H240" s="729"/>
      <c r="I240" s="729"/>
      <c r="J240" s="729"/>
      <c r="K240" s="729"/>
      <c r="L240" s="729"/>
      <c r="M240" s="729"/>
      <c r="N240" s="729"/>
      <c r="O240" s="729"/>
      <c r="P240" s="729"/>
      <c r="Q240" s="729"/>
      <c r="R240" s="729"/>
      <c r="S240" s="729"/>
      <c r="T240" s="729"/>
      <c r="U240" s="729"/>
      <c r="V240" s="729"/>
      <c r="W240" s="729"/>
      <c r="X240" s="729"/>
      <c r="Y240" s="729"/>
      <c r="Z240" s="729"/>
      <c r="AA240" s="729"/>
      <c r="AB240" s="729"/>
      <c r="AC240" s="729"/>
      <c r="AD240" s="729"/>
      <c r="AE240" s="729"/>
      <c r="AF240" s="729"/>
      <c r="AG240" s="729"/>
    </row>
    <row r="241" spans="1:33">
      <c r="A241" s="729"/>
      <c r="B241" s="729"/>
      <c r="C241" s="729"/>
      <c r="D241" s="729"/>
      <c r="E241" s="729"/>
      <c r="F241" s="729"/>
      <c r="G241" s="729"/>
      <c r="H241" s="729"/>
      <c r="I241" s="729"/>
      <c r="J241" s="729"/>
      <c r="K241" s="729"/>
      <c r="L241" s="729"/>
      <c r="M241" s="729"/>
      <c r="N241" s="729"/>
      <c r="O241" s="729"/>
      <c r="P241" s="729"/>
      <c r="Q241" s="729"/>
      <c r="R241" s="729"/>
      <c r="S241" s="729"/>
      <c r="T241" s="729"/>
      <c r="U241" s="729"/>
      <c r="V241" s="729"/>
      <c r="W241" s="729"/>
      <c r="X241" s="729"/>
      <c r="Y241" s="729"/>
      <c r="Z241" s="729"/>
      <c r="AA241" s="729"/>
      <c r="AB241" s="729"/>
      <c r="AC241" s="729"/>
      <c r="AD241" s="729"/>
      <c r="AE241" s="729"/>
      <c r="AF241" s="729"/>
      <c r="AG241" s="729"/>
    </row>
    <row r="242" spans="1:33">
      <c r="A242" s="729"/>
      <c r="B242" s="729"/>
      <c r="C242" s="729"/>
      <c r="D242" s="729"/>
      <c r="E242" s="729"/>
      <c r="F242" s="729"/>
      <c r="G242" s="729"/>
      <c r="H242" s="729"/>
      <c r="I242" s="729"/>
      <c r="J242" s="729"/>
      <c r="K242" s="729"/>
      <c r="L242" s="729"/>
      <c r="M242" s="729"/>
      <c r="N242" s="729"/>
      <c r="O242" s="729"/>
      <c r="P242" s="729"/>
      <c r="Q242" s="729"/>
      <c r="R242" s="729"/>
      <c r="S242" s="729"/>
      <c r="T242" s="729"/>
      <c r="U242" s="729"/>
      <c r="V242" s="729"/>
      <c r="W242" s="729"/>
      <c r="X242" s="729"/>
      <c r="Y242" s="729"/>
      <c r="Z242" s="729"/>
      <c r="AA242" s="729"/>
      <c r="AB242" s="729"/>
      <c r="AC242" s="729"/>
      <c r="AD242" s="729"/>
      <c r="AE242" s="729"/>
      <c r="AF242" s="729"/>
      <c r="AG242" s="729"/>
    </row>
    <row r="243" spans="1:33">
      <c r="A243" s="729"/>
      <c r="B243" s="729"/>
      <c r="C243" s="729"/>
      <c r="D243" s="729"/>
      <c r="E243" s="729"/>
      <c r="F243" s="729"/>
      <c r="G243" s="729"/>
      <c r="H243" s="729"/>
      <c r="I243" s="729"/>
      <c r="J243" s="729"/>
      <c r="K243" s="729"/>
      <c r="L243" s="729"/>
      <c r="M243" s="729"/>
      <c r="N243" s="729"/>
      <c r="O243" s="729"/>
      <c r="P243" s="729"/>
      <c r="Q243" s="729"/>
      <c r="R243" s="729"/>
      <c r="S243" s="729"/>
      <c r="T243" s="729"/>
      <c r="U243" s="729"/>
      <c r="V243" s="729"/>
      <c r="W243" s="729"/>
      <c r="X243" s="729"/>
      <c r="Y243" s="729"/>
      <c r="Z243" s="729"/>
      <c r="AA243" s="729"/>
      <c r="AB243" s="729"/>
      <c r="AC243" s="729"/>
      <c r="AD243" s="729"/>
      <c r="AE243" s="729"/>
      <c r="AF243" s="729"/>
      <c r="AG243" s="729"/>
    </row>
    <row r="244" spans="1:33">
      <c r="A244" s="729"/>
      <c r="B244" s="729"/>
      <c r="C244" s="729"/>
      <c r="D244" s="729"/>
      <c r="E244" s="729"/>
      <c r="F244" s="729"/>
      <c r="G244" s="729"/>
      <c r="H244" s="729"/>
      <c r="I244" s="729"/>
      <c r="J244" s="729"/>
      <c r="K244" s="729"/>
      <c r="L244" s="729"/>
      <c r="M244" s="729"/>
      <c r="N244" s="729"/>
      <c r="O244" s="729"/>
      <c r="P244" s="729"/>
      <c r="Q244" s="729"/>
      <c r="R244" s="729"/>
      <c r="S244" s="729"/>
      <c r="T244" s="729"/>
      <c r="U244" s="729"/>
      <c r="V244" s="729"/>
      <c r="W244" s="729"/>
      <c r="X244" s="729"/>
      <c r="Y244" s="729"/>
      <c r="Z244" s="729"/>
      <c r="AA244" s="729"/>
      <c r="AB244" s="729"/>
      <c r="AC244" s="729"/>
      <c r="AD244" s="729"/>
      <c r="AE244" s="729"/>
      <c r="AF244" s="729"/>
      <c r="AG244" s="729"/>
    </row>
    <row r="245" spans="1:33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29"/>
      <c r="P245" s="729"/>
      <c r="Q245" s="729"/>
      <c r="R245" s="729"/>
      <c r="S245" s="729"/>
      <c r="T245" s="729"/>
      <c r="U245" s="729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  <c r="AF245" s="729"/>
      <c r="AG245" s="729"/>
    </row>
    <row r="246" spans="1:33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29"/>
      <c r="P246" s="729"/>
      <c r="Q246" s="729"/>
      <c r="R246" s="729"/>
      <c r="S246" s="729"/>
      <c r="T246" s="729"/>
      <c r="U246" s="729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  <c r="AF246" s="729"/>
      <c r="AG246" s="729"/>
    </row>
    <row r="247" spans="1:33">
      <c r="A247" s="729"/>
      <c r="B247" s="729"/>
      <c r="C247" s="729"/>
      <c r="D247" s="729"/>
      <c r="E247" s="729"/>
      <c r="F247" s="729"/>
      <c r="G247" s="729"/>
      <c r="H247" s="729"/>
      <c r="I247" s="729"/>
      <c r="J247" s="729"/>
      <c r="K247" s="729"/>
      <c r="L247" s="729"/>
      <c r="M247" s="729"/>
      <c r="N247" s="729"/>
      <c r="O247" s="729"/>
      <c r="P247" s="729"/>
      <c r="Q247" s="729"/>
      <c r="R247" s="729"/>
      <c r="S247" s="729"/>
      <c r="T247" s="729"/>
      <c r="U247" s="729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  <c r="AF247" s="729"/>
      <c r="AG247" s="729"/>
    </row>
    <row r="248" spans="1:33">
      <c r="A248" s="729"/>
      <c r="B248" s="729"/>
      <c r="C248" s="729"/>
      <c r="D248" s="729"/>
      <c r="E248" s="729"/>
      <c r="F248" s="729"/>
      <c r="G248" s="729"/>
      <c r="H248" s="729"/>
      <c r="I248" s="729"/>
      <c r="J248" s="729"/>
      <c r="K248" s="729"/>
      <c r="L248" s="729"/>
      <c r="M248" s="729"/>
      <c r="N248" s="729"/>
      <c r="O248" s="729"/>
      <c r="P248" s="729"/>
      <c r="Q248" s="729"/>
      <c r="R248" s="729"/>
      <c r="S248" s="729"/>
      <c r="T248" s="729"/>
      <c r="U248" s="729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  <c r="AF248" s="729"/>
      <c r="AG248" s="729"/>
    </row>
    <row r="249" spans="1:33">
      <c r="A249" s="729"/>
      <c r="B249" s="729"/>
      <c r="C249" s="729"/>
      <c r="D249" s="729"/>
      <c r="E249" s="729"/>
      <c r="F249" s="729"/>
      <c r="G249" s="729"/>
      <c r="H249" s="729"/>
      <c r="I249" s="729"/>
      <c r="J249" s="729"/>
      <c r="K249" s="729"/>
      <c r="L249" s="729"/>
      <c r="M249" s="729"/>
      <c r="N249" s="729"/>
      <c r="O249" s="729"/>
      <c r="P249" s="729"/>
      <c r="Q249" s="729"/>
      <c r="R249" s="729"/>
      <c r="S249" s="729"/>
      <c r="T249" s="729"/>
      <c r="U249" s="729"/>
      <c r="V249" s="729"/>
      <c r="W249" s="729"/>
      <c r="X249" s="729"/>
      <c r="Y249" s="729"/>
      <c r="Z249" s="729"/>
      <c r="AA249" s="729"/>
      <c r="AB249" s="729"/>
      <c r="AC249" s="729"/>
      <c r="AD249" s="729"/>
      <c r="AE249" s="729"/>
      <c r="AF249" s="729"/>
      <c r="AG249" s="729"/>
    </row>
    <row r="250" spans="1:33">
      <c r="A250" s="729"/>
      <c r="B250" s="729"/>
      <c r="C250" s="729"/>
      <c r="D250" s="729"/>
      <c r="E250" s="729"/>
      <c r="F250" s="729"/>
      <c r="G250" s="729"/>
      <c r="H250" s="729"/>
      <c r="I250" s="729"/>
      <c r="J250" s="729"/>
      <c r="K250" s="729"/>
      <c r="L250" s="729"/>
      <c r="M250" s="729"/>
      <c r="N250" s="729"/>
      <c r="O250" s="729"/>
      <c r="P250" s="729"/>
      <c r="Q250" s="729"/>
      <c r="R250" s="729"/>
      <c r="S250" s="729"/>
      <c r="T250" s="729"/>
      <c r="U250" s="729"/>
      <c r="V250" s="729"/>
      <c r="W250" s="729"/>
      <c r="X250" s="729"/>
      <c r="Y250" s="729"/>
      <c r="Z250" s="729"/>
      <c r="AA250" s="729"/>
      <c r="AB250" s="729"/>
      <c r="AC250" s="729"/>
      <c r="AD250" s="729"/>
      <c r="AE250" s="729"/>
      <c r="AF250" s="729"/>
      <c r="AG250" s="729"/>
    </row>
    <row r="251" spans="1:33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29"/>
      <c r="P251" s="729"/>
      <c r="Q251" s="729"/>
      <c r="R251" s="729"/>
      <c r="S251" s="729"/>
      <c r="T251" s="729"/>
      <c r="U251" s="729"/>
      <c r="V251" s="729"/>
      <c r="W251" s="729"/>
      <c r="X251" s="729"/>
      <c r="Y251" s="729"/>
      <c r="Z251" s="729"/>
      <c r="AA251" s="729"/>
      <c r="AB251" s="729"/>
      <c r="AC251" s="729"/>
      <c r="AD251" s="729"/>
      <c r="AE251" s="729"/>
      <c r="AF251" s="729"/>
      <c r="AG251" s="729"/>
    </row>
    <row r="252" spans="1:33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29"/>
      <c r="P252" s="729"/>
      <c r="Q252" s="729"/>
      <c r="R252" s="729"/>
      <c r="S252" s="729"/>
      <c r="T252" s="729"/>
      <c r="U252" s="729"/>
      <c r="V252" s="729"/>
      <c r="W252" s="729"/>
      <c r="X252" s="729"/>
      <c r="Y252" s="729"/>
      <c r="Z252" s="729"/>
      <c r="AA252" s="729"/>
      <c r="AB252" s="729"/>
      <c r="AC252" s="729"/>
      <c r="AD252" s="729"/>
      <c r="AE252" s="729"/>
      <c r="AF252" s="729"/>
      <c r="AG252" s="729"/>
    </row>
    <row r="253" spans="1:33">
      <c r="A253" s="729"/>
      <c r="B253" s="729"/>
      <c r="C253" s="729"/>
      <c r="D253" s="729"/>
      <c r="E253" s="729"/>
      <c r="F253" s="729"/>
      <c r="G253" s="729"/>
      <c r="H253" s="729"/>
      <c r="I253" s="729"/>
      <c r="J253" s="729"/>
      <c r="K253" s="729"/>
      <c r="L253" s="729"/>
      <c r="M253" s="729"/>
      <c r="N253" s="729"/>
      <c r="O253" s="729"/>
      <c r="P253" s="729"/>
      <c r="Q253" s="729"/>
      <c r="R253" s="729"/>
      <c r="S253" s="729"/>
      <c r="T253" s="729"/>
      <c r="U253" s="729"/>
      <c r="V253" s="729"/>
      <c r="W253" s="729"/>
      <c r="X253" s="729"/>
      <c r="Y253" s="729"/>
      <c r="Z253" s="729"/>
      <c r="AA253" s="729"/>
      <c r="AB253" s="729"/>
      <c r="AC253" s="729"/>
      <c r="AD253" s="729"/>
      <c r="AE253" s="729"/>
      <c r="AF253" s="729"/>
      <c r="AG253" s="729"/>
    </row>
    <row r="254" spans="1:33">
      <c r="A254" s="729"/>
      <c r="B254" s="729"/>
      <c r="C254" s="729"/>
      <c r="D254" s="729"/>
      <c r="E254" s="729"/>
      <c r="F254" s="729"/>
      <c r="G254" s="729"/>
      <c r="H254" s="729"/>
      <c r="I254" s="729"/>
      <c r="J254" s="729"/>
      <c r="K254" s="729"/>
      <c r="L254" s="729"/>
      <c r="M254" s="729"/>
      <c r="N254" s="729"/>
      <c r="O254" s="729"/>
      <c r="P254" s="729"/>
      <c r="Q254" s="729"/>
      <c r="R254" s="729"/>
      <c r="S254" s="729"/>
      <c r="T254" s="729"/>
      <c r="U254" s="729"/>
      <c r="V254" s="729"/>
      <c r="W254" s="729"/>
      <c r="X254" s="729"/>
      <c r="Y254" s="729"/>
      <c r="Z254" s="729"/>
      <c r="AA254" s="729"/>
      <c r="AB254" s="729"/>
      <c r="AC254" s="729"/>
      <c r="AD254" s="729"/>
      <c r="AE254" s="729"/>
      <c r="AF254" s="729"/>
      <c r="AG254" s="729"/>
    </row>
    <row r="255" spans="1:33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29"/>
      <c r="P255" s="729"/>
      <c r="Q255" s="729"/>
      <c r="R255" s="729"/>
      <c r="S255" s="729"/>
      <c r="T255" s="729"/>
      <c r="U255" s="729"/>
      <c r="V255" s="729"/>
      <c r="W255" s="729"/>
      <c r="X255" s="729"/>
      <c r="Y255" s="729"/>
      <c r="Z255" s="729"/>
      <c r="AA255" s="729"/>
      <c r="AB255" s="729"/>
      <c r="AC255" s="729"/>
      <c r="AD255" s="729"/>
      <c r="AE255" s="729"/>
      <c r="AF255" s="729"/>
      <c r="AG255" s="729"/>
    </row>
    <row r="256" spans="1:33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29"/>
      <c r="P256" s="729"/>
      <c r="Q256" s="729"/>
      <c r="R256" s="729"/>
      <c r="S256" s="729"/>
      <c r="T256" s="729"/>
      <c r="U256" s="729"/>
      <c r="V256" s="729"/>
      <c r="W256" s="729"/>
      <c r="X256" s="729"/>
      <c r="Y256" s="729"/>
      <c r="Z256" s="729"/>
      <c r="AA256" s="729"/>
      <c r="AB256" s="729"/>
      <c r="AC256" s="729"/>
      <c r="AD256" s="729"/>
      <c r="AE256" s="729"/>
      <c r="AF256" s="729"/>
      <c r="AG256" s="729"/>
    </row>
    <row r="257" spans="1:33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29"/>
      <c r="P257" s="729"/>
      <c r="Q257" s="729"/>
      <c r="R257" s="729"/>
      <c r="S257" s="729"/>
      <c r="T257" s="729"/>
      <c r="U257" s="729"/>
      <c r="V257" s="729"/>
      <c r="W257" s="729"/>
      <c r="X257" s="729"/>
      <c r="Y257" s="729"/>
      <c r="Z257" s="729"/>
      <c r="AA257" s="729"/>
      <c r="AB257" s="729"/>
      <c r="AC257" s="729"/>
      <c r="AD257" s="729"/>
      <c r="AE257" s="729"/>
      <c r="AF257" s="729"/>
      <c r="AG257" s="729"/>
    </row>
    <row r="258" spans="1:33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29"/>
      <c r="P258" s="729"/>
      <c r="Q258" s="729"/>
      <c r="R258" s="729"/>
      <c r="S258" s="729"/>
      <c r="T258" s="729"/>
      <c r="U258" s="729"/>
      <c r="V258" s="729"/>
      <c r="W258" s="729"/>
      <c r="X258" s="729"/>
      <c r="Y258" s="729"/>
      <c r="Z258" s="729"/>
      <c r="AA258" s="729"/>
      <c r="AB258" s="729"/>
      <c r="AC258" s="729"/>
      <c r="AD258" s="729"/>
      <c r="AE258" s="729"/>
      <c r="AF258" s="729"/>
      <c r="AG258" s="729"/>
    </row>
    <row r="259" spans="1:33">
      <c r="A259" s="729"/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  <c r="N259" s="729"/>
      <c r="O259" s="729"/>
      <c r="P259" s="729"/>
      <c r="Q259" s="729"/>
      <c r="R259" s="729"/>
      <c r="S259" s="729"/>
      <c r="T259" s="729"/>
      <c r="U259" s="729"/>
      <c r="V259" s="729"/>
      <c r="W259" s="729"/>
      <c r="X259" s="729"/>
      <c r="Y259" s="729"/>
      <c r="Z259" s="729"/>
      <c r="AA259" s="729"/>
      <c r="AB259" s="729"/>
      <c r="AC259" s="729"/>
      <c r="AD259" s="729"/>
      <c r="AE259" s="729"/>
      <c r="AF259" s="729"/>
      <c r="AG259" s="729"/>
    </row>
    <row r="260" spans="1:33">
      <c r="A260" s="729"/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  <c r="N260" s="729"/>
      <c r="O260" s="729"/>
      <c r="P260" s="729"/>
      <c r="Q260" s="729"/>
      <c r="R260" s="729"/>
      <c r="S260" s="729"/>
      <c r="T260" s="729"/>
      <c r="U260" s="729"/>
      <c r="V260" s="729"/>
      <c r="W260" s="729"/>
      <c r="X260" s="729"/>
      <c r="Y260" s="729"/>
      <c r="Z260" s="729"/>
      <c r="AA260" s="729"/>
      <c r="AB260" s="729"/>
      <c r="AC260" s="729"/>
      <c r="AD260" s="729"/>
      <c r="AE260" s="729"/>
      <c r="AF260" s="729"/>
      <c r="AG260" s="729"/>
    </row>
    <row r="261" spans="1:33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29"/>
      <c r="P261" s="729"/>
      <c r="Q261" s="729"/>
      <c r="R261" s="729"/>
      <c r="S261" s="729"/>
      <c r="T261" s="729"/>
      <c r="U261" s="729"/>
      <c r="V261" s="729"/>
      <c r="W261" s="729"/>
      <c r="X261" s="729"/>
      <c r="Y261" s="729"/>
      <c r="Z261" s="729"/>
      <c r="AA261" s="729"/>
      <c r="AB261" s="729"/>
      <c r="AC261" s="729"/>
      <c r="AD261" s="729"/>
      <c r="AE261" s="729"/>
      <c r="AF261" s="729"/>
      <c r="AG261" s="729"/>
    </row>
    <row r="262" spans="1:33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29"/>
      <c r="P262" s="729"/>
      <c r="Q262" s="729"/>
      <c r="R262" s="729"/>
      <c r="S262" s="729"/>
      <c r="T262" s="729"/>
      <c r="U262" s="729"/>
      <c r="V262" s="729"/>
      <c r="W262" s="729"/>
      <c r="X262" s="729"/>
      <c r="Y262" s="729"/>
      <c r="Z262" s="729"/>
      <c r="AA262" s="729"/>
      <c r="AB262" s="729"/>
      <c r="AC262" s="729"/>
      <c r="AD262" s="729"/>
      <c r="AE262" s="729"/>
      <c r="AF262" s="729"/>
      <c r="AG262" s="729"/>
    </row>
    <row r="263" spans="1:33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29"/>
      <c r="P263" s="729"/>
      <c r="Q263" s="729"/>
      <c r="R263" s="729"/>
      <c r="S263" s="729"/>
      <c r="T263" s="729"/>
      <c r="U263" s="729"/>
      <c r="V263" s="729"/>
      <c r="W263" s="729"/>
      <c r="X263" s="729"/>
      <c r="Y263" s="729"/>
      <c r="Z263" s="729"/>
      <c r="AA263" s="729"/>
      <c r="AB263" s="729"/>
      <c r="AC263" s="729"/>
      <c r="AD263" s="729"/>
      <c r="AE263" s="729"/>
      <c r="AF263" s="729"/>
      <c r="AG263" s="729"/>
    </row>
    <row r="264" spans="1:33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29"/>
      <c r="Y264" s="729"/>
      <c r="Z264" s="729"/>
      <c r="AA264" s="729"/>
      <c r="AB264" s="729"/>
      <c r="AC264" s="729"/>
      <c r="AD264" s="729"/>
      <c r="AE264" s="729"/>
      <c r="AF264" s="729"/>
      <c r="AG264" s="729"/>
    </row>
    <row r="265" spans="1:33">
      <c r="A265" s="729"/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29"/>
      <c r="Y265" s="729"/>
      <c r="Z265" s="729"/>
      <c r="AA265" s="729"/>
      <c r="AB265" s="729"/>
      <c r="AC265" s="729"/>
      <c r="AD265" s="729"/>
      <c r="AE265" s="729"/>
      <c r="AF265" s="729"/>
      <c r="AG265" s="729"/>
    </row>
    <row r="266" spans="1:33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29"/>
      <c r="P266" s="729"/>
      <c r="Q266" s="729"/>
      <c r="R266" s="729"/>
      <c r="S266" s="729"/>
      <c r="T266" s="729"/>
      <c r="U266" s="729"/>
      <c r="V266" s="729"/>
      <c r="W266" s="729"/>
      <c r="X266" s="729"/>
      <c r="Y266" s="729"/>
      <c r="Z266" s="729"/>
      <c r="AA266" s="729"/>
      <c r="AB266" s="729"/>
      <c r="AC266" s="729"/>
      <c r="AD266" s="729"/>
      <c r="AE266" s="729"/>
      <c r="AF266" s="729"/>
      <c r="AG266" s="729"/>
    </row>
    <row r="267" spans="1:33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29"/>
      <c r="P267" s="729"/>
      <c r="Q267" s="729"/>
      <c r="R267" s="729"/>
      <c r="S267" s="729"/>
      <c r="T267" s="729"/>
      <c r="U267" s="729"/>
      <c r="V267" s="729"/>
      <c r="W267" s="729"/>
      <c r="X267" s="729"/>
      <c r="Y267" s="729"/>
      <c r="Z267" s="729"/>
      <c r="AA267" s="729"/>
      <c r="AB267" s="729"/>
      <c r="AC267" s="729"/>
      <c r="AD267" s="729"/>
      <c r="AE267" s="729"/>
      <c r="AF267" s="729"/>
      <c r="AG267" s="729"/>
    </row>
    <row r="268" spans="1:33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29"/>
      <c r="P268" s="729"/>
      <c r="Q268" s="729"/>
      <c r="R268" s="729"/>
      <c r="S268" s="729"/>
      <c r="T268" s="729"/>
      <c r="U268" s="729"/>
      <c r="V268" s="729"/>
      <c r="W268" s="729"/>
      <c r="X268" s="729"/>
      <c r="Y268" s="729"/>
      <c r="Z268" s="729"/>
      <c r="AA268" s="729"/>
      <c r="AB268" s="729"/>
      <c r="AC268" s="729"/>
      <c r="AD268" s="729"/>
      <c r="AE268" s="729"/>
      <c r="AF268" s="729"/>
      <c r="AG268" s="729"/>
    </row>
    <row r="269" spans="1:33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29"/>
      <c r="P269" s="729"/>
      <c r="Q269" s="729"/>
      <c r="R269" s="729"/>
      <c r="S269" s="729"/>
      <c r="T269" s="729"/>
      <c r="U269" s="729"/>
      <c r="V269" s="729"/>
      <c r="W269" s="729"/>
      <c r="X269" s="729"/>
      <c r="Y269" s="729"/>
      <c r="Z269" s="729"/>
      <c r="AA269" s="729"/>
      <c r="AB269" s="729"/>
      <c r="AC269" s="729"/>
      <c r="AD269" s="729"/>
      <c r="AE269" s="729"/>
      <c r="AF269" s="729"/>
      <c r="AG269" s="729"/>
    </row>
    <row r="270" spans="1:33">
      <c r="A270" s="729"/>
      <c r="B270" s="729"/>
      <c r="C270" s="729"/>
      <c r="D270" s="729"/>
      <c r="E270" s="729"/>
      <c r="F270" s="729"/>
      <c r="G270" s="729"/>
      <c r="H270" s="729"/>
      <c r="I270" s="729"/>
      <c r="J270" s="729"/>
      <c r="K270" s="729"/>
      <c r="L270" s="729"/>
      <c r="M270" s="729"/>
      <c r="N270" s="729"/>
      <c r="O270" s="729"/>
      <c r="P270" s="729"/>
      <c r="Q270" s="729"/>
      <c r="R270" s="729"/>
      <c r="S270" s="729"/>
      <c r="T270" s="729"/>
      <c r="U270" s="729"/>
      <c r="V270" s="729"/>
      <c r="W270" s="729"/>
      <c r="X270" s="729"/>
      <c r="Y270" s="729"/>
      <c r="Z270" s="729"/>
      <c r="AA270" s="729"/>
      <c r="AB270" s="729"/>
      <c r="AC270" s="729"/>
      <c r="AD270" s="729"/>
      <c r="AE270" s="729"/>
      <c r="AF270" s="729"/>
      <c r="AG270" s="729"/>
    </row>
    <row r="271" spans="1:33">
      <c r="A271" s="729"/>
      <c r="B271" s="729"/>
      <c r="C271" s="729"/>
      <c r="D271" s="729"/>
      <c r="E271" s="729"/>
      <c r="F271" s="729"/>
      <c r="G271" s="729"/>
      <c r="H271" s="729"/>
      <c r="I271" s="729"/>
      <c r="J271" s="729"/>
      <c r="K271" s="729"/>
      <c r="L271" s="729"/>
      <c r="M271" s="729"/>
      <c r="N271" s="729"/>
      <c r="O271" s="729"/>
      <c r="P271" s="729"/>
      <c r="Q271" s="729"/>
      <c r="R271" s="729"/>
      <c r="S271" s="729"/>
      <c r="T271" s="729"/>
      <c r="U271" s="729"/>
      <c r="V271" s="729"/>
      <c r="W271" s="729"/>
      <c r="X271" s="729"/>
      <c r="Y271" s="729"/>
      <c r="Z271" s="729"/>
      <c r="AA271" s="729"/>
      <c r="AB271" s="729"/>
      <c r="AC271" s="729"/>
      <c r="AD271" s="729"/>
      <c r="AE271" s="729"/>
      <c r="AF271" s="729"/>
      <c r="AG271" s="729"/>
    </row>
    <row r="272" spans="1:33">
      <c r="A272" s="729"/>
      <c r="B272" s="729"/>
      <c r="C272" s="729"/>
      <c r="D272" s="729"/>
      <c r="E272" s="729"/>
      <c r="F272" s="729"/>
      <c r="G272" s="729"/>
      <c r="H272" s="729"/>
      <c r="I272" s="729"/>
      <c r="J272" s="729"/>
      <c r="K272" s="729"/>
      <c r="L272" s="729"/>
      <c r="M272" s="729"/>
      <c r="N272" s="729"/>
      <c r="O272" s="729"/>
      <c r="P272" s="729"/>
      <c r="Q272" s="729"/>
      <c r="R272" s="729"/>
      <c r="S272" s="729"/>
      <c r="T272" s="729"/>
      <c r="U272" s="729"/>
      <c r="V272" s="729"/>
      <c r="W272" s="729"/>
      <c r="X272" s="729"/>
      <c r="Y272" s="729"/>
      <c r="Z272" s="729"/>
      <c r="AA272" s="729"/>
      <c r="AB272" s="729"/>
      <c r="AC272" s="729"/>
      <c r="AD272" s="729"/>
      <c r="AE272" s="729"/>
      <c r="AF272" s="729"/>
      <c r="AG272" s="729"/>
    </row>
    <row r="273" spans="1:33">
      <c r="A273" s="729"/>
      <c r="B273" s="729"/>
      <c r="C273" s="729"/>
      <c r="D273" s="729"/>
      <c r="E273" s="729"/>
      <c r="F273" s="729"/>
      <c r="G273" s="729"/>
      <c r="H273" s="729"/>
      <c r="I273" s="729"/>
      <c r="J273" s="729"/>
      <c r="K273" s="729"/>
      <c r="L273" s="729"/>
      <c r="M273" s="729"/>
      <c r="N273" s="729"/>
      <c r="O273" s="729"/>
      <c r="P273" s="729"/>
      <c r="Q273" s="729"/>
      <c r="R273" s="729"/>
      <c r="S273" s="729"/>
      <c r="T273" s="729"/>
      <c r="U273" s="729"/>
      <c r="V273" s="729"/>
      <c r="W273" s="729"/>
      <c r="X273" s="729"/>
      <c r="Y273" s="729"/>
      <c r="Z273" s="729"/>
      <c r="AA273" s="729"/>
      <c r="AB273" s="729"/>
      <c r="AC273" s="729"/>
      <c r="AD273" s="729"/>
      <c r="AE273" s="729"/>
      <c r="AF273" s="729"/>
      <c r="AG273" s="729"/>
    </row>
    <row r="274" spans="1:33">
      <c r="A274" s="729"/>
      <c r="B274" s="729"/>
      <c r="C274" s="729"/>
      <c r="D274" s="729"/>
      <c r="E274" s="729"/>
      <c r="F274" s="729"/>
      <c r="G274" s="729"/>
      <c r="H274" s="729"/>
      <c r="I274" s="729"/>
      <c r="J274" s="729"/>
      <c r="K274" s="729"/>
      <c r="L274" s="729"/>
      <c r="M274" s="729"/>
      <c r="N274" s="729"/>
      <c r="O274" s="729"/>
      <c r="P274" s="729"/>
      <c r="Q274" s="729"/>
      <c r="R274" s="729"/>
      <c r="S274" s="729"/>
      <c r="T274" s="729"/>
      <c r="U274" s="729"/>
      <c r="V274" s="729"/>
      <c r="W274" s="729"/>
      <c r="X274" s="729"/>
      <c r="Y274" s="729"/>
      <c r="Z274" s="729"/>
      <c r="AA274" s="729"/>
      <c r="AB274" s="729"/>
      <c r="AC274" s="729"/>
      <c r="AD274" s="729"/>
      <c r="AE274" s="729"/>
      <c r="AF274" s="729"/>
      <c r="AG274" s="729"/>
    </row>
    <row r="275" spans="1:33">
      <c r="A275" s="729"/>
      <c r="B275" s="729"/>
      <c r="C275" s="729"/>
      <c r="D275" s="729"/>
      <c r="E275" s="729"/>
      <c r="F275" s="729"/>
      <c r="G275" s="729"/>
      <c r="H275" s="729"/>
      <c r="I275" s="729"/>
      <c r="J275" s="729"/>
      <c r="K275" s="729"/>
      <c r="L275" s="729"/>
      <c r="M275" s="729"/>
      <c r="N275" s="729"/>
      <c r="O275" s="729"/>
      <c r="P275" s="729"/>
      <c r="Q275" s="729"/>
      <c r="R275" s="729"/>
      <c r="S275" s="729"/>
      <c r="T275" s="729"/>
      <c r="U275" s="729"/>
      <c r="V275" s="729"/>
      <c r="W275" s="729"/>
      <c r="X275" s="729"/>
      <c r="Y275" s="729"/>
      <c r="Z275" s="729"/>
      <c r="AA275" s="729"/>
      <c r="AB275" s="729"/>
      <c r="AC275" s="729"/>
      <c r="AD275" s="729"/>
      <c r="AE275" s="729"/>
      <c r="AF275" s="729"/>
      <c r="AG275" s="729"/>
    </row>
    <row r="276" spans="1:33">
      <c r="A276" s="729"/>
      <c r="B276" s="729"/>
      <c r="C276" s="729"/>
      <c r="D276" s="729"/>
      <c r="E276" s="729"/>
      <c r="F276" s="729"/>
      <c r="G276" s="729"/>
      <c r="H276" s="729"/>
      <c r="I276" s="729"/>
      <c r="J276" s="729"/>
      <c r="K276" s="729"/>
      <c r="L276" s="729"/>
      <c r="M276" s="729"/>
      <c r="N276" s="729"/>
      <c r="O276" s="729"/>
      <c r="P276" s="729"/>
      <c r="Q276" s="729"/>
      <c r="R276" s="729"/>
      <c r="S276" s="729"/>
      <c r="T276" s="729"/>
      <c r="U276" s="729"/>
      <c r="V276" s="729"/>
      <c r="W276" s="729"/>
      <c r="X276" s="729"/>
      <c r="Y276" s="729"/>
      <c r="Z276" s="729"/>
      <c r="AA276" s="729"/>
      <c r="AB276" s="729"/>
      <c r="AC276" s="729"/>
      <c r="AD276" s="729"/>
      <c r="AE276" s="729"/>
      <c r="AF276" s="729"/>
      <c r="AG276" s="729"/>
    </row>
    <row r="277" spans="1:33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29"/>
      <c r="P277" s="729"/>
      <c r="Q277" s="729"/>
      <c r="R277" s="729"/>
      <c r="S277" s="729"/>
      <c r="T277" s="729"/>
      <c r="U277" s="729"/>
      <c r="V277" s="729"/>
      <c r="W277" s="729"/>
      <c r="X277" s="729"/>
      <c r="Y277" s="729"/>
      <c r="Z277" s="729"/>
      <c r="AA277" s="729"/>
      <c r="AB277" s="729"/>
      <c r="AC277" s="729"/>
      <c r="AD277" s="729"/>
      <c r="AE277" s="729"/>
      <c r="AF277" s="729"/>
      <c r="AG277" s="729"/>
    </row>
    <row r="278" spans="1:33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29"/>
      <c r="P278" s="729"/>
      <c r="Q278" s="729"/>
      <c r="R278" s="729"/>
      <c r="S278" s="729"/>
      <c r="T278" s="729"/>
      <c r="U278" s="729"/>
      <c r="V278" s="729"/>
      <c r="W278" s="729"/>
      <c r="X278" s="729"/>
      <c r="Y278" s="729"/>
      <c r="Z278" s="729"/>
      <c r="AA278" s="729"/>
      <c r="AB278" s="729"/>
      <c r="AC278" s="729"/>
      <c r="AD278" s="729"/>
      <c r="AE278" s="729"/>
      <c r="AF278" s="729"/>
      <c r="AG278" s="729"/>
    </row>
    <row r="279" spans="1:33">
      <c r="A279" s="729"/>
      <c r="B279" s="729"/>
      <c r="C279" s="729"/>
      <c r="D279" s="729"/>
      <c r="E279" s="729"/>
      <c r="F279" s="729"/>
      <c r="G279" s="729"/>
      <c r="H279" s="729"/>
      <c r="I279" s="729"/>
      <c r="J279" s="729"/>
      <c r="K279" s="729"/>
      <c r="L279" s="729"/>
      <c r="M279" s="729"/>
      <c r="N279" s="729"/>
      <c r="O279" s="729"/>
      <c r="P279" s="729"/>
      <c r="Q279" s="729"/>
      <c r="R279" s="729"/>
      <c r="S279" s="729"/>
      <c r="T279" s="729"/>
      <c r="U279" s="729"/>
      <c r="V279" s="729"/>
      <c r="W279" s="729"/>
      <c r="X279" s="729"/>
      <c r="Y279" s="729"/>
      <c r="Z279" s="729"/>
      <c r="AA279" s="729"/>
      <c r="AB279" s="729"/>
      <c r="AC279" s="729"/>
      <c r="AD279" s="729"/>
      <c r="AE279" s="729"/>
      <c r="AF279" s="729"/>
      <c r="AG279" s="729"/>
    </row>
    <row r="280" spans="1:33">
      <c r="A280" s="729"/>
      <c r="B280" s="729"/>
      <c r="C280" s="729"/>
      <c r="D280" s="729"/>
      <c r="E280" s="729"/>
      <c r="F280" s="729"/>
      <c r="G280" s="729"/>
      <c r="H280" s="729"/>
      <c r="I280" s="729"/>
      <c r="J280" s="729"/>
      <c r="K280" s="729"/>
      <c r="L280" s="729"/>
      <c r="M280" s="729"/>
      <c r="N280" s="729"/>
      <c r="O280" s="729"/>
      <c r="P280" s="729"/>
      <c r="Q280" s="729"/>
      <c r="R280" s="729"/>
      <c r="S280" s="729"/>
      <c r="T280" s="729"/>
      <c r="U280" s="729"/>
      <c r="V280" s="729"/>
      <c r="W280" s="729"/>
      <c r="X280" s="729"/>
      <c r="Y280" s="729"/>
      <c r="Z280" s="729"/>
      <c r="AA280" s="729"/>
      <c r="AB280" s="729"/>
      <c r="AC280" s="729"/>
      <c r="AD280" s="729"/>
      <c r="AE280" s="729"/>
      <c r="AF280" s="729"/>
      <c r="AG280" s="729"/>
    </row>
    <row r="281" spans="1:33">
      <c r="A281" s="729"/>
      <c r="B281" s="729"/>
      <c r="C281" s="729"/>
      <c r="D281" s="729"/>
      <c r="E281" s="729"/>
      <c r="F281" s="729"/>
      <c r="G281" s="729"/>
      <c r="H281" s="729"/>
      <c r="I281" s="729"/>
      <c r="J281" s="729"/>
      <c r="K281" s="729"/>
      <c r="L281" s="729"/>
      <c r="M281" s="729"/>
      <c r="N281" s="729"/>
      <c r="O281" s="729"/>
      <c r="P281" s="729"/>
      <c r="Q281" s="729"/>
      <c r="R281" s="729"/>
      <c r="S281" s="729"/>
      <c r="T281" s="729"/>
      <c r="U281" s="729"/>
      <c r="V281" s="729"/>
      <c r="W281" s="729"/>
      <c r="X281" s="729"/>
      <c r="Y281" s="729"/>
      <c r="Z281" s="729"/>
      <c r="AA281" s="729"/>
      <c r="AB281" s="729"/>
      <c r="AC281" s="729"/>
      <c r="AD281" s="729"/>
      <c r="AE281" s="729"/>
      <c r="AF281" s="729"/>
      <c r="AG281" s="729"/>
    </row>
    <row r="282" spans="1:33">
      <c r="A282" s="729"/>
      <c r="B282" s="729"/>
      <c r="C282" s="729"/>
      <c r="D282" s="729"/>
      <c r="E282" s="729"/>
      <c r="F282" s="729"/>
      <c r="G282" s="729"/>
      <c r="H282" s="729"/>
      <c r="I282" s="729"/>
      <c r="J282" s="729"/>
      <c r="K282" s="729"/>
      <c r="L282" s="729"/>
      <c r="M282" s="729"/>
      <c r="N282" s="729"/>
      <c r="O282" s="729"/>
      <c r="P282" s="729"/>
      <c r="Q282" s="729"/>
      <c r="R282" s="729"/>
      <c r="S282" s="729"/>
      <c r="T282" s="729"/>
      <c r="U282" s="729"/>
      <c r="V282" s="729"/>
      <c r="W282" s="729"/>
      <c r="X282" s="729"/>
      <c r="Y282" s="729"/>
      <c r="Z282" s="729"/>
      <c r="AA282" s="729"/>
      <c r="AB282" s="729"/>
      <c r="AC282" s="729"/>
      <c r="AD282" s="729"/>
      <c r="AE282" s="729"/>
      <c r="AF282" s="729"/>
      <c r="AG282" s="729"/>
    </row>
    <row r="283" spans="1:33">
      <c r="A283" s="729"/>
      <c r="B283" s="729"/>
      <c r="C283" s="729"/>
      <c r="D283" s="729"/>
      <c r="E283" s="729"/>
      <c r="F283" s="729"/>
      <c r="G283" s="729"/>
      <c r="H283" s="729"/>
      <c r="I283" s="729"/>
      <c r="J283" s="729"/>
      <c r="K283" s="729"/>
      <c r="L283" s="729"/>
      <c r="M283" s="729"/>
      <c r="N283" s="729"/>
      <c r="O283" s="729"/>
      <c r="P283" s="729"/>
      <c r="Q283" s="729"/>
      <c r="R283" s="729"/>
      <c r="S283" s="729"/>
      <c r="T283" s="729"/>
      <c r="U283" s="729"/>
      <c r="V283" s="729"/>
      <c r="W283" s="729"/>
      <c r="X283" s="729"/>
      <c r="Y283" s="729"/>
      <c r="Z283" s="729"/>
      <c r="AA283" s="729"/>
      <c r="AB283" s="729"/>
      <c r="AC283" s="729"/>
      <c r="AD283" s="729"/>
      <c r="AE283" s="729"/>
      <c r="AF283" s="729"/>
      <c r="AG283" s="729"/>
    </row>
    <row r="284" spans="1:33">
      <c r="A284" s="729"/>
      <c r="B284" s="729"/>
      <c r="C284" s="729"/>
      <c r="D284" s="729"/>
      <c r="E284" s="729"/>
      <c r="F284" s="729"/>
      <c r="G284" s="729"/>
      <c r="H284" s="729"/>
      <c r="I284" s="729"/>
      <c r="J284" s="729"/>
      <c r="K284" s="729"/>
      <c r="L284" s="729"/>
      <c r="M284" s="729"/>
      <c r="N284" s="729"/>
      <c r="O284" s="729"/>
      <c r="P284" s="729"/>
      <c r="Q284" s="729"/>
      <c r="R284" s="729"/>
      <c r="S284" s="729"/>
      <c r="T284" s="729"/>
      <c r="U284" s="729"/>
      <c r="V284" s="729"/>
      <c r="W284" s="729"/>
      <c r="X284" s="729"/>
      <c r="Y284" s="729"/>
      <c r="Z284" s="729"/>
      <c r="AA284" s="729"/>
      <c r="AB284" s="729"/>
      <c r="AC284" s="729"/>
      <c r="AD284" s="729"/>
      <c r="AE284" s="729"/>
      <c r="AF284" s="729"/>
      <c r="AG284" s="729"/>
    </row>
    <row r="285" spans="1:33">
      <c r="A285" s="729"/>
      <c r="B285" s="729"/>
      <c r="C285" s="729"/>
      <c r="D285" s="729"/>
      <c r="E285" s="729"/>
      <c r="F285" s="729"/>
      <c r="G285" s="729"/>
      <c r="H285" s="729"/>
      <c r="I285" s="729"/>
      <c r="J285" s="729"/>
      <c r="K285" s="729"/>
      <c r="L285" s="729"/>
      <c r="M285" s="729"/>
      <c r="N285" s="729"/>
      <c r="O285" s="729"/>
      <c r="P285" s="729"/>
      <c r="Q285" s="729"/>
      <c r="R285" s="729"/>
      <c r="S285" s="729"/>
      <c r="T285" s="729"/>
      <c r="U285" s="729"/>
      <c r="V285" s="729"/>
      <c r="W285" s="729"/>
      <c r="X285" s="729"/>
      <c r="Y285" s="729"/>
      <c r="Z285" s="729"/>
      <c r="AA285" s="729"/>
      <c r="AB285" s="729"/>
      <c r="AC285" s="729"/>
      <c r="AD285" s="729"/>
      <c r="AE285" s="729"/>
      <c r="AF285" s="729"/>
      <c r="AG285" s="729"/>
    </row>
    <row r="286" spans="1:33">
      <c r="A286" s="729"/>
      <c r="B286" s="729"/>
      <c r="C286" s="729"/>
      <c r="D286" s="729"/>
      <c r="E286" s="729"/>
      <c r="F286" s="729"/>
      <c r="G286" s="729"/>
      <c r="H286" s="729"/>
      <c r="I286" s="729"/>
      <c r="J286" s="729"/>
      <c r="K286" s="729"/>
      <c r="L286" s="729"/>
      <c r="M286" s="729"/>
      <c r="N286" s="729"/>
      <c r="O286" s="729"/>
      <c r="P286" s="729"/>
      <c r="Q286" s="729"/>
      <c r="R286" s="729"/>
      <c r="S286" s="729"/>
      <c r="T286" s="729"/>
      <c r="U286" s="729"/>
      <c r="V286" s="729"/>
      <c r="W286" s="729"/>
      <c r="X286" s="729"/>
      <c r="Y286" s="729"/>
      <c r="Z286" s="729"/>
      <c r="AA286" s="729"/>
      <c r="AB286" s="729"/>
      <c r="AC286" s="729"/>
      <c r="AD286" s="729"/>
      <c r="AE286" s="729"/>
      <c r="AF286" s="729"/>
      <c r="AG286" s="729"/>
    </row>
    <row r="287" spans="1:33">
      <c r="A287" s="729"/>
      <c r="B287" s="729"/>
      <c r="C287" s="729"/>
      <c r="D287" s="729"/>
      <c r="E287" s="729"/>
      <c r="F287" s="729"/>
      <c r="G287" s="729"/>
      <c r="H287" s="729"/>
      <c r="I287" s="729"/>
      <c r="J287" s="729"/>
      <c r="K287" s="729"/>
      <c r="L287" s="729"/>
      <c r="M287" s="729"/>
      <c r="N287" s="729"/>
      <c r="O287" s="729"/>
      <c r="P287" s="729"/>
      <c r="Q287" s="729"/>
      <c r="R287" s="729"/>
      <c r="S287" s="729"/>
      <c r="T287" s="729"/>
      <c r="U287" s="729"/>
      <c r="V287" s="729"/>
      <c r="W287" s="729"/>
      <c r="X287" s="729"/>
      <c r="Y287" s="729"/>
      <c r="Z287" s="729"/>
      <c r="AA287" s="729"/>
      <c r="AB287" s="729"/>
      <c r="AC287" s="729"/>
      <c r="AD287" s="729"/>
      <c r="AE287" s="729"/>
      <c r="AF287" s="729"/>
      <c r="AG287" s="729"/>
    </row>
    <row r="288" spans="1:33">
      <c r="A288" s="729"/>
      <c r="B288" s="729"/>
      <c r="C288" s="729"/>
      <c r="D288" s="729"/>
      <c r="E288" s="729"/>
      <c r="F288" s="729"/>
      <c r="G288" s="729"/>
      <c r="H288" s="729"/>
      <c r="I288" s="729"/>
      <c r="J288" s="729"/>
      <c r="K288" s="729"/>
      <c r="L288" s="729"/>
      <c r="M288" s="729"/>
      <c r="N288" s="729"/>
      <c r="O288" s="729"/>
      <c r="P288" s="729"/>
      <c r="Q288" s="729"/>
      <c r="R288" s="729"/>
      <c r="S288" s="729"/>
      <c r="T288" s="729"/>
      <c r="U288" s="729"/>
      <c r="V288" s="729"/>
      <c r="W288" s="729"/>
      <c r="X288" s="729"/>
      <c r="Y288" s="729"/>
      <c r="Z288" s="729"/>
      <c r="AA288" s="729"/>
      <c r="AB288" s="729"/>
      <c r="AC288" s="729"/>
      <c r="AD288" s="729"/>
      <c r="AE288" s="729"/>
      <c r="AF288" s="729"/>
      <c r="AG288" s="729"/>
    </row>
    <row r="289" spans="1:33">
      <c r="A289" s="729"/>
      <c r="B289" s="729"/>
      <c r="C289" s="729"/>
      <c r="D289" s="729"/>
      <c r="E289" s="729"/>
      <c r="F289" s="729"/>
      <c r="G289" s="729"/>
      <c r="H289" s="729"/>
      <c r="I289" s="729"/>
      <c r="J289" s="729"/>
      <c r="K289" s="729"/>
      <c r="L289" s="729"/>
      <c r="M289" s="729"/>
      <c r="N289" s="729"/>
      <c r="O289" s="729"/>
      <c r="P289" s="729"/>
      <c r="Q289" s="729"/>
      <c r="R289" s="729"/>
      <c r="S289" s="729"/>
      <c r="T289" s="729"/>
      <c r="U289" s="729"/>
      <c r="V289" s="729"/>
      <c r="W289" s="729"/>
      <c r="X289" s="729"/>
      <c r="Y289" s="729"/>
      <c r="Z289" s="729"/>
      <c r="AA289" s="729"/>
      <c r="AB289" s="729"/>
      <c r="AC289" s="729"/>
      <c r="AD289" s="729"/>
      <c r="AE289" s="729"/>
      <c r="AF289" s="729"/>
      <c r="AG289" s="729"/>
    </row>
    <row r="290" spans="1:33">
      <c r="A290" s="729"/>
      <c r="B290" s="729"/>
      <c r="C290" s="729"/>
      <c r="D290" s="729"/>
      <c r="E290" s="729"/>
      <c r="F290" s="729"/>
      <c r="G290" s="729"/>
      <c r="H290" s="729"/>
      <c r="I290" s="729"/>
      <c r="J290" s="729"/>
      <c r="K290" s="729"/>
      <c r="L290" s="729"/>
      <c r="M290" s="729"/>
      <c r="N290" s="729"/>
      <c r="O290" s="729"/>
      <c r="P290" s="729"/>
      <c r="Q290" s="729"/>
      <c r="R290" s="729"/>
      <c r="S290" s="729"/>
      <c r="T290" s="729"/>
      <c r="U290" s="729"/>
      <c r="V290" s="729"/>
      <c r="W290" s="729"/>
      <c r="X290" s="729"/>
      <c r="Y290" s="729"/>
      <c r="Z290" s="729"/>
      <c r="AA290" s="729"/>
      <c r="AB290" s="729"/>
      <c r="AC290" s="729"/>
      <c r="AD290" s="729"/>
      <c r="AE290" s="729"/>
      <c r="AF290" s="729"/>
      <c r="AG290" s="729"/>
    </row>
    <row r="291" spans="1:33">
      <c r="A291" s="729"/>
      <c r="B291" s="729"/>
      <c r="C291" s="729"/>
      <c r="D291" s="729"/>
      <c r="E291" s="729"/>
      <c r="F291" s="729"/>
      <c r="G291" s="729"/>
      <c r="H291" s="729"/>
      <c r="I291" s="729"/>
      <c r="J291" s="729"/>
      <c r="K291" s="729"/>
      <c r="L291" s="729"/>
      <c r="M291" s="729"/>
      <c r="N291" s="729"/>
      <c r="O291" s="729"/>
      <c r="P291" s="729"/>
      <c r="Q291" s="729"/>
      <c r="R291" s="729"/>
      <c r="S291" s="729"/>
      <c r="T291" s="729"/>
      <c r="U291" s="729"/>
      <c r="V291" s="729"/>
      <c r="W291" s="729"/>
      <c r="X291" s="729"/>
      <c r="Y291" s="729"/>
      <c r="Z291" s="729"/>
      <c r="AA291" s="729"/>
      <c r="AB291" s="729"/>
      <c r="AC291" s="729"/>
      <c r="AD291" s="729"/>
      <c r="AE291" s="729"/>
      <c r="AF291" s="729"/>
      <c r="AG291" s="729"/>
    </row>
  </sheetData>
  <mergeCells count="6">
    <mergeCell ref="P5:P6"/>
    <mergeCell ref="B2:G2"/>
    <mergeCell ref="K5:K6"/>
    <mergeCell ref="Q5:Q6"/>
    <mergeCell ref="N5:N6"/>
    <mergeCell ref="O5:O6"/>
  </mergeCells>
  <conditionalFormatting sqref="C16:C17">
    <cfRule type="containsText" dxfId="72" priority="32" operator="containsText" text="OK">
      <formula>NOT(ISERROR(SEARCH("OK",C16)))</formula>
    </cfRule>
    <cfRule type="containsText" dxfId="71" priority="33" operator="containsText" text="ERROR">
      <formula>NOT(ISERROR(SEARCH("ERROR",C16)))</formula>
    </cfRule>
  </conditionalFormatting>
  <pageMargins left="0.25" right="0.25" top="0.5" bottom="0.5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C98A-76FB-4CA8-B8CC-D6A34B07F2E2}">
  <sheetPr>
    <tabColor rgb="FF2F5597"/>
  </sheetPr>
  <dimension ref="A1:AJ604"/>
  <sheetViews>
    <sheetView showGridLines="0" tabSelected="1" topLeftCell="A148" zoomScale="70" zoomScaleNormal="70" workbookViewId="0">
      <pane xSplit="2" topLeftCell="M1" activePane="topRight" state="frozen"/>
      <selection activeCell="A14" sqref="A14"/>
      <selection pane="topRight" activeCell="M186" sqref="M186"/>
    </sheetView>
    <sheetView tabSelected="1" workbookViewId="1"/>
  </sheetViews>
  <sheetFormatPr defaultRowHeight="14.4" outlineLevelRow="1"/>
  <cols>
    <col min="1" max="1" width="29.6640625" customWidth="1"/>
    <col min="2" max="2" width="63" customWidth="1"/>
    <col min="3" max="17" width="17" customWidth="1"/>
    <col min="18" max="18" width="33.88671875" bestFit="1" customWidth="1"/>
    <col min="19" max="19" width="14.5546875" bestFit="1" customWidth="1"/>
    <col min="20" max="20" width="13.44140625" bestFit="1" customWidth="1"/>
    <col min="21" max="21" width="25.5546875" bestFit="1" customWidth="1"/>
  </cols>
  <sheetData>
    <row r="1" spans="1:36" ht="15" thickBot="1">
      <c r="A1" s="674"/>
      <c r="B1" s="207" t="s">
        <v>321</v>
      </c>
      <c r="C1" s="207"/>
      <c r="D1" s="207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674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</row>
    <row r="2" spans="1:36" ht="15.6" thickTop="1" thickBot="1">
      <c r="A2" s="674"/>
      <c r="B2" s="952" t="s">
        <v>322</v>
      </c>
      <c r="C2" s="953"/>
      <c r="D2" s="954"/>
      <c r="E2" s="955" t="s">
        <v>323</v>
      </c>
      <c r="F2" s="955" t="s">
        <v>209</v>
      </c>
      <c r="G2" s="955" t="s">
        <v>324</v>
      </c>
      <c r="H2" s="955" t="s">
        <v>325</v>
      </c>
      <c r="I2" s="955" t="s">
        <v>326</v>
      </c>
      <c r="J2" s="955" t="s">
        <v>327</v>
      </c>
      <c r="K2" s="955" t="s">
        <v>328</v>
      </c>
      <c r="L2" s="955" t="s">
        <v>329</v>
      </c>
      <c r="M2" s="955" t="s">
        <v>330</v>
      </c>
      <c r="N2" s="955" t="s">
        <v>331</v>
      </c>
      <c r="O2" s="955" t="s">
        <v>332</v>
      </c>
      <c r="P2" s="955" t="s">
        <v>333</v>
      </c>
      <c r="Q2" s="955" t="s">
        <v>334</v>
      </c>
      <c r="R2" s="956"/>
      <c r="S2" s="956"/>
      <c r="T2" s="674"/>
      <c r="U2" s="674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</row>
    <row r="3" spans="1:36" ht="15" outlineLevel="1" thickBot="1">
      <c r="A3" s="674"/>
      <c r="B3" s="691"/>
      <c r="C3" s="674"/>
      <c r="D3" s="674"/>
      <c r="E3" s="957"/>
      <c r="F3" s="958"/>
      <c r="G3" s="958"/>
      <c r="H3" s="958"/>
      <c r="I3" s="958"/>
      <c r="J3" s="958"/>
      <c r="K3" s="958"/>
      <c r="L3" s="958"/>
      <c r="M3" s="958"/>
      <c r="N3" s="958"/>
      <c r="O3" s="958"/>
      <c r="P3" s="958"/>
      <c r="Q3" s="958"/>
      <c r="R3" s="957"/>
      <c r="S3" s="957"/>
      <c r="T3" s="674"/>
      <c r="U3" s="674"/>
      <c r="V3" s="729"/>
      <c r="W3" s="729"/>
      <c r="X3" s="729"/>
      <c r="Y3" s="729"/>
      <c r="Z3" s="729"/>
      <c r="AA3" s="729"/>
      <c r="AB3" s="729"/>
      <c r="AC3" s="729"/>
      <c r="AD3" s="729"/>
      <c r="AE3" s="729"/>
      <c r="AF3" s="729"/>
      <c r="AG3" s="729"/>
      <c r="AH3" s="729"/>
      <c r="AI3" s="729"/>
      <c r="AJ3" s="729"/>
    </row>
    <row r="4" spans="1:36" ht="17.399999999999999" outlineLevel="1">
      <c r="A4" s="458"/>
      <c r="B4" s="533" t="s">
        <v>335</v>
      </c>
      <c r="C4" s="534"/>
      <c r="D4" s="534"/>
      <c r="E4" s="535"/>
      <c r="F4" s="535"/>
      <c r="G4" s="535"/>
      <c r="H4" s="535"/>
      <c r="I4" s="535"/>
      <c r="J4" s="535"/>
      <c r="K4" s="535"/>
      <c r="L4" s="535"/>
      <c r="M4" s="535"/>
      <c r="N4" s="535"/>
      <c r="O4" s="535"/>
      <c r="P4" s="535"/>
      <c r="Q4" s="535"/>
      <c r="R4" s="536"/>
      <c r="S4" s="536"/>
      <c r="T4" s="458"/>
      <c r="U4" s="458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  <c r="AG4" s="729"/>
      <c r="AH4" s="729"/>
      <c r="AI4" s="729"/>
      <c r="AJ4" s="729"/>
    </row>
    <row r="5" spans="1:36" outlineLevel="1">
      <c r="A5" s="682"/>
      <c r="B5" s="497" t="s">
        <v>336</v>
      </c>
      <c r="C5" s="682"/>
      <c r="D5" s="682"/>
      <c r="E5" s="553"/>
      <c r="F5" s="553"/>
      <c r="G5" s="553"/>
      <c r="H5" s="553"/>
      <c r="I5" s="553"/>
      <c r="J5" s="553"/>
      <c r="K5" s="553"/>
      <c r="L5" s="553"/>
      <c r="M5" s="553"/>
      <c r="N5" s="553"/>
      <c r="O5" s="553"/>
      <c r="P5" s="553"/>
      <c r="Q5" s="553"/>
      <c r="R5" s="553"/>
      <c r="S5" s="553"/>
      <c r="T5" s="682"/>
      <c r="U5" s="682"/>
      <c r="V5" s="729"/>
      <c r="W5" s="729"/>
      <c r="X5" s="729"/>
      <c r="Y5" s="729"/>
      <c r="Z5" s="729"/>
      <c r="AA5" s="729"/>
      <c r="AB5" s="729"/>
      <c r="AC5" s="729"/>
      <c r="AD5" s="729"/>
      <c r="AE5" s="729"/>
      <c r="AF5" s="729"/>
      <c r="AG5" s="729"/>
      <c r="AH5" s="729"/>
      <c r="AI5" s="729"/>
      <c r="AJ5" s="729"/>
    </row>
    <row r="6" spans="1:36" outlineLevel="1">
      <c r="A6" s="674"/>
      <c r="B6" s="691" t="s">
        <v>337</v>
      </c>
      <c r="C6" s="674" t="s">
        <v>338</v>
      </c>
      <c r="D6" s="674"/>
      <c r="E6" s="226">
        <f t="shared" ref="E6" si="0">TrmLargoPlazo</f>
        <v>3690</v>
      </c>
      <c r="F6" s="863">
        <v>3690</v>
      </c>
      <c r="G6" s="863">
        <v>3690</v>
      </c>
      <c r="H6" s="863">
        <v>3690</v>
      </c>
      <c r="I6" s="863">
        <v>3690</v>
      </c>
      <c r="J6" s="863">
        <v>3690</v>
      </c>
      <c r="K6" s="863">
        <v>3690</v>
      </c>
      <c r="L6" s="863">
        <v>3690</v>
      </c>
      <c r="M6" s="863">
        <v>3690</v>
      </c>
      <c r="N6" s="863">
        <v>3690</v>
      </c>
      <c r="O6" s="863">
        <v>3690</v>
      </c>
      <c r="P6" s="863">
        <v>3690</v>
      </c>
      <c r="Q6" s="863">
        <v>3690</v>
      </c>
      <c r="R6" s="959"/>
      <c r="S6" s="959"/>
      <c r="T6" s="674"/>
      <c r="U6" s="674"/>
      <c r="V6" s="729"/>
      <c r="W6" s="729"/>
      <c r="X6" s="729"/>
      <c r="Y6" s="729"/>
      <c r="Z6" s="729"/>
      <c r="AA6" s="729"/>
      <c r="AB6" s="729"/>
      <c r="AC6" s="729"/>
      <c r="AD6" s="729"/>
      <c r="AE6" s="729"/>
      <c r="AF6" s="729"/>
      <c r="AG6" s="729"/>
      <c r="AH6" s="729"/>
      <c r="AI6" s="729"/>
      <c r="AJ6" s="729"/>
    </row>
    <row r="7" spans="1:36" outlineLevel="1">
      <c r="A7" s="674"/>
      <c r="B7" s="691" t="s">
        <v>339</v>
      </c>
      <c r="C7" s="674" t="s">
        <v>340</v>
      </c>
      <c r="D7" s="674"/>
      <c r="E7" s="242">
        <f t="shared" ref="E7:Q7" si="1">TasaImpuesto</f>
        <v>0.35</v>
      </c>
      <c r="F7" s="242">
        <f t="shared" si="1"/>
        <v>0.35</v>
      </c>
      <c r="G7" s="242">
        <f t="shared" si="1"/>
        <v>0.35</v>
      </c>
      <c r="H7" s="242">
        <f t="shared" si="1"/>
        <v>0.35</v>
      </c>
      <c r="I7" s="242">
        <f t="shared" si="1"/>
        <v>0.35</v>
      </c>
      <c r="J7" s="242">
        <f t="shared" si="1"/>
        <v>0.35</v>
      </c>
      <c r="K7" s="242">
        <f t="shared" si="1"/>
        <v>0.35</v>
      </c>
      <c r="L7" s="242">
        <f t="shared" si="1"/>
        <v>0.35</v>
      </c>
      <c r="M7" s="242">
        <f t="shared" si="1"/>
        <v>0.35</v>
      </c>
      <c r="N7" s="242">
        <f t="shared" si="1"/>
        <v>0.35</v>
      </c>
      <c r="O7" s="242">
        <f t="shared" si="1"/>
        <v>0.35</v>
      </c>
      <c r="P7" s="242">
        <f t="shared" si="1"/>
        <v>0.35</v>
      </c>
      <c r="Q7" s="242">
        <f t="shared" si="1"/>
        <v>0.35</v>
      </c>
      <c r="R7" s="960"/>
      <c r="S7" s="960"/>
      <c r="T7" s="674"/>
      <c r="U7" s="674"/>
      <c r="V7" s="729"/>
      <c r="W7" s="729"/>
      <c r="X7" s="729"/>
      <c r="Y7" s="729"/>
      <c r="Z7" s="729"/>
      <c r="AA7" s="729"/>
      <c r="AB7" s="729"/>
      <c r="AC7" s="729"/>
      <c r="AD7" s="729"/>
      <c r="AE7" s="729"/>
      <c r="AF7" s="729"/>
      <c r="AG7" s="729"/>
      <c r="AH7" s="729"/>
      <c r="AI7" s="729"/>
      <c r="AJ7" s="729"/>
    </row>
    <row r="8" spans="1:36" outlineLevel="1">
      <c r="A8" s="674"/>
      <c r="B8" s="961"/>
      <c r="C8" s="674"/>
      <c r="D8" s="674"/>
      <c r="E8" s="957"/>
      <c r="F8" s="957"/>
      <c r="G8" s="957"/>
      <c r="H8" s="957"/>
      <c r="I8" s="957"/>
      <c r="J8" s="957"/>
      <c r="K8" s="957"/>
      <c r="L8" s="957"/>
      <c r="M8" s="957"/>
      <c r="N8" s="957"/>
      <c r="O8" s="957"/>
      <c r="P8" s="957"/>
      <c r="Q8" s="957"/>
      <c r="R8" s="957"/>
      <c r="S8" s="957"/>
      <c r="T8" s="674"/>
      <c r="U8" s="674"/>
      <c r="V8" s="729"/>
      <c r="W8" s="729"/>
      <c r="X8" s="729"/>
      <c r="Y8" s="729"/>
      <c r="Z8" s="729"/>
      <c r="AA8" s="729"/>
      <c r="AB8" s="729"/>
      <c r="AC8" s="729"/>
      <c r="AD8" s="729"/>
      <c r="AE8" s="729"/>
      <c r="AF8" s="729"/>
      <c r="AG8" s="729"/>
      <c r="AH8" s="729"/>
      <c r="AI8" s="729"/>
      <c r="AJ8" s="729"/>
    </row>
    <row r="9" spans="1:36" outlineLevel="1">
      <c r="A9" s="674"/>
      <c r="B9" s="962" t="s">
        <v>341</v>
      </c>
      <c r="C9" s="674"/>
      <c r="D9" s="674"/>
      <c r="E9" s="957"/>
      <c r="F9" s="957"/>
      <c r="G9" s="957"/>
      <c r="H9" s="957"/>
      <c r="I9" s="957"/>
      <c r="J9" s="957"/>
      <c r="K9" s="957"/>
      <c r="L9" s="957"/>
      <c r="M9" s="957"/>
      <c r="N9" s="957"/>
      <c r="O9" s="957"/>
      <c r="P9" s="957"/>
      <c r="Q9" s="957"/>
      <c r="R9" s="957"/>
      <c r="S9" s="958" t="s">
        <v>342</v>
      </c>
      <c r="T9" s="963" t="s">
        <v>343</v>
      </c>
      <c r="U9" s="674"/>
      <c r="V9" s="729"/>
      <c r="W9" s="729"/>
      <c r="X9" s="729"/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</row>
    <row r="10" spans="1:36" outlineLevel="1">
      <c r="A10" s="674"/>
      <c r="B10" s="691" t="s">
        <v>344</v>
      </c>
      <c r="C10" s="674" t="s">
        <v>345</v>
      </c>
      <c r="D10" s="674"/>
      <c r="E10" s="957"/>
      <c r="F10" s="211">
        <f>Inputs!$D$132</f>
        <v>612247701</v>
      </c>
      <c r="G10" s="211">
        <f>Inputs!$E$132</f>
        <v>744218137</v>
      </c>
      <c r="H10" s="211">
        <f>Inputs!$F$132</f>
        <v>787041187</v>
      </c>
      <c r="I10" s="211">
        <f>Inputs!$G$132</f>
        <v>750867662</v>
      </c>
      <c r="J10" s="222">
        <f>Inputs!$H$132</f>
        <v>826514746</v>
      </c>
      <c r="K10" s="222">
        <f>Inputs!$I$132</f>
        <v>751453314</v>
      </c>
      <c r="L10" s="222">
        <f>Inputs!$J$132</f>
        <v>679890552</v>
      </c>
      <c r="M10" s="222" cm="1">
        <f t="array" ref="M10">INDEX(Revenue!K:K,$E$18)</f>
        <v>972314088.19888628</v>
      </c>
      <c r="N10" s="222" cm="1">
        <f t="array" ref="N10">INDEX(Revenue!L:L,$E$18)</f>
        <v>1162488281.7608266</v>
      </c>
      <c r="O10" s="222" cm="1">
        <f t="array" ref="O10">INDEX(Revenue!M:M,$E$18)</f>
        <v>1141882933.1494479</v>
      </c>
      <c r="P10" s="222" cm="1">
        <f t="array" ref="P10">INDEX(Revenue!N:N,$E$18)</f>
        <v>1156758178.6088107</v>
      </c>
      <c r="Q10" s="222" cm="1">
        <f t="array" ref="Q10">INDEX(Revenue!O:O,$E$18)</f>
        <v>1244340503.0137866</v>
      </c>
      <c r="R10" s="957"/>
      <c r="S10" s="212">
        <f>SUM(F10:Q10)</f>
        <v>10830017283.731758</v>
      </c>
      <c r="T10" s="213">
        <f t="shared" ref="T10:T16" si="2">S10/TrmLargoPlazo</f>
        <v>2934964.0335316416</v>
      </c>
      <c r="U10" s="674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  <c r="AF10" s="729"/>
      <c r="AG10" s="729"/>
      <c r="AH10" s="729"/>
      <c r="AI10" s="729"/>
      <c r="AJ10" s="729"/>
    </row>
    <row r="11" spans="1:36" outlineLevel="1">
      <c r="A11" s="674"/>
      <c r="B11" s="691" t="s">
        <v>346</v>
      </c>
      <c r="C11" s="674" t="s">
        <v>345</v>
      </c>
      <c r="D11" s="674"/>
      <c r="E11" s="957"/>
      <c r="F11" s="211">
        <f>Inputs!$D$135</f>
        <v>238535794</v>
      </c>
      <c r="G11" s="211">
        <f>Inputs!$E$135</f>
        <v>343308791</v>
      </c>
      <c r="H11" s="211">
        <f>Inputs!$F$135</f>
        <v>455639201</v>
      </c>
      <c r="I11" s="211">
        <f>Inputs!$G$135</f>
        <v>379273594</v>
      </c>
      <c r="J11" s="222">
        <f>Inputs!H135</f>
        <v>355470523</v>
      </c>
      <c r="K11" s="222">
        <f>Inputs!I135</f>
        <v>348477606</v>
      </c>
      <c r="L11" s="222">
        <f>Inputs!J135</f>
        <v>321917838</v>
      </c>
      <c r="M11" s="212">
        <f>CostoVentasBase*(1+InflacionAnual)*(1/12)+DeltaModQ3</f>
        <v>352521060.41666663</v>
      </c>
      <c r="N11" s="212">
        <f>CostoVentasBase*(1+InflacionAnual)*(1/12)+DeltaModQ3</f>
        <v>352521060.41666663</v>
      </c>
      <c r="O11" s="212">
        <f>CostoVentasBase*(1+InflacionAnual)*(1/12)+DeltaModQ3</f>
        <v>352521060.41666663</v>
      </c>
      <c r="P11" s="212">
        <f>CostoVentasBase*(1+InflacionAnual)*(1/12)+DeltaModQ4</f>
        <v>362550219.41666663</v>
      </c>
      <c r="Q11" s="212">
        <f>CostoVentasBase*(1+InflacionAnual)*(1/12)+DeltaModQ4</f>
        <v>362550219.41666663</v>
      </c>
      <c r="R11" s="957"/>
      <c r="S11" s="212">
        <f t="shared" ref="S11:S16" si="3">SUM(F11:Q11)</f>
        <v>4225286967.0833325</v>
      </c>
      <c r="T11" s="213">
        <f t="shared" si="2"/>
        <v>1145064.2187217704</v>
      </c>
      <c r="U11" s="674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  <c r="AF11" s="729"/>
      <c r="AG11" s="729"/>
      <c r="AH11" s="729"/>
      <c r="AI11" s="729"/>
      <c r="AJ11" s="729"/>
    </row>
    <row r="12" spans="1:36" outlineLevel="1">
      <c r="A12" s="674"/>
      <c r="B12" s="691" t="s">
        <v>347</v>
      </c>
      <c r="C12" s="674"/>
      <c r="D12" s="674"/>
      <c r="E12" s="957"/>
      <c r="F12" s="211">
        <f>Inputs!$D$139</f>
        <v>98722435</v>
      </c>
      <c r="G12" s="211">
        <f>Inputs!$E$139</f>
        <v>105633472</v>
      </c>
      <c r="H12" s="211">
        <f>Inputs!$F$139</f>
        <v>141811865</v>
      </c>
      <c r="I12" s="211">
        <f>Inputs!$G$139</f>
        <v>114280887</v>
      </c>
      <c r="J12" s="222">
        <f>Inputs!H139</f>
        <v>116808824</v>
      </c>
      <c r="K12" s="222">
        <f>Inputs!I139</f>
        <v>112288693</v>
      </c>
      <c r="L12" s="222">
        <f>Inputs!J139</f>
        <v>107932742</v>
      </c>
      <c r="M12" s="212">
        <f t="shared" ref="L12:Q12" si="4">GtosAdminBase*(1+InflacionAnual)*(1/12)</f>
        <v>135399979.66666666</v>
      </c>
      <c r="N12" s="212">
        <f t="shared" si="4"/>
        <v>135399979.66666666</v>
      </c>
      <c r="O12" s="212">
        <f t="shared" si="4"/>
        <v>135399979.66666666</v>
      </c>
      <c r="P12" s="212">
        <f t="shared" si="4"/>
        <v>135399979.66666666</v>
      </c>
      <c r="Q12" s="212">
        <f t="shared" si="4"/>
        <v>135399979.66666666</v>
      </c>
      <c r="R12" s="957"/>
      <c r="S12" s="212">
        <f t="shared" si="3"/>
        <v>1474478816.3333335</v>
      </c>
      <c r="T12" s="213">
        <f t="shared" si="2"/>
        <v>399587.75510388444</v>
      </c>
      <c r="U12" s="674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  <c r="AF12" s="729"/>
      <c r="AG12" s="729"/>
      <c r="AH12" s="729"/>
      <c r="AI12" s="729"/>
      <c r="AJ12" s="729"/>
    </row>
    <row r="13" spans="1:36" outlineLevel="1">
      <c r="A13" s="674"/>
      <c r="B13" s="691" t="s">
        <v>348</v>
      </c>
      <c r="C13" s="674"/>
      <c r="D13" s="674"/>
      <c r="E13" s="957"/>
      <c r="F13" s="211">
        <f>Inputs!$D$142</f>
        <v>131600259</v>
      </c>
      <c r="G13" s="211">
        <f>Inputs!$E$142</f>
        <v>173632204</v>
      </c>
      <c r="H13" s="211">
        <f>Inputs!$F$142</f>
        <v>139615776</v>
      </c>
      <c r="I13" s="211">
        <f>Inputs!$G$142</f>
        <v>130090415</v>
      </c>
      <c r="J13" s="222">
        <f>Inputs!H142</f>
        <v>120233213</v>
      </c>
      <c r="K13" s="222">
        <f>Inputs!I142</f>
        <v>146803460</v>
      </c>
      <c r="L13" s="222">
        <f>Inputs!J142</f>
        <v>117761236</v>
      </c>
      <c r="M13" s="212">
        <f>GtosVentasBase*(1+InflacionAnual)*(1/12)+DeltaVtasQ3</f>
        <v>230883032.25</v>
      </c>
      <c r="N13" s="212">
        <f>GtosVentasBase*(1+InflacionAnual)*(1/12)+DeltaVtasQ3</f>
        <v>230883032.25</v>
      </c>
      <c r="O13" s="212">
        <f>GtosVentasBase*(1+InflacionAnual)*(1/12)+DeltaVtasQ3</f>
        <v>230883032.25</v>
      </c>
      <c r="P13" s="212">
        <f>GtosVentasBase*(1+InflacionAnual)*(1/12)+DeltaVtasQ4</f>
        <v>237664417.25</v>
      </c>
      <c r="Q13" s="212">
        <f>GtosVentasBase*(1+InflacionAnual)*(1/12)+DeltaVtasQ4</f>
        <v>237664417.25</v>
      </c>
      <c r="R13" s="957"/>
      <c r="S13" s="212">
        <f t="shared" si="3"/>
        <v>2127714494.25</v>
      </c>
      <c r="T13" s="213">
        <f t="shared" si="2"/>
        <v>576616.39410569111</v>
      </c>
      <c r="U13" s="674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  <c r="AF13" s="729"/>
      <c r="AG13" s="729"/>
      <c r="AH13" s="729"/>
      <c r="AI13" s="729"/>
      <c r="AJ13" s="729"/>
    </row>
    <row r="14" spans="1:36" outlineLevel="1">
      <c r="A14" s="674"/>
      <c r="B14" s="691" t="s">
        <v>349</v>
      </c>
      <c r="C14" s="674"/>
      <c r="D14" s="674"/>
      <c r="E14" s="957"/>
      <c r="F14" s="211">
        <f>Inputs!$D$141</f>
        <v>73409852</v>
      </c>
      <c r="G14" s="211">
        <f>Inputs!$E$141</f>
        <v>75509638</v>
      </c>
      <c r="H14" s="211">
        <f>Inputs!$F$141</f>
        <v>72217138</v>
      </c>
      <c r="I14" s="211">
        <f>Inputs!$G$141</f>
        <v>122384514</v>
      </c>
      <c r="J14" s="222">
        <f>Inputs!H141</f>
        <v>120992711</v>
      </c>
      <c r="K14" s="222">
        <f>Inputs!I141</f>
        <v>108908060</v>
      </c>
      <c r="L14" s="222">
        <f>Inputs!J141</f>
        <v>102936374</v>
      </c>
      <c r="M14" s="212">
        <f t="shared" ref="L14:Q14" si="5">GtosOpInflado*(1/12)</f>
        <v>113025240.66666666</v>
      </c>
      <c r="N14" s="212">
        <f t="shared" si="5"/>
        <v>113025240.66666666</v>
      </c>
      <c r="O14" s="212">
        <f t="shared" si="5"/>
        <v>113025240.66666666</v>
      </c>
      <c r="P14" s="212">
        <f t="shared" si="5"/>
        <v>113025240.66666666</v>
      </c>
      <c r="Q14" s="212">
        <f t="shared" si="5"/>
        <v>113025240.66666666</v>
      </c>
      <c r="R14" s="957"/>
      <c r="S14" s="212">
        <f t="shared" si="3"/>
        <v>1241484490.3333333</v>
      </c>
      <c r="T14" s="213">
        <f t="shared" si="2"/>
        <v>336445.66133694671</v>
      </c>
      <c r="U14" s="674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  <c r="AF14" s="729"/>
      <c r="AG14" s="729"/>
      <c r="AH14" s="729"/>
      <c r="AI14" s="729"/>
      <c r="AJ14" s="729"/>
    </row>
    <row r="15" spans="1:36" outlineLevel="1">
      <c r="A15" s="674"/>
      <c r="B15" s="691" t="s">
        <v>350</v>
      </c>
      <c r="C15" s="674"/>
      <c r="D15" s="674"/>
      <c r="E15" s="957"/>
      <c r="F15" s="211">
        <f>Inputs!$D$146</f>
        <v>597687</v>
      </c>
      <c r="G15" s="211">
        <f>Inputs!$E$146</f>
        <v>13488976</v>
      </c>
      <c r="H15" s="211">
        <f>Inputs!$F$146</f>
        <v>-10197660</v>
      </c>
      <c r="I15" s="211">
        <f>Inputs!$G$146</f>
        <v>906545</v>
      </c>
      <c r="J15" s="222">
        <f>Inputs!H146</f>
        <v>1366339</v>
      </c>
      <c r="K15" s="222">
        <f>Inputs!I146</f>
        <v>3920249</v>
      </c>
      <c r="L15" s="222">
        <f>Inputs!J146</f>
        <v>718311</v>
      </c>
      <c r="M15" s="212">
        <f t="shared" ref="L15:Q15" si="6">IngNoOpBase*(1+InflacionAnual)*(1/12)</f>
        <v>11706738.666666666</v>
      </c>
      <c r="N15" s="212">
        <f t="shared" si="6"/>
        <v>11706738.666666666</v>
      </c>
      <c r="O15" s="212">
        <f t="shared" si="6"/>
        <v>11706738.666666666</v>
      </c>
      <c r="P15" s="212">
        <f t="shared" si="6"/>
        <v>11706738.666666666</v>
      </c>
      <c r="Q15" s="212">
        <f t="shared" si="6"/>
        <v>11706738.666666666</v>
      </c>
      <c r="R15" s="957"/>
      <c r="S15" s="212">
        <f t="shared" si="3"/>
        <v>69334140.333333328</v>
      </c>
      <c r="T15" s="213">
        <f t="shared" si="2"/>
        <v>18789.739927732608</v>
      </c>
      <c r="U15" s="674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  <c r="AF15" s="729"/>
      <c r="AG15" s="729"/>
      <c r="AH15" s="729"/>
      <c r="AI15" s="729"/>
      <c r="AJ15" s="729"/>
    </row>
    <row r="16" spans="1:36" outlineLevel="1">
      <c r="A16" s="674"/>
      <c r="B16" s="691" t="s">
        <v>351</v>
      </c>
      <c r="C16" s="674"/>
      <c r="D16" s="674"/>
      <c r="E16" s="957"/>
      <c r="F16" s="211">
        <f>Inputs!$D$150</f>
        <v>7091551</v>
      </c>
      <c r="G16" s="211">
        <f>Inputs!$E$150</f>
        <v>5574093</v>
      </c>
      <c r="H16" s="211">
        <f>Inputs!$F$150</f>
        <v>5497554</v>
      </c>
      <c r="I16" s="211">
        <f>Inputs!$G$150</f>
        <v>5038594</v>
      </c>
      <c r="J16" s="222">
        <f>Inputs!$H$150</f>
        <v>6000846</v>
      </c>
      <c r="K16" s="222">
        <f>Inputs!$I$150</f>
        <v>5552094</v>
      </c>
      <c r="L16" s="222">
        <f>Inputs!$J$150</f>
        <v>5353621</v>
      </c>
      <c r="M16" s="212">
        <f t="shared" ref="L16:Q16" si="7">GtosNoOpBase*(1+InflacionAnual)*(1/12)</f>
        <v>8061432.75</v>
      </c>
      <c r="N16" s="212">
        <f t="shared" si="7"/>
        <v>8061432.75</v>
      </c>
      <c r="O16" s="212">
        <f t="shared" si="7"/>
        <v>8061432.75</v>
      </c>
      <c r="P16" s="212">
        <f t="shared" si="7"/>
        <v>8061432.75</v>
      </c>
      <c r="Q16" s="212">
        <f t="shared" si="7"/>
        <v>8061432.75</v>
      </c>
      <c r="R16" s="957"/>
      <c r="S16" s="212">
        <f t="shared" si="3"/>
        <v>80415516.75</v>
      </c>
      <c r="T16" s="213">
        <f t="shared" si="2"/>
        <v>21792.822967479675</v>
      </c>
      <c r="U16" s="674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  <c r="AF16" s="729"/>
      <c r="AG16" s="729"/>
      <c r="AH16" s="729"/>
      <c r="AI16" s="729"/>
      <c r="AJ16" s="729"/>
    </row>
    <row r="17" spans="1:36" outlineLevel="1">
      <c r="A17" s="674"/>
      <c r="B17" s="691"/>
      <c r="C17" s="674"/>
      <c r="D17" s="674"/>
      <c r="E17" s="957"/>
      <c r="F17" s="964"/>
      <c r="G17" s="964"/>
      <c r="H17" s="964"/>
      <c r="I17" s="81"/>
      <c r="J17" s="81"/>
      <c r="K17" s="81"/>
      <c r="L17" s="81"/>
      <c r="M17" s="81"/>
      <c r="N17" s="81"/>
      <c r="O17" s="81"/>
      <c r="P17" s="81"/>
      <c r="Q17" s="81"/>
      <c r="R17" s="957"/>
      <c r="S17" s="965"/>
      <c r="T17" s="802"/>
      <c r="U17" s="674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  <c r="AF17" s="729"/>
      <c r="AG17" s="729"/>
      <c r="AH17" s="729"/>
      <c r="AI17" s="729"/>
      <c r="AJ17" s="729"/>
    </row>
    <row r="18" spans="1:36" outlineLevel="1">
      <c r="A18" s="674"/>
      <c r="B18" s="691" t="s">
        <v>79</v>
      </c>
      <c r="C18" s="214" t="s">
        <v>93</v>
      </c>
      <c r="D18" s="966" t="s">
        <v>907</v>
      </c>
      <c r="E18" s="967">
        <f>IF(C18="Conservador",47,IF(C18="Optimista",57,52))</f>
        <v>52</v>
      </c>
      <c r="F18" s="967">
        <f>IF($C$18="Optimista",1,IF($C$18="Conservador",2,3))</f>
        <v>3</v>
      </c>
      <c r="G18" s="964"/>
      <c r="H18" s="964"/>
      <c r="I18" s="81"/>
      <c r="J18" s="81"/>
      <c r="K18" s="81"/>
      <c r="L18" s="81"/>
      <c r="M18" s="81"/>
      <c r="N18" s="81"/>
      <c r="O18" s="81"/>
      <c r="P18" s="81"/>
      <c r="Q18" s="81"/>
      <c r="R18" s="957"/>
      <c r="S18" s="965"/>
      <c r="T18" s="802"/>
      <c r="U18" s="674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  <c r="AF18" s="729"/>
      <c r="AG18" s="729"/>
      <c r="AH18" s="729"/>
      <c r="AI18" s="729"/>
      <c r="AJ18" s="729"/>
    </row>
    <row r="19" spans="1:36" outlineLevel="1">
      <c r="A19" s="674"/>
      <c r="B19" s="961" t="s">
        <v>908</v>
      </c>
      <c r="C19" s="214" t="s">
        <v>146</v>
      </c>
      <c r="D19" s="968" t="s">
        <v>909</v>
      </c>
      <c r="E19" s="957"/>
      <c r="F19" s="964"/>
      <c r="G19" s="964"/>
      <c r="H19" s="964"/>
      <c r="I19" s="81"/>
      <c r="J19" s="81"/>
      <c r="K19" s="81"/>
      <c r="L19" s="81"/>
      <c r="M19" s="81"/>
      <c r="N19" s="81"/>
      <c r="O19" s="81"/>
      <c r="P19" s="81"/>
      <c r="Q19" s="81"/>
      <c r="R19" s="957"/>
      <c r="S19" s="965"/>
      <c r="T19" s="802"/>
      <c r="U19" s="674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  <c r="AF19" s="729"/>
      <c r="AG19" s="729"/>
      <c r="AH19" s="729"/>
      <c r="AI19" s="729"/>
      <c r="AJ19" s="729"/>
    </row>
    <row r="20" spans="1:36" ht="30" customHeight="1" outlineLevel="1">
      <c r="A20" s="467"/>
      <c r="B20" s="461" t="s">
        <v>352</v>
      </c>
      <c r="C20" s="461"/>
      <c r="D20" s="461"/>
      <c r="E20" s="461"/>
      <c r="F20" s="537" t="str">
        <f>F2</f>
        <v>Ene-26</v>
      </c>
      <c r="G20" s="537" t="str">
        <f t="shared" ref="G20:Q20" si="8">G2</f>
        <v>Feb-26</v>
      </c>
      <c r="H20" s="537" t="str">
        <f t="shared" si="8"/>
        <v>Mar-26</v>
      </c>
      <c r="I20" s="537" t="str">
        <f t="shared" si="8"/>
        <v>Abr-26</v>
      </c>
      <c r="J20" s="537" t="str">
        <f t="shared" si="8"/>
        <v>May-26</v>
      </c>
      <c r="K20" s="537" t="str">
        <f t="shared" ref="K20" si="9">K2</f>
        <v>Jun-26</v>
      </c>
      <c r="L20" s="537" t="str">
        <f t="shared" si="8"/>
        <v>Jul-26</v>
      </c>
      <c r="M20" s="537" t="str">
        <f t="shared" si="8"/>
        <v>Ago-26</v>
      </c>
      <c r="N20" s="537" t="str">
        <f t="shared" si="8"/>
        <v>Sep-26</v>
      </c>
      <c r="O20" s="537" t="str">
        <f t="shared" si="8"/>
        <v>Oct-26</v>
      </c>
      <c r="P20" s="537" t="str">
        <f t="shared" si="8"/>
        <v>Nov-26</v>
      </c>
      <c r="Q20" s="537" t="str">
        <f t="shared" si="8"/>
        <v>Dic-26</v>
      </c>
      <c r="R20" s="461"/>
      <c r="S20" s="538" t="s">
        <v>342</v>
      </c>
      <c r="T20" s="538" t="s">
        <v>343</v>
      </c>
      <c r="U20" s="461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  <c r="AF20" s="729"/>
      <c r="AG20" s="729"/>
      <c r="AH20" s="729"/>
      <c r="AI20" s="729"/>
      <c r="AJ20" s="729"/>
    </row>
    <row r="21" spans="1:36" outlineLevel="1">
      <c r="A21" s="674"/>
      <c r="B21" s="691" t="str">
        <f>'Consol. Pptos'!B40</f>
        <v>Proyección mensual COP — Ppto Metas</v>
      </c>
      <c r="C21" s="674"/>
      <c r="D21" s="674"/>
      <c r="E21" s="969" t="s">
        <v>96</v>
      </c>
      <c r="F21" s="212">
        <f>F10</f>
        <v>612247701</v>
      </c>
      <c r="G21" s="212">
        <f t="shared" ref="G21:H21" si="10">G10</f>
        <v>744218137</v>
      </c>
      <c r="H21" s="212">
        <f t="shared" si="10"/>
        <v>787041187</v>
      </c>
      <c r="I21" s="212">
        <f t="shared" ref="I21" si="11">I10</f>
        <v>750867662</v>
      </c>
      <c r="J21" s="222">
        <f>'Consol. Pptos'!H63</f>
        <v>1013200000</v>
      </c>
      <c r="K21" s="222">
        <f>'Consol. Pptos'!I63</f>
        <v>1186615357.1428571</v>
      </c>
      <c r="L21" s="222">
        <f>'Consol. Pptos'!J63</f>
        <v>1360030714.2857144</v>
      </c>
      <c r="M21" s="222">
        <f>'Consol. Pptos'!K63</f>
        <v>1533446071.4285715</v>
      </c>
      <c r="N21" s="222">
        <f>'Consol. Pptos'!L63</f>
        <v>1706861428.5714285</v>
      </c>
      <c r="O21" s="222">
        <f>'Consol. Pptos'!M63</f>
        <v>1880276785.7142859</v>
      </c>
      <c r="P21" s="222">
        <f>'Consol. Pptos'!N63</f>
        <v>2053692142.8571429</v>
      </c>
      <c r="Q21" s="222">
        <f>'Consol. Pptos'!O63</f>
        <v>2227107500</v>
      </c>
      <c r="R21" s="957"/>
      <c r="S21" s="212">
        <f t="shared" ref="S21:S23" si="12">SUM(F21:Q21)</f>
        <v>15855604687</v>
      </c>
      <c r="T21" s="213">
        <f t="shared" ref="T21:T23" si="13">S21/TrmLargoPlazo</f>
        <v>4296911.8392953929</v>
      </c>
      <c r="U21" s="674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  <c r="AF21" s="729"/>
      <c r="AG21" s="729"/>
      <c r="AH21" s="729"/>
      <c r="AI21" s="729"/>
      <c r="AJ21" s="729"/>
    </row>
    <row r="22" spans="1:36" outlineLevel="1">
      <c r="A22" s="674"/>
      <c r="B22" s="691" t="str">
        <f>'Consol. Pptos'!B108</f>
        <v>Proyección mensual COP — Ppto Intnl</v>
      </c>
      <c r="C22" s="674"/>
      <c r="D22" s="674"/>
      <c r="E22" s="969" t="s">
        <v>353</v>
      </c>
      <c r="F22" s="212">
        <f>F10</f>
        <v>612247701</v>
      </c>
      <c r="G22" s="212">
        <f t="shared" ref="G22:H22" si="14">G10</f>
        <v>744218137</v>
      </c>
      <c r="H22" s="212">
        <f t="shared" si="14"/>
        <v>787041187</v>
      </c>
      <c r="I22" s="212">
        <f t="shared" ref="I22" si="15">I10</f>
        <v>750867662</v>
      </c>
      <c r="J22" s="222">
        <f>'Consol. Pptos'!H122</f>
        <v>1218402709.5</v>
      </c>
      <c r="K22" s="222">
        <f>'Consol. Pptos'!I122</f>
        <v>759478939.5</v>
      </c>
      <c r="L22" s="222">
        <f>'Consol. Pptos'!J122</f>
        <v>803436463.33333337</v>
      </c>
      <c r="M22" s="222">
        <f>'Consol. Pptos'!K122</f>
        <v>1243640233.3333333</v>
      </c>
      <c r="N22" s="222">
        <f>'Consol. Pptos'!L122</f>
        <v>1249040233.3333333</v>
      </c>
      <c r="O22" s="222">
        <f>'Consol. Pptos'!M122</f>
        <v>1350420930.6666667</v>
      </c>
      <c r="P22" s="222">
        <f>'Consol. Pptos'!N122</f>
        <v>1355820930.6666667</v>
      </c>
      <c r="Q22" s="222">
        <f>'Consol. Pptos'!O122</f>
        <v>1361220930.6666667</v>
      </c>
      <c r="R22" s="957"/>
      <c r="S22" s="212">
        <f t="shared" si="12"/>
        <v>12235836057.999998</v>
      </c>
      <c r="T22" s="213">
        <f t="shared" si="13"/>
        <v>3315944.7311653113</v>
      </c>
      <c r="U22" s="674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  <c r="AF22" s="729"/>
      <c r="AG22" s="729"/>
      <c r="AH22" s="729"/>
      <c r="AI22" s="729"/>
      <c r="AJ22" s="729"/>
    </row>
    <row r="23" spans="1:36" outlineLevel="1">
      <c r="A23" s="674"/>
      <c r="B23" s="691" t="str">
        <f>'Consol. Pptos'!B177</f>
        <v>Proyección mensual COP — Ppto Consolidado</v>
      </c>
      <c r="C23" s="674"/>
      <c r="D23" s="674"/>
      <c r="E23" s="969" t="s">
        <v>93</v>
      </c>
      <c r="F23" s="212">
        <f>F10</f>
        <v>612247701</v>
      </c>
      <c r="G23" s="212">
        <f t="shared" ref="G23:H23" si="16">G10</f>
        <v>744218137</v>
      </c>
      <c r="H23" s="212">
        <f t="shared" si="16"/>
        <v>787041187</v>
      </c>
      <c r="I23" s="212">
        <f t="shared" ref="I23" si="17">I10</f>
        <v>750867662</v>
      </c>
      <c r="J23" s="222">
        <f>Inputs!H132</f>
        <v>826514746</v>
      </c>
      <c r="K23" s="222">
        <f>Inputs!I132</f>
        <v>751453314</v>
      </c>
      <c r="L23" s="222">
        <f>'Consol. Pptos'!J202</f>
        <v>1047406944.2857144</v>
      </c>
      <c r="M23" s="222">
        <f>'Consol. Pptos'!K202</f>
        <v>1573626071.4285715</v>
      </c>
      <c r="N23" s="222">
        <f>'Consol. Pptos'!L202</f>
        <v>1665041428.5714285</v>
      </c>
      <c r="O23" s="222">
        <f>'Consol. Pptos'!M202</f>
        <v>1756456785.7142859</v>
      </c>
      <c r="P23" s="222">
        <f>'Consol. Pptos'!N202</f>
        <v>1847872142.8571429</v>
      </c>
      <c r="Q23" s="222">
        <f>'Consol. Pptos'!O202</f>
        <v>1939287500</v>
      </c>
      <c r="R23" s="957"/>
      <c r="S23" s="212">
        <f t="shared" si="12"/>
        <v>14302033619.857143</v>
      </c>
      <c r="T23" s="213">
        <f t="shared" si="13"/>
        <v>3875889.8698799848</v>
      </c>
      <c r="U23" s="674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  <c r="AF23" s="729"/>
      <c r="AG23" s="729"/>
      <c r="AH23" s="729"/>
      <c r="AI23" s="729"/>
      <c r="AJ23" s="729"/>
    </row>
    <row r="24" spans="1:36" outlineLevel="1">
      <c r="A24" s="674"/>
      <c r="B24" s="691"/>
      <c r="C24" s="674"/>
      <c r="D24" s="674"/>
      <c r="E24" s="957"/>
      <c r="F24" s="964"/>
      <c r="G24" s="964"/>
      <c r="H24" s="964"/>
      <c r="I24" s="81"/>
      <c r="J24" s="81"/>
      <c r="K24" s="81"/>
      <c r="L24" s="81"/>
      <c r="M24" s="81"/>
      <c r="N24" s="81"/>
      <c r="O24" s="81"/>
      <c r="P24" s="81"/>
      <c r="Q24" s="81"/>
      <c r="R24" s="957"/>
      <c r="S24" s="965"/>
      <c r="T24" s="802"/>
      <c r="U24" s="674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  <c r="AF24" s="729"/>
      <c r="AG24" s="729"/>
      <c r="AH24" s="729"/>
      <c r="AI24" s="729"/>
      <c r="AJ24" s="729"/>
    </row>
    <row r="25" spans="1:36" ht="15" outlineLevel="1" thickBot="1">
      <c r="A25" s="674"/>
      <c r="B25" s="691"/>
      <c r="C25" s="674"/>
      <c r="D25" s="674"/>
      <c r="E25" s="957"/>
      <c r="F25" s="957"/>
      <c r="G25" s="957"/>
      <c r="H25" s="957"/>
      <c r="I25" s="957"/>
      <c r="J25" s="957"/>
      <c r="K25" s="957"/>
      <c r="L25" s="957"/>
      <c r="M25" s="957"/>
      <c r="N25" s="957"/>
      <c r="O25" s="957"/>
      <c r="P25" s="957"/>
      <c r="Q25" s="957"/>
      <c r="R25" s="957"/>
      <c r="S25" s="957"/>
      <c r="T25" s="674"/>
      <c r="U25" s="674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  <c r="AF25" s="729"/>
      <c r="AG25" s="729"/>
      <c r="AH25" s="729"/>
      <c r="AI25" s="729"/>
      <c r="AJ25" s="729"/>
    </row>
    <row r="26" spans="1:36" outlineLevel="1">
      <c r="A26" s="674"/>
      <c r="B26" s="234" t="s">
        <v>354</v>
      </c>
      <c r="C26" s="970"/>
      <c r="D26" s="970"/>
      <c r="E26" s="971"/>
      <c r="F26" s="971"/>
      <c r="G26" s="971"/>
      <c r="H26" s="971"/>
      <c r="I26" s="971"/>
      <c r="J26" s="971"/>
      <c r="K26" s="971"/>
      <c r="L26" s="971"/>
      <c r="M26" s="971"/>
      <c r="N26" s="971"/>
      <c r="O26" s="971"/>
      <c r="P26" s="971"/>
      <c r="Q26" s="971"/>
      <c r="R26" s="210" t="s">
        <v>355</v>
      </c>
      <c r="S26" s="210"/>
      <c r="T26" s="134"/>
      <c r="U26" s="674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  <c r="AF26" s="729"/>
      <c r="AG26" s="729"/>
      <c r="AH26" s="729"/>
      <c r="AI26" s="729"/>
      <c r="AJ26" s="729"/>
    </row>
    <row r="27" spans="1:36" outlineLevel="1">
      <c r="A27" s="674"/>
      <c r="B27" s="193" t="s">
        <v>356</v>
      </c>
      <c r="C27" s="972" t="s">
        <v>357</v>
      </c>
      <c r="D27" s="972"/>
      <c r="E27" s="973">
        <v>84</v>
      </c>
      <c r="F27" s="974"/>
      <c r="G27" s="974"/>
      <c r="H27" s="974"/>
      <c r="I27" s="974"/>
      <c r="J27" s="974"/>
      <c r="K27" s="974"/>
      <c r="L27" s="974"/>
      <c r="M27" s="974"/>
      <c r="N27" s="974"/>
      <c r="O27" s="974"/>
      <c r="P27" s="974"/>
      <c r="Q27" s="974"/>
      <c r="R27" s="215" t="s">
        <v>358</v>
      </c>
      <c r="S27" s="215" t="s">
        <v>359</v>
      </c>
      <c r="T27" s="216" t="s">
        <v>360</v>
      </c>
      <c r="U27" s="674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  <c r="AF27" s="729"/>
      <c r="AG27" s="729"/>
      <c r="AH27" s="729"/>
      <c r="AI27" s="729"/>
      <c r="AJ27" s="729"/>
    </row>
    <row r="28" spans="1:36" outlineLevel="1">
      <c r="A28" s="674"/>
      <c r="B28" s="691" t="s">
        <v>361</v>
      </c>
      <c r="C28" s="674" t="s">
        <v>357</v>
      </c>
      <c r="D28" s="674"/>
      <c r="E28" s="975">
        <v>52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215" t="s">
        <v>362</v>
      </c>
      <c r="S28" s="215" t="s">
        <v>146</v>
      </c>
      <c r="T28" s="378">
        <v>338508</v>
      </c>
      <c r="U28" s="674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  <c r="AF28" s="729"/>
      <c r="AG28" s="729"/>
      <c r="AH28" s="729"/>
      <c r="AI28" s="729"/>
      <c r="AJ28" s="729"/>
    </row>
    <row r="29" spans="1:36" outlineLevel="1">
      <c r="A29" s="674"/>
      <c r="B29" s="691" t="s">
        <v>363</v>
      </c>
      <c r="C29" s="674" t="s">
        <v>364</v>
      </c>
      <c r="D29" s="674"/>
      <c r="E29" s="975">
        <v>60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215" t="s">
        <v>365</v>
      </c>
      <c r="S29" s="215" t="s">
        <v>140</v>
      </c>
      <c r="T29" s="799">
        <f>$T$28*$E$6</f>
        <v>1249094520</v>
      </c>
      <c r="U29" s="674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  <c r="AF29" s="729"/>
      <c r="AG29" s="729"/>
      <c r="AH29" s="729"/>
      <c r="AI29" s="729"/>
      <c r="AJ29" s="729"/>
    </row>
    <row r="30" spans="1:36" outlineLevel="1">
      <c r="A30" s="674"/>
      <c r="B30" s="691" t="s">
        <v>366</v>
      </c>
      <c r="C30" s="674" t="s">
        <v>140</v>
      </c>
      <c r="D30" s="674"/>
      <c r="E30" s="975">
        <v>7360092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215" t="s">
        <v>367</v>
      </c>
      <c r="S30" s="215" t="s">
        <v>368</v>
      </c>
      <c r="T30" s="379">
        <v>0</v>
      </c>
      <c r="U30" s="674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  <c r="AF30" s="729"/>
      <c r="AG30" s="729"/>
      <c r="AH30" s="729"/>
      <c r="AI30" s="729"/>
      <c r="AJ30" s="729"/>
    </row>
    <row r="31" spans="1:36" outlineLevel="1">
      <c r="A31" s="674"/>
      <c r="B31" s="691" t="s">
        <v>369</v>
      </c>
      <c r="C31" s="674" t="s">
        <v>291</v>
      </c>
      <c r="D31" s="674"/>
      <c r="E31" s="186">
        <v>1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215" t="s">
        <v>370</v>
      </c>
      <c r="S31" s="215" t="s">
        <v>371</v>
      </c>
      <c r="T31" s="82" t="s">
        <v>327</v>
      </c>
      <c r="U31" s="674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  <c r="AF31" s="729"/>
      <c r="AG31" s="729"/>
      <c r="AH31" s="729"/>
      <c r="AI31" s="729"/>
      <c r="AJ31" s="729"/>
    </row>
    <row r="32" spans="1:36" ht="15" outlineLevel="1" thickBot="1">
      <c r="A32" s="674"/>
      <c r="B32" s="691" t="s">
        <v>372</v>
      </c>
      <c r="C32" s="674" t="s">
        <v>140</v>
      </c>
      <c r="D32" s="674"/>
      <c r="E32" s="212">
        <f>E34</f>
        <v>231459000</v>
      </c>
      <c r="F32" s="957"/>
      <c r="G32" s="957"/>
      <c r="H32" s="957"/>
      <c r="I32" s="957"/>
      <c r="J32" s="957"/>
      <c r="K32" s="957"/>
      <c r="L32" s="957"/>
      <c r="M32" s="957"/>
      <c r="N32" s="957"/>
      <c r="O32" s="957"/>
      <c r="P32" s="957"/>
      <c r="Q32" s="957"/>
      <c r="R32" s="957"/>
      <c r="S32" s="957"/>
      <c r="T32" s="976"/>
      <c r="U32" s="674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  <c r="AF32" s="729"/>
      <c r="AG32" s="729"/>
      <c r="AH32" s="729"/>
      <c r="AI32" s="729"/>
      <c r="AJ32" s="729"/>
    </row>
    <row r="33" spans="1:36" outlineLevel="1">
      <c r="A33" s="682"/>
      <c r="B33" s="551" t="s">
        <v>373</v>
      </c>
      <c r="C33" s="977"/>
      <c r="D33" s="977"/>
      <c r="E33" s="978"/>
      <c r="F33" s="978"/>
      <c r="G33" s="978"/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553"/>
      <c r="S33" s="553"/>
      <c r="T33" s="682"/>
      <c r="U33" s="682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  <c r="AF33" s="729"/>
      <c r="AG33" s="729"/>
      <c r="AH33" s="729"/>
      <c r="AI33" s="729"/>
      <c r="AJ33" s="729"/>
    </row>
    <row r="34" spans="1:36" outlineLevel="1">
      <c r="A34" s="674"/>
      <c r="B34" s="691" t="s">
        <v>374</v>
      </c>
      <c r="C34" s="674"/>
      <c r="D34" s="674"/>
      <c r="E34" s="380">
        <v>231459000</v>
      </c>
      <c r="F34" s="222">
        <f>Inputs!D93</f>
        <v>425594626</v>
      </c>
      <c r="G34" s="222">
        <f>Inputs!E93</f>
        <v>120301539</v>
      </c>
      <c r="H34" s="222">
        <f>Inputs!F93</f>
        <v>269488711</v>
      </c>
      <c r="I34" s="222">
        <f>Inputs!G93</f>
        <v>357757161</v>
      </c>
      <c r="J34" s="222">
        <f>Inputs!H93</f>
        <v>244822345</v>
      </c>
      <c r="K34" s="222">
        <f>Inputs!I93</f>
        <v>115441362</v>
      </c>
      <c r="L34" s="222">
        <f>Inputs!J93</f>
        <v>174266926</v>
      </c>
      <c r="M34" s="979"/>
      <c r="N34" s="979"/>
      <c r="O34" s="979"/>
      <c r="P34" s="979"/>
      <c r="Q34" s="979"/>
      <c r="R34" s="957"/>
      <c r="S34" s="957"/>
      <c r="T34" s="674"/>
      <c r="U34" s="674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  <c r="AF34" s="729"/>
      <c r="AG34" s="729"/>
      <c r="AH34" s="729"/>
      <c r="AI34" s="729"/>
      <c r="AJ34" s="729"/>
    </row>
    <row r="35" spans="1:36" outlineLevel="1">
      <c r="A35" s="674"/>
      <c r="B35" s="193" t="s">
        <v>375</v>
      </c>
      <c r="C35" s="972"/>
      <c r="D35" s="972"/>
      <c r="E35" s="381">
        <v>1833296000</v>
      </c>
      <c r="F35" s="222">
        <f>Inputs!D96</f>
        <v>1590540829</v>
      </c>
      <c r="G35" s="222">
        <f>Inputs!E96</f>
        <v>1797557189</v>
      </c>
      <c r="H35" s="222">
        <f>Inputs!F96</f>
        <v>1690589814</v>
      </c>
      <c r="I35" s="222">
        <f>Inputs!G96</f>
        <v>1612589704</v>
      </c>
      <c r="J35" s="225">
        <f>Inputs!H96</f>
        <v>1675346692</v>
      </c>
      <c r="K35" s="225">
        <f>Inputs!I96</f>
        <v>1799431102</v>
      </c>
      <c r="L35" s="225">
        <f>Inputs!J96</f>
        <v>1688457915</v>
      </c>
      <c r="M35" s="980"/>
      <c r="N35" s="980"/>
      <c r="O35" s="980"/>
      <c r="P35" s="980"/>
      <c r="Q35" s="980"/>
      <c r="R35" s="957"/>
      <c r="S35" s="957"/>
      <c r="T35" s="674"/>
      <c r="U35" s="674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  <c r="AF35" s="729"/>
      <c r="AG35" s="729"/>
      <c r="AH35" s="729"/>
      <c r="AI35" s="729"/>
      <c r="AJ35" s="729"/>
    </row>
    <row r="36" spans="1:36" outlineLevel="1">
      <c r="A36" s="674"/>
      <c r="B36" s="691" t="s">
        <v>220</v>
      </c>
      <c r="C36" s="674"/>
      <c r="D36" s="674"/>
      <c r="E36" s="381">
        <v>92028000</v>
      </c>
      <c r="F36" s="222">
        <f>Inputs!D94</f>
        <v>92548595</v>
      </c>
      <c r="G36" s="222">
        <f>Inputs!E94</f>
        <v>93008823</v>
      </c>
      <c r="H36" s="222">
        <f>Inputs!F94</f>
        <v>93705293</v>
      </c>
      <c r="I36" s="222">
        <f>Inputs!G94</f>
        <v>94574157</v>
      </c>
      <c r="J36" s="222">
        <f>Inputs!H94</f>
        <v>175907394</v>
      </c>
      <c r="K36" s="222">
        <f>Inputs!I94</f>
        <v>77569331</v>
      </c>
      <c r="L36" s="222">
        <f>Inputs!J94</f>
        <v>78270032</v>
      </c>
      <c r="M36" s="979"/>
      <c r="N36" s="979"/>
      <c r="O36" s="979"/>
      <c r="P36" s="979"/>
      <c r="Q36" s="979"/>
      <c r="R36" s="957"/>
      <c r="S36" s="957"/>
      <c r="T36" s="976"/>
      <c r="U36" s="674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  <c r="AF36" s="729"/>
      <c r="AG36" s="729"/>
      <c r="AH36" s="729"/>
      <c r="AI36" s="729"/>
      <c r="AJ36" s="729"/>
    </row>
    <row r="37" spans="1:36" outlineLevel="1">
      <c r="A37" s="674"/>
      <c r="B37" s="691" t="s">
        <v>376</v>
      </c>
      <c r="C37" s="674"/>
      <c r="D37" s="674"/>
      <c r="E37" s="381">
        <v>3301925000</v>
      </c>
      <c r="F37" s="222">
        <f>Inputs!D97</f>
        <v>3331745751</v>
      </c>
      <c r="G37" s="222">
        <f>Inputs!E97</f>
        <v>3359507781</v>
      </c>
      <c r="H37" s="222">
        <f>Inputs!F97</f>
        <v>3397894998</v>
      </c>
      <c r="I37" s="222">
        <f>Inputs!G97</f>
        <v>3433020955</v>
      </c>
      <c r="J37" s="222">
        <f>Inputs!H97</f>
        <v>3468917579</v>
      </c>
      <c r="K37" s="222">
        <f>Inputs!I97</f>
        <v>3497856336</v>
      </c>
      <c r="L37" s="222">
        <f>Inputs!J97</f>
        <v>3529697045</v>
      </c>
      <c r="M37" s="979"/>
      <c r="N37" s="979"/>
      <c r="O37" s="979"/>
      <c r="P37" s="979"/>
      <c r="Q37" s="979"/>
      <c r="R37" s="957"/>
      <c r="S37" s="957"/>
      <c r="T37" s="976"/>
      <c r="U37" s="674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  <c r="AF37" s="729"/>
      <c r="AG37" s="729"/>
      <c r="AH37" s="729"/>
      <c r="AI37" s="729"/>
      <c r="AJ37" s="729"/>
    </row>
    <row r="38" spans="1:36" outlineLevel="1">
      <c r="A38" s="674"/>
      <c r="B38" s="691" t="s">
        <v>377</v>
      </c>
      <c r="C38" s="674"/>
      <c r="D38" s="674"/>
      <c r="E38" s="382">
        <v>209212000</v>
      </c>
      <c r="F38" s="222">
        <f>Inputs!D101</f>
        <v>216571954</v>
      </c>
      <c r="G38" s="222">
        <f>Inputs!E101</f>
        <v>222840954</v>
      </c>
      <c r="H38" s="222">
        <f>Inputs!F101</f>
        <v>223130002</v>
      </c>
      <c r="I38" s="222">
        <f>Inputs!G101</f>
        <v>218182533</v>
      </c>
      <c r="J38" s="222">
        <f>Inputs!H101</f>
        <v>225975514</v>
      </c>
      <c r="K38" s="222">
        <f>Inputs!I101</f>
        <v>225975514</v>
      </c>
      <c r="L38" s="222">
        <f>Inputs!J101</f>
        <v>225975514</v>
      </c>
      <c r="M38" s="965"/>
      <c r="N38" s="965"/>
      <c r="O38" s="965"/>
      <c r="P38" s="965"/>
      <c r="Q38" s="965"/>
      <c r="R38" s="957"/>
      <c r="S38" s="965"/>
      <c r="T38" s="976"/>
      <c r="U38" s="674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  <c r="AF38" s="729"/>
      <c r="AG38" s="729"/>
      <c r="AH38" s="729"/>
      <c r="AI38" s="729"/>
      <c r="AJ38" s="729"/>
    </row>
    <row r="39" spans="1:36" outlineLevel="1">
      <c r="A39" s="674"/>
      <c r="B39" s="691" t="s">
        <v>378</v>
      </c>
      <c r="C39" s="674"/>
      <c r="D39" s="674"/>
      <c r="E39" s="382">
        <v>410000000</v>
      </c>
      <c r="F39" s="222">
        <f>Inputs!D102</f>
        <v>410000000</v>
      </c>
      <c r="G39" s="222">
        <f>Inputs!E102</f>
        <v>410000000</v>
      </c>
      <c r="H39" s="222">
        <f>Inputs!F102</f>
        <v>410000000</v>
      </c>
      <c r="I39" s="222">
        <f>Inputs!G102</f>
        <v>410000000</v>
      </c>
      <c r="J39" s="222">
        <f>Inputs!H102</f>
        <v>410000000</v>
      </c>
      <c r="K39" s="222">
        <f>Inputs!I102</f>
        <v>410000000</v>
      </c>
      <c r="L39" s="222">
        <f>Inputs!J102</f>
        <v>410000000</v>
      </c>
      <c r="M39" s="81"/>
      <c r="N39" s="81"/>
      <c r="O39" s="81"/>
      <c r="P39" s="81"/>
      <c r="Q39" s="81"/>
      <c r="R39" s="957"/>
      <c r="S39" s="965"/>
      <c r="T39" s="976"/>
      <c r="U39" s="674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  <c r="AF39" s="729"/>
      <c r="AG39" s="729"/>
      <c r="AH39" s="729"/>
      <c r="AI39" s="729"/>
      <c r="AJ39" s="729"/>
    </row>
    <row r="40" spans="1:36" outlineLevel="1">
      <c r="A40" s="674"/>
      <c r="B40" s="691" t="s">
        <v>379</v>
      </c>
      <c r="C40" s="674"/>
      <c r="D40" s="674"/>
      <c r="E40" s="382">
        <v>544703000</v>
      </c>
      <c r="F40" s="222">
        <f>Inputs!D109</f>
        <v>502128241</v>
      </c>
      <c r="G40" s="222">
        <f>Inputs!E109</f>
        <v>493782297</v>
      </c>
      <c r="H40" s="222">
        <f>Inputs!F109</f>
        <v>571037565</v>
      </c>
      <c r="I40" s="222">
        <f>Inputs!G109</f>
        <v>563841763</v>
      </c>
      <c r="J40" s="222">
        <f>Inputs!H109</f>
        <v>502311050</v>
      </c>
      <c r="K40" s="222">
        <f>Inputs!I109</f>
        <v>483390906</v>
      </c>
      <c r="L40" s="222">
        <f>Inputs!J109</f>
        <v>403760304</v>
      </c>
      <c r="M40" s="81"/>
      <c r="N40" s="81"/>
      <c r="O40" s="81"/>
      <c r="P40" s="81"/>
      <c r="Q40" s="81"/>
      <c r="R40" s="957"/>
      <c r="S40" s="965"/>
      <c r="T40" s="976"/>
      <c r="U40" s="674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  <c r="AF40" s="729"/>
      <c r="AG40" s="729"/>
      <c r="AH40" s="729"/>
      <c r="AI40" s="729"/>
      <c r="AJ40" s="729"/>
    </row>
    <row r="41" spans="1:36" outlineLevel="1">
      <c r="A41" s="674"/>
      <c r="B41" s="691" t="s">
        <v>380</v>
      </c>
      <c r="C41" s="674"/>
      <c r="D41" s="674"/>
      <c r="E41" s="382">
        <v>2654919000</v>
      </c>
      <c r="F41" s="222">
        <f>Inputs!D116</f>
        <v>2645015181</v>
      </c>
      <c r="G41" s="222">
        <f>Inputs!E116</f>
        <v>2622128056</v>
      </c>
      <c r="H41" s="222">
        <f>Inputs!F116</f>
        <v>2643128881</v>
      </c>
      <c r="I41" s="222">
        <f>Inputs!G116</f>
        <v>2648455481</v>
      </c>
      <c r="J41" s="222">
        <f>Inputs!H116</f>
        <v>2642649181</v>
      </c>
      <c r="K41" s="222">
        <f>Inputs!I116</f>
        <v>2641566481</v>
      </c>
      <c r="L41" s="222">
        <f>Inputs!J116</f>
        <v>2641787281</v>
      </c>
      <c r="M41" s="81"/>
      <c r="N41" s="81"/>
      <c r="O41" s="81"/>
      <c r="P41" s="81"/>
      <c r="Q41" s="81"/>
      <c r="R41" s="957"/>
      <c r="S41" s="965"/>
      <c r="T41" s="976"/>
      <c r="U41" s="674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</row>
    <row r="42" spans="1:36" outlineLevel="1">
      <c r="A42" s="674"/>
      <c r="B42" s="691" t="s">
        <v>381</v>
      </c>
      <c r="C42" s="674"/>
      <c r="D42" s="674"/>
      <c r="E42" s="382">
        <v>40077000</v>
      </c>
      <c r="F42" s="222">
        <f>Inputs!D112</f>
        <v>14350080</v>
      </c>
      <c r="G42" s="222">
        <f>Inputs!E112</f>
        <v>1791700</v>
      </c>
      <c r="H42" s="222">
        <f>Inputs!F112</f>
        <v>25570584</v>
      </c>
      <c r="I42" s="222">
        <f>Inputs!G112</f>
        <v>24496645</v>
      </c>
      <c r="J42" s="222">
        <f>Inputs!H112</f>
        <v>22513416</v>
      </c>
      <c r="K42" s="222">
        <f>Inputs!I112</f>
        <v>23325495</v>
      </c>
      <c r="L42" s="222">
        <f>Inputs!J112</f>
        <v>19229474</v>
      </c>
      <c r="M42" s="81"/>
      <c r="N42" s="81"/>
      <c r="O42" s="81"/>
      <c r="P42" s="81"/>
      <c r="Q42" s="81"/>
      <c r="R42" s="957"/>
      <c r="S42" s="965"/>
      <c r="T42" s="976"/>
      <c r="U42" s="674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  <c r="AF42" s="729"/>
      <c r="AG42" s="729"/>
      <c r="AH42" s="729"/>
      <c r="AI42" s="729"/>
      <c r="AJ42" s="729"/>
    </row>
    <row r="43" spans="1:36" outlineLevel="1">
      <c r="A43" s="674"/>
      <c r="B43" s="691" t="s">
        <v>382</v>
      </c>
      <c r="C43" s="674"/>
      <c r="D43" s="674"/>
      <c r="E43" s="382">
        <v>333178000</v>
      </c>
      <c r="F43" s="222">
        <f>Inputs!D113</f>
        <v>344307623</v>
      </c>
      <c r="G43" s="222">
        <f>Inputs!E113</f>
        <v>241683051</v>
      </c>
      <c r="H43" s="222">
        <f>Inputs!F113</f>
        <v>236353731</v>
      </c>
      <c r="I43" s="222">
        <f>Inputs!G113</f>
        <v>271532869</v>
      </c>
      <c r="J43" s="222">
        <f>Inputs!H113</f>
        <v>320296862</v>
      </c>
      <c r="K43" s="222">
        <f>Inputs!I113</f>
        <v>247533920</v>
      </c>
      <c r="L43" s="222">
        <f>Inputs!J113</f>
        <v>265675229</v>
      </c>
      <c r="M43" s="81"/>
      <c r="N43" s="81"/>
      <c r="O43" s="81"/>
      <c r="P43" s="81"/>
      <c r="Q43" s="81"/>
      <c r="R43" s="957"/>
      <c r="S43" s="965"/>
      <c r="T43" s="976"/>
      <c r="U43" s="674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  <c r="AF43" s="729"/>
      <c r="AG43" s="729"/>
      <c r="AH43" s="729"/>
      <c r="AI43" s="729"/>
      <c r="AJ43" s="729"/>
    </row>
    <row r="44" spans="1:36" outlineLevel="1">
      <c r="A44" s="674"/>
      <c r="B44" s="691" t="s">
        <v>383</v>
      </c>
      <c r="C44" s="674"/>
      <c r="D44" s="674"/>
      <c r="E44" s="382">
        <v>80111000</v>
      </c>
      <c r="F44" s="222">
        <f>Inputs!D108</f>
        <v>72783461</v>
      </c>
      <c r="G44" s="222">
        <f>Inputs!E108</f>
        <v>101365099</v>
      </c>
      <c r="H44" s="222">
        <f>Inputs!F108</f>
        <v>104189980</v>
      </c>
      <c r="I44" s="222">
        <f>Inputs!G108</f>
        <v>112563470</v>
      </c>
      <c r="J44" s="222">
        <f>Inputs!H108</f>
        <v>99589767</v>
      </c>
      <c r="K44" s="222">
        <f>Inputs!I108</f>
        <v>83503947</v>
      </c>
      <c r="L44" s="222">
        <f>Inputs!J108</f>
        <v>104555195</v>
      </c>
      <c r="M44" s="81"/>
      <c r="N44" s="81"/>
      <c r="O44" s="81"/>
      <c r="P44" s="81"/>
      <c r="Q44" s="81"/>
      <c r="R44" s="957"/>
      <c r="S44" s="965"/>
      <c r="T44" s="976"/>
      <c r="U44" s="674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  <c r="AF44" s="729"/>
      <c r="AG44" s="729"/>
      <c r="AH44" s="729"/>
      <c r="AI44" s="729"/>
      <c r="AJ44" s="729"/>
    </row>
    <row r="45" spans="1:36" outlineLevel="1">
      <c r="A45" s="674"/>
      <c r="B45" s="691" t="s">
        <v>384</v>
      </c>
      <c r="C45" s="674"/>
      <c r="D45" s="674"/>
      <c r="E45" s="382">
        <v>1210339000</v>
      </c>
      <c r="F45" s="222">
        <f>Inputs!D121</f>
        <v>1210339000</v>
      </c>
      <c r="G45" s="222">
        <f>Inputs!E121</f>
        <v>1210339000</v>
      </c>
      <c r="H45" s="222">
        <f>Inputs!F121</f>
        <v>1210339000</v>
      </c>
      <c r="I45" s="222">
        <f>Inputs!G121</f>
        <v>1210339000</v>
      </c>
      <c r="J45" s="222">
        <f>Inputs!H121</f>
        <v>1210339000</v>
      </c>
      <c r="K45" s="222">
        <f>Inputs!I121</f>
        <v>1210339000</v>
      </c>
      <c r="L45" s="222">
        <f>Inputs!J121</f>
        <v>1210339000</v>
      </c>
      <c r="M45" s="81"/>
      <c r="N45" s="81"/>
      <c r="O45" s="81"/>
      <c r="P45" s="81"/>
      <c r="Q45" s="81"/>
      <c r="R45" s="957"/>
      <c r="S45" s="965"/>
      <c r="T45" s="976"/>
      <c r="U45" s="674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  <c r="AF45" s="729"/>
      <c r="AG45" s="729"/>
      <c r="AH45" s="729"/>
      <c r="AI45" s="729"/>
      <c r="AJ45" s="729"/>
    </row>
    <row r="46" spans="1:36" outlineLevel="1">
      <c r="A46" s="674"/>
      <c r="B46" s="691" t="s">
        <v>385</v>
      </c>
      <c r="C46" s="674"/>
      <c r="D46" s="674"/>
      <c r="E46" s="382">
        <v>1214593000</v>
      </c>
      <c r="F46" s="222">
        <f>Inputs!D122</f>
        <v>1278078168</v>
      </c>
      <c r="G46" s="222">
        <f>Inputs!E122</f>
        <v>1332127083</v>
      </c>
      <c r="H46" s="222">
        <f>Inputs!F122</f>
        <v>1294189077</v>
      </c>
      <c r="I46" s="222">
        <f>Inputs!G122</f>
        <v>1294895280</v>
      </c>
      <c r="J46" s="222">
        <f>Inputs!H122</f>
        <v>1403270248</v>
      </c>
      <c r="K46" s="222">
        <f>Inputs!I122</f>
        <v>1436613897</v>
      </c>
      <c r="L46" s="222">
        <f>Inputs!J122</f>
        <v>1461320949</v>
      </c>
      <c r="M46" s="81"/>
      <c r="N46" s="81"/>
      <c r="O46" s="81"/>
      <c r="P46" s="81"/>
      <c r="Q46" s="81"/>
      <c r="R46" s="957"/>
      <c r="S46" s="965"/>
      <c r="T46" s="976"/>
      <c r="U46" s="674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  <c r="AF46" s="729"/>
      <c r="AG46" s="729"/>
      <c r="AH46" s="729"/>
      <c r="AI46" s="729"/>
      <c r="AJ46" s="729"/>
    </row>
    <row r="47" spans="1:36" ht="15" outlineLevel="1" thickBot="1">
      <c r="A47" s="674"/>
      <c r="B47" s="691"/>
      <c r="C47" s="674"/>
      <c r="D47" s="674"/>
      <c r="E47" s="957"/>
      <c r="F47" s="957"/>
      <c r="G47" s="957"/>
      <c r="H47" s="957"/>
      <c r="I47" s="957"/>
      <c r="J47" s="957"/>
      <c r="K47" s="957"/>
      <c r="L47" s="957"/>
      <c r="M47" s="957"/>
      <c r="N47" s="957"/>
      <c r="O47" s="957"/>
      <c r="P47" s="957"/>
      <c r="Q47" s="957"/>
      <c r="R47" s="957"/>
      <c r="S47" s="957"/>
      <c r="T47" s="976"/>
      <c r="U47" s="674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  <c r="AF47" s="729"/>
      <c r="AG47" s="729"/>
      <c r="AH47" s="729"/>
      <c r="AI47" s="729"/>
      <c r="AJ47" s="729"/>
    </row>
    <row r="48" spans="1:36" outlineLevel="1">
      <c r="A48" s="682"/>
      <c r="B48" s="551" t="s">
        <v>386</v>
      </c>
      <c r="C48" s="551"/>
      <c r="D48" s="551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52"/>
      <c r="P48" s="552"/>
      <c r="Q48" s="552"/>
      <c r="R48" s="553"/>
      <c r="S48" s="552"/>
      <c r="T48" s="981"/>
      <c r="U48" s="682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  <c r="AF48" s="729"/>
      <c r="AG48" s="729"/>
      <c r="AH48" s="729"/>
      <c r="AI48" s="729"/>
      <c r="AJ48" s="729"/>
    </row>
    <row r="49" spans="1:36" outlineLevel="1">
      <c r="A49" s="674"/>
      <c r="B49" s="184"/>
      <c r="C49" s="215"/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957"/>
      <c r="S49" s="215"/>
      <c r="T49" s="976"/>
      <c r="U49" s="674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  <c r="AF49" s="729"/>
      <c r="AG49" s="729"/>
      <c r="AH49" s="729"/>
      <c r="AI49" s="729"/>
      <c r="AJ49" s="729"/>
    </row>
    <row r="50" spans="1:36" ht="30" customHeight="1">
      <c r="A50" s="467"/>
      <c r="B50" s="461"/>
      <c r="C50" s="461"/>
      <c r="D50" s="461"/>
      <c r="E50" s="461"/>
      <c r="F50" s="461" t="str">
        <f>F2</f>
        <v>Ene-26</v>
      </c>
      <c r="G50" s="461" t="str">
        <f t="shared" ref="G50:Q50" si="18">G2</f>
        <v>Feb-26</v>
      </c>
      <c r="H50" s="461" t="str">
        <f t="shared" si="18"/>
        <v>Mar-26</v>
      </c>
      <c r="I50" s="461" t="str">
        <f t="shared" si="18"/>
        <v>Abr-26</v>
      </c>
      <c r="J50" s="461" t="str">
        <f t="shared" si="18"/>
        <v>May-26</v>
      </c>
      <c r="K50" s="461" t="str">
        <f t="shared" ref="K50" si="19">K2</f>
        <v>Jun-26</v>
      </c>
      <c r="L50" s="461" t="str">
        <f t="shared" si="18"/>
        <v>Jul-26</v>
      </c>
      <c r="M50" s="461" t="str">
        <f t="shared" si="18"/>
        <v>Ago-26</v>
      </c>
      <c r="N50" s="461" t="str">
        <f t="shared" si="18"/>
        <v>Sep-26</v>
      </c>
      <c r="O50" s="461" t="str">
        <f t="shared" si="18"/>
        <v>Oct-26</v>
      </c>
      <c r="P50" s="461" t="str">
        <f t="shared" si="18"/>
        <v>Nov-26</v>
      </c>
      <c r="Q50" s="461" t="str">
        <f t="shared" si="18"/>
        <v>Dic-26</v>
      </c>
      <c r="R50" s="461"/>
      <c r="S50" s="461" t="s">
        <v>387</v>
      </c>
      <c r="T50" s="539"/>
      <c r="U50" s="461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  <c r="AF50" s="729"/>
      <c r="AG50" s="729"/>
      <c r="AH50" s="729"/>
      <c r="AI50" s="729"/>
      <c r="AJ50" s="729"/>
    </row>
    <row r="51" spans="1:36">
      <c r="A51" s="674"/>
      <c r="B51" s="193" t="s">
        <v>388</v>
      </c>
      <c r="C51" s="982"/>
      <c r="D51" s="982"/>
      <c r="E51" s="982"/>
      <c r="F51" s="226">
        <f>F23</f>
        <v>612247701</v>
      </c>
      <c r="G51" s="226">
        <f t="shared" ref="G51:J51" si="20">G23</f>
        <v>744218137</v>
      </c>
      <c r="H51" s="226">
        <f t="shared" si="20"/>
        <v>787041187</v>
      </c>
      <c r="I51" s="226">
        <f t="shared" si="20"/>
        <v>750867662</v>
      </c>
      <c r="J51" s="226">
        <f t="shared" si="20"/>
        <v>826514746</v>
      </c>
      <c r="K51" s="226">
        <f t="shared" ref="K51" si="21">K23</f>
        <v>751453314</v>
      </c>
      <c r="L51" s="226">
        <f>L10</f>
        <v>679890552</v>
      </c>
      <c r="M51" s="226" cm="1">
        <f t="array" ref="M51">INDEX(M$21:M$23,$F$18)</f>
        <v>1573626071.4285715</v>
      </c>
      <c r="N51" s="226" cm="1">
        <f t="array" ref="N51">INDEX(N$21:N$23,$F$18)</f>
        <v>1665041428.5714285</v>
      </c>
      <c r="O51" s="226" cm="1">
        <f t="array" ref="O51">INDEX(O$21:O$23,$F$18)</f>
        <v>1756456785.7142859</v>
      </c>
      <c r="P51" s="226" cm="1">
        <f t="array" ref="P51">INDEX(P$21:P$23,$F$18)</f>
        <v>1847872142.8571429</v>
      </c>
      <c r="Q51" s="226" cm="1">
        <f t="array" ref="Q51">INDEX(Q$21:Q$23,$F$18)</f>
        <v>1939287500</v>
      </c>
      <c r="R51" s="957"/>
      <c r="S51" s="226">
        <f>SUM(F51:Q51)</f>
        <v>13934517227.57143</v>
      </c>
      <c r="T51" s="976"/>
      <c r="U51" s="674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  <c r="AF51" s="729"/>
      <c r="AG51" s="729"/>
      <c r="AH51" s="729"/>
      <c r="AI51" s="729"/>
      <c r="AJ51" s="729"/>
    </row>
    <row r="52" spans="1:36">
      <c r="A52" s="674"/>
      <c r="B52" s="184" t="s">
        <v>153</v>
      </c>
      <c r="C52" s="215"/>
      <c r="D52" s="215"/>
      <c r="E52" s="215"/>
      <c r="F52" s="212">
        <f t="shared" ref="F52:Q52" si="22">F11</f>
        <v>238535794</v>
      </c>
      <c r="G52" s="212">
        <f t="shared" si="22"/>
        <v>343308791</v>
      </c>
      <c r="H52" s="212">
        <f t="shared" si="22"/>
        <v>455639201</v>
      </c>
      <c r="I52" s="212">
        <f t="shared" si="22"/>
        <v>379273594</v>
      </c>
      <c r="J52" s="212">
        <f t="shared" si="22"/>
        <v>355470523</v>
      </c>
      <c r="K52" s="212">
        <f t="shared" ref="K52" si="23">K11</f>
        <v>348477606</v>
      </c>
      <c r="L52" s="212">
        <f t="shared" si="22"/>
        <v>321917838</v>
      </c>
      <c r="M52" s="212">
        <f t="shared" si="22"/>
        <v>352521060.41666663</v>
      </c>
      <c r="N52" s="212">
        <f t="shared" si="22"/>
        <v>352521060.41666663</v>
      </c>
      <c r="O52" s="212">
        <f t="shared" si="22"/>
        <v>352521060.41666663</v>
      </c>
      <c r="P52" s="212">
        <f t="shared" si="22"/>
        <v>362550219.41666663</v>
      </c>
      <c r="Q52" s="212">
        <f t="shared" si="22"/>
        <v>362550219.41666663</v>
      </c>
      <c r="R52" s="957"/>
      <c r="S52" s="212">
        <f>SUM(F52:Q52)</f>
        <v>4225286967.0833325</v>
      </c>
      <c r="T52" s="976"/>
      <c r="U52" s="674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  <c r="AF52" s="729"/>
      <c r="AG52" s="729"/>
      <c r="AH52" s="729"/>
      <c r="AI52" s="729"/>
      <c r="AJ52" s="729"/>
    </row>
    <row r="53" spans="1:36">
      <c r="A53" s="674"/>
      <c r="B53" s="217" t="s">
        <v>389</v>
      </c>
      <c r="C53" s="218"/>
      <c r="D53" s="218"/>
      <c r="E53" s="218"/>
      <c r="F53" s="219">
        <f t="shared" ref="F53:Q53" si="24">F51-F52</f>
        <v>373711907</v>
      </c>
      <c r="G53" s="219">
        <f t="shared" si="24"/>
        <v>400909346</v>
      </c>
      <c r="H53" s="219">
        <f t="shared" si="24"/>
        <v>331401986</v>
      </c>
      <c r="I53" s="219">
        <f t="shared" si="24"/>
        <v>371594068</v>
      </c>
      <c r="J53" s="219">
        <f t="shared" si="24"/>
        <v>471044223</v>
      </c>
      <c r="K53" s="219">
        <f t="shared" ref="K53" si="25">K51-K52</f>
        <v>402975708</v>
      </c>
      <c r="L53" s="219">
        <f t="shared" si="24"/>
        <v>357972714</v>
      </c>
      <c r="M53" s="219">
        <f t="shared" si="24"/>
        <v>1221105011.0119047</v>
      </c>
      <c r="N53" s="219">
        <f t="shared" si="24"/>
        <v>1312520368.1547618</v>
      </c>
      <c r="O53" s="219">
        <f t="shared" si="24"/>
        <v>1403935725.2976193</v>
      </c>
      <c r="P53" s="219">
        <f t="shared" si="24"/>
        <v>1485321923.4404764</v>
      </c>
      <c r="Q53" s="219">
        <f t="shared" si="24"/>
        <v>1576737280.5833335</v>
      </c>
      <c r="R53" s="957"/>
      <c r="S53" s="219">
        <f>SUM(F53:Q53)</f>
        <v>9709230260.4880943</v>
      </c>
      <c r="T53" s="976"/>
      <c r="U53" s="674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  <c r="AF53" s="729"/>
      <c r="AG53" s="729"/>
      <c r="AH53" s="729"/>
      <c r="AI53" s="729"/>
      <c r="AJ53" s="729"/>
    </row>
    <row r="54" spans="1:36">
      <c r="A54" s="674"/>
      <c r="B54" s="220" t="s">
        <v>390</v>
      </c>
      <c r="C54" s="221"/>
      <c r="D54" s="221"/>
      <c r="E54" s="983"/>
      <c r="F54" s="984">
        <f t="shared" ref="F54:Q54" si="26">IF(F51=0,0,F53/F51)</f>
        <v>0.6103933202029288</v>
      </c>
      <c r="G54" s="984">
        <f t="shared" si="26"/>
        <v>0.53869870414082643</v>
      </c>
      <c r="H54" s="984">
        <f t="shared" si="26"/>
        <v>0.42107324429007298</v>
      </c>
      <c r="I54" s="984">
        <f t="shared" si="26"/>
        <v>0.49488623202952642</v>
      </c>
      <c r="J54" s="984">
        <f t="shared" si="26"/>
        <v>0.56991629644802488</v>
      </c>
      <c r="K54" s="984">
        <f t="shared" ref="K54" si="27">IF(K51=0,0,K53/K51)</f>
        <v>0.53626180162138459</v>
      </c>
      <c r="L54" s="984">
        <f t="shared" si="26"/>
        <v>0.52651520593567536</v>
      </c>
      <c r="M54" s="984">
        <f t="shared" si="26"/>
        <v>0.7759816853462268</v>
      </c>
      <c r="N54" s="984">
        <f t="shared" si="26"/>
        <v>0.78828090738911971</v>
      </c>
      <c r="O54" s="984">
        <f t="shared" si="26"/>
        <v>0.79929989551475966</v>
      </c>
      <c r="P54" s="984">
        <f t="shared" si="26"/>
        <v>0.80380124197548719</v>
      </c>
      <c r="Q54" s="984">
        <f t="shared" si="26"/>
        <v>0.81304978275956175</v>
      </c>
      <c r="R54" s="957"/>
      <c r="S54" s="984">
        <f>IF(S51=0,0,S53/S51)</f>
        <v>0.69677550373090769</v>
      </c>
      <c r="T54" s="985"/>
      <c r="U54" s="674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  <c r="AF54" s="729"/>
      <c r="AG54" s="729"/>
      <c r="AH54" s="729"/>
      <c r="AI54" s="729"/>
      <c r="AJ54" s="729"/>
    </row>
    <row r="55" spans="1:36">
      <c r="A55" s="674"/>
      <c r="B55" s="184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957"/>
      <c r="S55" s="215"/>
      <c r="T55" s="976"/>
      <c r="U55" s="674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  <c r="AF55" s="729"/>
      <c r="AG55" s="729"/>
      <c r="AH55" s="729"/>
      <c r="AI55" s="729"/>
      <c r="AJ55" s="729"/>
    </row>
    <row r="56" spans="1:36">
      <c r="A56" s="674"/>
      <c r="B56" s="184" t="s">
        <v>391</v>
      </c>
      <c r="C56" s="215"/>
      <c r="D56" s="215"/>
      <c r="E56" s="215"/>
      <c r="F56" s="212">
        <f t="shared" ref="F56:Q56" si="28">F12</f>
        <v>98722435</v>
      </c>
      <c r="G56" s="212">
        <f t="shared" si="28"/>
        <v>105633472</v>
      </c>
      <c r="H56" s="212">
        <f t="shared" si="28"/>
        <v>141811865</v>
      </c>
      <c r="I56" s="212">
        <f t="shared" si="28"/>
        <v>114280887</v>
      </c>
      <c r="J56" s="212">
        <f t="shared" si="28"/>
        <v>116808824</v>
      </c>
      <c r="K56" s="212">
        <f t="shared" ref="K56" si="29">K12</f>
        <v>112288693</v>
      </c>
      <c r="L56" s="212">
        <f t="shared" si="28"/>
        <v>107932742</v>
      </c>
      <c r="M56" s="212">
        <f t="shared" si="28"/>
        <v>135399979.66666666</v>
      </c>
      <c r="N56" s="212">
        <f t="shared" si="28"/>
        <v>135399979.66666666</v>
      </c>
      <c r="O56" s="212">
        <f t="shared" si="28"/>
        <v>135399979.66666666</v>
      </c>
      <c r="P56" s="212">
        <f t="shared" si="28"/>
        <v>135399979.66666666</v>
      </c>
      <c r="Q56" s="212">
        <f t="shared" si="28"/>
        <v>135399979.66666666</v>
      </c>
      <c r="R56" s="957"/>
      <c r="S56" s="212">
        <f t="shared" ref="S56:S61" si="30">SUM(F56:Q56)</f>
        <v>1474478816.3333335</v>
      </c>
      <c r="T56" s="976"/>
      <c r="U56" s="674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  <c r="AF56" s="729"/>
      <c r="AG56" s="729"/>
      <c r="AH56" s="729"/>
      <c r="AI56" s="729"/>
      <c r="AJ56" s="729"/>
    </row>
    <row r="57" spans="1:36">
      <c r="A57" s="674"/>
      <c r="B57" s="195" t="s">
        <v>392</v>
      </c>
      <c r="C57" s="224"/>
      <c r="D57" s="224"/>
      <c r="E57" s="224"/>
      <c r="F57" s="226">
        <f t="shared" ref="F57:Q57" si="31">F13</f>
        <v>131600259</v>
      </c>
      <c r="G57" s="226">
        <f t="shared" si="31"/>
        <v>173632204</v>
      </c>
      <c r="H57" s="226">
        <f t="shared" si="31"/>
        <v>139615776</v>
      </c>
      <c r="I57" s="226">
        <f t="shared" si="31"/>
        <v>130090415</v>
      </c>
      <c r="J57" s="226">
        <f t="shared" si="31"/>
        <v>120233213</v>
      </c>
      <c r="K57" s="226">
        <f t="shared" ref="K57" si="32">K13</f>
        <v>146803460</v>
      </c>
      <c r="L57" s="226">
        <f t="shared" si="31"/>
        <v>117761236</v>
      </c>
      <c r="M57" s="226">
        <f t="shared" si="31"/>
        <v>230883032.25</v>
      </c>
      <c r="N57" s="226">
        <f t="shared" si="31"/>
        <v>230883032.25</v>
      </c>
      <c r="O57" s="226">
        <f t="shared" si="31"/>
        <v>230883032.25</v>
      </c>
      <c r="P57" s="226">
        <f t="shared" si="31"/>
        <v>237664417.25</v>
      </c>
      <c r="Q57" s="226">
        <f t="shared" si="31"/>
        <v>237664417.25</v>
      </c>
      <c r="R57" s="957"/>
      <c r="S57" s="226">
        <f t="shared" si="30"/>
        <v>2127714494.25</v>
      </c>
      <c r="T57" s="976"/>
      <c r="U57" s="674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  <c r="AF57" s="729"/>
      <c r="AG57" s="729"/>
      <c r="AH57" s="729"/>
      <c r="AI57" s="729"/>
      <c r="AJ57" s="729"/>
    </row>
    <row r="58" spans="1:36">
      <c r="A58" s="674"/>
      <c r="B58" s="184" t="s">
        <v>393</v>
      </c>
      <c r="C58" s="215"/>
      <c r="D58" s="215"/>
      <c r="E58" s="215"/>
      <c r="F58" s="212">
        <f t="shared" ref="F58:Q58" si="33">F14</f>
        <v>73409852</v>
      </c>
      <c r="G58" s="212">
        <f t="shared" si="33"/>
        <v>75509638</v>
      </c>
      <c r="H58" s="212">
        <f t="shared" si="33"/>
        <v>72217138</v>
      </c>
      <c r="I58" s="212">
        <f t="shared" si="33"/>
        <v>122384514</v>
      </c>
      <c r="J58" s="212">
        <f t="shared" si="33"/>
        <v>120992711</v>
      </c>
      <c r="K58" s="212">
        <f t="shared" ref="K58" si="34">K14</f>
        <v>108908060</v>
      </c>
      <c r="L58" s="212">
        <f t="shared" si="33"/>
        <v>102936374</v>
      </c>
      <c r="M58" s="212">
        <f t="shared" si="33"/>
        <v>113025240.66666666</v>
      </c>
      <c r="N58" s="212">
        <f t="shared" si="33"/>
        <v>113025240.66666666</v>
      </c>
      <c r="O58" s="212">
        <f t="shared" si="33"/>
        <v>113025240.66666666</v>
      </c>
      <c r="P58" s="212">
        <f t="shared" si="33"/>
        <v>113025240.66666666</v>
      </c>
      <c r="Q58" s="212">
        <f t="shared" si="33"/>
        <v>113025240.66666666</v>
      </c>
      <c r="R58" s="957"/>
      <c r="S58" s="212">
        <f t="shared" si="30"/>
        <v>1241484490.3333333</v>
      </c>
      <c r="T58" s="976"/>
      <c r="U58" s="674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  <c r="AF58" s="729"/>
      <c r="AG58" s="729"/>
      <c r="AH58" s="729"/>
      <c r="AI58" s="729"/>
      <c r="AJ58" s="729"/>
    </row>
    <row r="59" spans="1:36" s="1" customFormat="1" ht="15">
      <c r="A59" s="674"/>
      <c r="B59" s="217" t="s">
        <v>278</v>
      </c>
      <c r="C59" s="218"/>
      <c r="D59" s="218"/>
      <c r="E59" s="218"/>
      <c r="F59" s="219">
        <f t="shared" ref="F59:Q59" si="35">F53-F56-F57-F58</f>
        <v>69979361</v>
      </c>
      <c r="G59" s="219">
        <f t="shared" si="35"/>
        <v>46134032</v>
      </c>
      <c r="H59" s="219">
        <f t="shared" si="35"/>
        <v>-22242793</v>
      </c>
      <c r="I59" s="219">
        <f t="shared" si="35"/>
        <v>4838252</v>
      </c>
      <c r="J59" s="219">
        <f t="shared" si="35"/>
        <v>113009475</v>
      </c>
      <c r="K59" s="219">
        <f t="shared" ref="K59" si="36">K53-K56-K57-K58</f>
        <v>34975495</v>
      </c>
      <c r="L59" s="219">
        <f t="shared" si="35"/>
        <v>29342362</v>
      </c>
      <c r="M59" s="219">
        <f t="shared" si="35"/>
        <v>741796758.42857134</v>
      </c>
      <c r="N59" s="219">
        <f t="shared" si="35"/>
        <v>833212115.57142842</v>
      </c>
      <c r="O59" s="219">
        <f t="shared" si="35"/>
        <v>924627472.71428597</v>
      </c>
      <c r="P59" s="219">
        <f t="shared" si="35"/>
        <v>999232285.85714304</v>
      </c>
      <c r="Q59" s="219">
        <f t="shared" si="35"/>
        <v>1090647643</v>
      </c>
      <c r="R59" s="957"/>
      <c r="S59" s="219">
        <f t="shared" si="30"/>
        <v>4865552459.5714283</v>
      </c>
      <c r="T59" s="976"/>
      <c r="U59" s="674"/>
      <c r="V59" s="1035"/>
      <c r="W59" s="1035"/>
      <c r="X59" s="1035"/>
      <c r="Y59" s="1035"/>
      <c r="Z59" s="1035"/>
      <c r="AA59" s="1035"/>
      <c r="AB59" s="1035"/>
      <c r="AC59" s="1035"/>
      <c r="AD59" s="1035"/>
      <c r="AE59" s="1035"/>
      <c r="AF59" s="1035"/>
      <c r="AG59" s="1035"/>
      <c r="AH59" s="1035"/>
      <c r="AI59" s="1035"/>
      <c r="AJ59" s="1035"/>
    </row>
    <row r="60" spans="1:36" s="1" customFormat="1" ht="15">
      <c r="A60" s="674"/>
      <c r="B60" s="184" t="s">
        <v>394</v>
      </c>
      <c r="C60" s="215"/>
      <c r="D60" s="215"/>
      <c r="E60" s="215"/>
      <c r="F60" s="79">
        <f>0</f>
        <v>0</v>
      </c>
      <c r="G60" s="79">
        <f>0</f>
        <v>0</v>
      </c>
      <c r="H60" s="79">
        <f>0</f>
        <v>0</v>
      </c>
      <c r="I60" s="79">
        <f>0</f>
        <v>0</v>
      </c>
      <c r="J60" s="185">
        <v>0</v>
      </c>
      <c r="K60" s="185">
        <v>0</v>
      </c>
      <c r="L60" s="212">
        <f>0</f>
        <v>0</v>
      </c>
      <c r="M60" s="212">
        <f t="shared" ref="L60:Q60" si="37">M167</f>
        <v>3826155.7905555558</v>
      </c>
      <c r="N60" s="212">
        <f t="shared" si="37"/>
        <v>3885054.7273796294</v>
      </c>
      <c r="O60" s="212">
        <f t="shared" si="37"/>
        <v>3942972.0152566358</v>
      </c>
      <c r="P60" s="212">
        <f t="shared" si="37"/>
        <v>3999924.0150023582</v>
      </c>
      <c r="Q60" s="212">
        <f t="shared" si="37"/>
        <v>4055926.8147523189</v>
      </c>
      <c r="R60" s="957"/>
      <c r="S60" s="212">
        <f t="shared" si="30"/>
        <v>19710033.362946499</v>
      </c>
      <c r="T60" s="976"/>
      <c r="U60" s="674"/>
      <c r="V60" s="1035"/>
      <c r="W60" s="1035"/>
      <c r="X60" s="1035"/>
      <c r="Y60" s="1035"/>
      <c r="Z60" s="1035"/>
      <c r="AA60" s="1035"/>
      <c r="AB60" s="1035"/>
      <c r="AC60" s="1035"/>
      <c r="AD60" s="1035"/>
      <c r="AE60" s="1035"/>
      <c r="AF60" s="1035"/>
      <c r="AG60" s="1035"/>
      <c r="AH60" s="1035"/>
      <c r="AI60" s="1035"/>
      <c r="AJ60" s="1035"/>
    </row>
    <row r="61" spans="1:36" s="1" customFormat="1" ht="15">
      <c r="A61" s="674"/>
      <c r="B61" s="217" t="s">
        <v>395</v>
      </c>
      <c r="C61" s="218"/>
      <c r="D61" s="218"/>
      <c r="E61" s="218"/>
      <c r="F61" s="219">
        <f t="shared" ref="F61:Q61" si="38">F59-F60</f>
        <v>69979361</v>
      </c>
      <c r="G61" s="219">
        <f t="shared" si="38"/>
        <v>46134032</v>
      </c>
      <c r="H61" s="384">
        <f t="shared" si="38"/>
        <v>-22242793</v>
      </c>
      <c r="I61" s="219">
        <f t="shared" si="38"/>
        <v>4838252</v>
      </c>
      <c r="J61" s="219">
        <f t="shared" si="38"/>
        <v>113009475</v>
      </c>
      <c r="K61" s="219">
        <f t="shared" ref="K61" si="39">K59-K60</f>
        <v>34975495</v>
      </c>
      <c r="L61" s="219">
        <f t="shared" si="38"/>
        <v>29342362</v>
      </c>
      <c r="M61" s="219">
        <f t="shared" si="38"/>
        <v>737970602.63801575</v>
      </c>
      <c r="N61" s="219">
        <f t="shared" si="38"/>
        <v>829327060.84404874</v>
      </c>
      <c r="O61" s="219">
        <f t="shared" si="38"/>
        <v>920684500.69902933</v>
      </c>
      <c r="P61" s="219">
        <f t="shared" si="38"/>
        <v>995232361.84214067</v>
      </c>
      <c r="Q61" s="219">
        <f t="shared" si="38"/>
        <v>1086591716.1852477</v>
      </c>
      <c r="R61" s="957"/>
      <c r="S61" s="219">
        <f t="shared" si="30"/>
        <v>4845842426.2084818</v>
      </c>
      <c r="T61" s="976"/>
      <c r="U61" s="674"/>
      <c r="V61" s="1035"/>
      <c r="W61" s="1035"/>
      <c r="X61" s="1035"/>
      <c r="Y61" s="1035"/>
      <c r="Z61" s="1035"/>
      <c r="AA61" s="1035"/>
      <c r="AB61" s="1035"/>
      <c r="AC61" s="1035"/>
      <c r="AD61" s="1035"/>
      <c r="AE61" s="1035"/>
      <c r="AF61" s="1035"/>
      <c r="AG61" s="1035"/>
      <c r="AH61" s="1035"/>
      <c r="AI61" s="1035"/>
      <c r="AJ61" s="1035"/>
    </row>
    <row r="62" spans="1:36">
      <c r="A62" s="674"/>
      <c r="B62" s="220" t="s">
        <v>396</v>
      </c>
      <c r="C62" s="221"/>
      <c r="D62" s="221"/>
      <c r="E62" s="221"/>
      <c r="F62" s="383">
        <f t="shared" ref="F62:Q62" si="40">IF(F51=0,0,F61/F51)</f>
        <v>0.11429909967109864</v>
      </c>
      <c r="G62" s="383">
        <f t="shared" si="40"/>
        <v>6.1989932395318657E-2</v>
      </c>
      <c r="H62" s="383">
        <f t="shared" si="40"/>
        <v>-2.8261282087134278E-2</v>
      </c>
      <c r="I62" s="383">
        <f t="shared" si="40"/>
        <v>6.4435482373989888E-3</v>
      </c>
      <c r="J62" s="383">
        <f t="shared" si="40"/>
        <v>0.13673013766169395</v>
      </c>
      <c r="K62" s="383">
        <f t="shared" ref="K62" si="41">IF(K51=0,0,K61/K51)</f>
        <v>4.6543802986009589E-2</v>
      </c>
      <c r="L62" s="383">
        <f t="shared" si="40"/>
        <v>4.3157478676067854E-2</v>
      </c>
      <c r="M62" s="383">
        <f t="shared" si="40"/>
        <v>0.4689618557018887</v>
      </c>
      <c r="N62" s="383">
        <f t="shared" si="40"/>
        <v>0.4980819375501031</v>
      </c>
      <c r="O62" s="383">
        <f t="shared" si="40"/>
        <v>0.52417145026691969</v>
      </c>
      <c r="P62" s="383">
        <f t="shared" si="40"/>
        <v>0.5385829131572557</v>
      </c>
      <c r="Q62" s="383">
        <f t="shared" si="40"/>
        <v>0.56030460475058375</v>
      </c>
      <c r="R62" s="957"/>
      <c r="S62" s="383">
        <f>IF(S51=0,0,S61/S51)</f>
        <v>0.34775818545190007</v>
      </c>
      <c r="T62" s="976"/>
      <c r="U62" s="674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  <c r="AF62" s="729"/>
      <c r="AG62" s="729"/>
      <c r="AH62" s="729"/>
      <c r="AI62" s="729"/>
      <c r="AJ62" s="729"/>
    </row>
    <row r="63" spans="1:36">
      <c r="A63" s="674"/>
      <c r="B63" s="184"/>
      <c r="C63" s="215"/>
      <c r="D63" s="215"/>
      <c r="E63" s="215"/>
      <c r="F63" s="73"/>
      <c r="G63" s="73"/>
      <c r="H63" s="73"/>
      <c r="I63" s="73"/>
      <c r="J63" s="215"/>
      <c r="K63" s="215"/>
      <c r="L63" s="215"/>
      <c r="M63" s="215"/>
      <c r="N63" s="215"/>
      <c r="O63" s="215"/>
      <c r="P63" s="215"/>
      <c r="Q63" s="215"/>
      <c r="R63" s="957"/>
      <c r="S63" s="215"/>
      <c r="T63" s="976"/>
      <c r="U63" s="674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  <c r="AF63" s="729"/>
      <c r="AG63" s="729"/>
      <c r="AH63" s="729"/>
      <c r="AI63" s="729"/>
      <c r="AJ63" s="729"/>
    </row>
    <row r="64" spans="1:36">
      <c r="A64" s="674"/>
      <c r="B64" s="184" t="s">
        <v>397</v>
      </c>
      <c r="C64" s="215"/>
      <c r="D64" s="215"/>
      <c r="E64" s="215"/>
      <c r="F64" s="212">
        <f t="shared" ref="F64:Q64" si="42">F15</f>
        <v>597687</v>
      </c>
      <c r="G64" s="212">
        <f t="shared" si="42"/>
        <v>13488976</v>
      </c>
      <c r="H64" s="212">
        <f t="shared" si="42"/>
        <v>-10197660</v>
      </c>
      <c r="I64" s="212">
        <f t="shared" si="42"/>
        <v>906545</v>
      </c>
      <c r="J64" s="212">
        <f t="shared" si="42"/>
        <v>1366339</v>
      </c>
      <c r="K64" s="212">
        <f t="shared" ref="K64" si="43">K15</f>
        <v>3920249</v>
      </c>
      <c r="L64" s="212">
        <f t="shared" si="42"/>
        <v>718311</v>
      </c>
      <c r="M64" s="212">
        <f t="shared" si="42"/>
        <v>11706738.666666666</v>
      </c>
      <c r="N64" s="212">
        <f t="shared" si="42"/>
        <v>11706738.666666666</v>
      </c>
      <c r="O64" s="212">
        <f t="shared" si="42"/>
        <v>11706738.666666666</v>
      </c>
      <c r="P64" s="212">
        <f t="shared" si="42"/>
        <v>11706738.666666666</v>
      </c>
      <c r="Q64" s="212">
        <f t="shared" si="42"/>
        <v>11706738.666666666</v>
      </c>
      <c r="R64" s="957"/>
      <c r="S64" s="212">
        <f>SUM(F64:Q64)</f>
        <v>69334140.333333328</v>
      </c>
      <c r="T64" s="674"/>
      <c r="U64" s="674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  <c r="AF64" s="729"/>
      <c r="AG64" s="729"/>
      <c r="AH64" s="729"/>
      <c r="AI64" s="729"/>
      <c r="AJ64" s="729"/>
    </row>
    <row r="65" spans="1:36">
      <c r="A65" s="674"/>
      <c r="B65" s="184" t="s">
        <v>398</v>
      </c>
      <c r="C65" s="215"/>
      <c r="D65" s="215"/>
      <c r="E65" s="215"/>
      <c r="F65" s="212">
        <f>F16</f>
        <v>7091551</v>
      </c>
      <c r="G65" s="212">
        <f t="shared" ref="G65:I65" si="44">G16</f>
        <v>5574093</v>
      </c>
      <c r="H65" s="212">
        <f t="shared" si="44"/>
        <v>5497554</v>
      </c>
      <c r="I65" s="212">
        <f t="shared" si="44"/>
        <v>5038594</v>
      </c>
      <c r="J65" s="212">
        <f>J16</f>
        <v>6000846</v>
      </c>
      <c r="K65" s="212">
        <f>K16</f>
        <v>5552094</v>
      </c>
      <c r="L65" s="212">
        <f>L16</f>
        <v>5353621</v>
      </c>
      <c r="M65" s="212">
        <f t="shared" ref="L65:Q65" si="45">M16+M138</f>
        <v>8757298.9749999996</v>
      </c>
      <c r="N65" s="212">
        <f t="shared" si="45"/>
        <v>8757298.9749999996</v>
      </c>
      <c r="O65" s="212">
        <f t="shared" si="45"/>
        <v>8757298.9749999996</v>
      </c>
      <c r="P65" s="212">
        <f t="shared" si="45"/>
        <v>8757298.9749999996</v>
      </c>
      <c r="Q65" s="212">
        <f t="shared" si="45"/>
        <v>8757298.9749999996</v>
      </c>
      <c r="R65" s="957"/>
      <c r="S65" s="212">
        <f>SUM(F65:Q65)</f>
        <v>83894847.875</v>
      </c>
      <c r="T65" s="674"/>
      <c r="U65" s="674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  <c r="AF65" s="729"/>
      <c r="AG65" s="729"/>
      <c r="AH65" s="729"/>
      <c r="AI65" s="729"/>
      <c r="AJ65" s="729"/>
    </row>
    <row r="66" spans="1:36">
      <c r="A66" s="674"/>
      <c r="B66" s="184"/>
      <c r="C66" s="215"/>
      <c r="D66" s="215"/>
      <c r="E66" s="215"/>
      <c r="F66" s="73"/>
      <c r="G66" s="73"/>
      <c r="H66" s="73"/>
      <c r="I66" s="73"/>
      <c r="J66" s="81"/>
      <c r="K66" s="81"/>
      <c r="L66" s="81"/>
      <c r="M66" s="81"/>
      <c r="N66" s="81"/>
      <c r="O66" s="81"/>
      <c r="P66" s="81"/>
      <c r="Q66" s="81"/>
      <c r="R66" s="957"/>
      <c r="S66" s="81"/>
      <c r="T66" s="674"/>
      <c r="U66" s="674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  <c r="AF66" s="729"/>
      <c r="AG66" s="729"/>
      <c r="AH66" s="729"/>
      <c r="AI66" s="729"/>
      <c r="AJ66" s="729"/>
    </row>
    <row r="67" spans="1:36">
      <c r="A67" s="674"/>
      <c r="B67" s="217" t="s">
        <v>399</v>
      </c>
      <c r="C67" s="218"/>
      <c r="D67" s="218"/>
      <c r="E67" s="218"/>
      <c r="F67" s="219">
        <f t="shared" ref="F67:Q67" si="46">F61+F64-F65</f>
        <v>63485497</v>
      </c>
      <c r="G67" s="219">
        <f t="shared" si="46"/>
        <v>54048915</v>
      </c>
      <c r="H67" s="384">
        <f t="shared" si="46"/>
        <v>-37938007</v>
      </c>
      <c r="I67" s="219">
        <f t="shared" si="46"/>
        <v>706203</v>
      </c>
      <c r="J67" s="219">
        <f t="shared" si="46"/>
        <v>108374968</v>
      </c>
      <c r="K67" s="219">
        <f t="shared" ref="K67" si="47">K61+K64-K65</f>
        <v>33343650</v>
      </c>
      <c r="L67" s="219">
        <f t="shared" si="46"/>
        <v>24707052</v>
      </c>
      <c r="M67" s="219">
        <f t="shared" si="46"/>
        <v>740920042.32968235</v>
      </c>
      <c r="N67" s="219">
        <f t="shared" si="46"/>
        <v>832276500.53571534</v>
      </c>
      <c r="O67" s="219">
        <f t="shared" si="46"/>
        <v>923633940.39069593</v>
      </c>
      <c r="P67" s="219">
        <f t="shared" si="46"/>
        <v>998181801.53380728</v>
      </c>
      <c r="Q67" s="219">
        <f t="shared" si="46"/>
        <v>1089541155.8769145</v>
      </c>
      <c r="R67" s="957"/>
      <c r="S67" s="219">
        <f>SUM(F67:Q67)</f>
        <v>4831281718.6668148</v>
      </c>
      <c r="T67" s="674"/>
      <c r="U67" s="674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  <c r="AF67" s="729"/>
      <c r="AG67" s="729"/>
      <c r="AH67" s="729"/>
      <c r="AI67" s="729"/>
      <c r="AJ67" s="729"/>
    </row>
    <row r="68" spans="1:36">
      <c r="A68" s="674"/>
      <c r="B68" s="195"/>
      <c r="C68" s="224"/>
      <c r="D68" s="224"/>
      <c r="E68" s="224"/>
      <c r="F68" s="986"/>
      <c r="G68" s="986"/>
      <c r="H68" s="986"/>
      <c r="I68" s="986"/>
      <c r="J68" s="85"/>
      <c r="K68" s="85"/>
      <c r="L68" s="85"/>
      <c r="M68" s="85"/>
      <c r="N68" s="85"/>
      <c r="O68" s="85"/>
      <c r="P68" s="85"/>
      <c r="Q68" s="85"/>
      <c r="R68" s="957"/>
      <c r="S68" s="85"/>
      <c r="T68" s="674"/>
      <c r="U68" s="674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  <c r="AF68" s="729"/>
      <c r="AG68" s="729"/>
      <c r="AH68" s="729"/>
      <c r="AI68" s="729"/>
      <c r="AJ68" s="729"/>
    </row>
    <row r="69" spans="1:36">
      <c r="A69" s="674"/>
      <c r="B69" s="184" t="s">
        <v>400</v>
      </c>
      <c r="C69" s="215"/>
      <c r="D69" s="215"/>
      <c r="E69" s="215"/>
      <c r="F69" s="222">
        <f>Inputs!D154</f>
        <v>0</v>
      </c>
      <c r="G69" s="222">
        <f>Inputs!$E$154</f>
        <v>0</v>
      </c>
      <c r="H69" s="222">
        <f>Inputs!$F$154</f>
        <v>0</v>
      </c>
      <c r="I69" s="222">
        <f>Inputs!$G$154</f>
        <v>0</v>
      </c>
      <c r="J69" s="222">
        <f>Inputs!H154</f>
        <v>0</v>
      </c>
      <c r="K69" s="222">
        <f>Inputs!I154</f>
        <v>0</v>
      </c>
      <c r="L69" s="222">
        <f>Inputs!J154</f>
        <v>0</v>
      </c>
      <c r="M69" s="212">
        <f t="shared" ref="L69:Q69" si="48">IF(M67&gt;0,M67*M$7,0)</f>
        <v>259322014.8153888</v>
      </c>
      <c r="N69" s="212">
        <f t="shared" si="48"/>
        <v>291296775.18750036</v>
      </c>
      <c r="O69" s="212">
        <f t="shared" si="48"/>
        <v>323271879.13674355</v>
      </c>
      <c r="P69" s="212">
        <f t="shared" si="48"/>
        <v>349363630.53683251</v>
      </c>
      <c r="Q69" s="212">
        <f t="shared" si="48"/>
        <v>381339404.55692005</v>
      </c>
      <c r="R69" s="957"/>
      <c r="S69" s="212">
        <f>SUM(F69:Q69)</f>
        <v>1604593704.2333853</v>
      </c>
      <c r="T69" s="674"/>
      <c r="U69" s="674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  <c r="AF69" s="729"/>
      <c r="AG69" s="729"/>
      <c r="AH69" s="729"/>
      <c r="AI69" s="729"/>
      <c r="AJ69" s="729"/>
    </row>
    <row r="70" spans="1:36">
      <c r="A70" s="674"/>
      <c r="B70" s="195" t="s">
        <v>401</v>
      </c>
      <c r="C70" s="224"/>
      <c r="D70" s="224"/>
      <c r="E70" s="224"/>
      <c r="F70" s="226">
        <f t="shared" ref="F70:Q70" si="49">F67-F69</f>
        <v>63485497</v>
      </c>
      <c r="G70" s="226">
        <f t="shared" si="49"/>
        <v>54048915</v>
      </c>
      <c r="H70" s="385">
        <f t="shared" si="49"/>
        <v>-37938007</v>
      </c>
      <c r="I70" s="226">
        <f t="shared" si="49"/>
        <v>706203</v>
      </c>
      <c r="J70" s="226">
        <f t="shared" si="49"/>
        <v>108374968</v>
      </c>
      <c r="K70" s="226">
        <f t="shared" ref="K70" si="50">K67-K69</f>
        <v>33343650</v>
      </c>
      <c r="L70" s="226">
        <f t="shared" si="49"/>
        <v>24707052</v>
      </c>
      <c r="M70" s="226">
        <f t="shared" si="49"/>
        <v>481598027.51429355</v>
      </c>
      <c r="N70" s="226">
        <f t="shared" si="49"/>
        <v>540979725.34821498</v>
      </c>
      <c r="O70" s="226">
        <f t="shared" si="49"/>
        <v>600362061.25395238</v>
      </c>
      <c r="P70" s="226">
        <f t="shared" si="49"/>
        <v>648818170.99697471</v>
      </c>
      <c r="Q70" s="226">
        <f t="shared" si="49"/>
        <v>708201751.31999445</v>
      </c>
      <c r="R70" s="957"/>
      <c r="S70" s="226">
        <f>SUM(F70:Q70)</f>
        <v>3226688014.4334302</v>
      </c>
      <c r="T70" s="674"/>
      <c r="U70" s="674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  <c r="AF70" s="729"/>
      <c r="AG70" s="729"/>
      <c r="AH70" s="729"/>
      <c r="AI70" s="729"/>
      <c r="AJ70" s="729"/>
    </row>
    <row r="71" spans="1:36">
      <c r="A71" s="674"/>
      <c r="B71" s="987" t="s">
        <v>402</v>
      </c>
      <c r="C71" s="988"/>
      <c r="D71" s="988"/>
      <c r="E71" s="989"/>
      <c r="F71" s="990">
        <f t="shared" ref="F71:Q71" si="51">IF(F51=0,0,F70/F51)</f>
        <v>0.10369250369794365</v>
      </c>
      <c r="G71" s="990">
        <f t="shared" si="51"/>
        <v>7.2625097821285692E-2</v>
      </c>
      <c r="H71" s="990">
        <f t="shared" si="51"/>
        <v>-4.820333119364438E-2</v>
      </c>
      <c r="I71" s="990">
        <f t="shared" si="51"/>
        <v>9.4051593341890386E-4</v>
      </c>
      <c r="J71" s="990">
        <f t="shared" si="51"/>
        <v>0.13112284871442573</v>
      </c>
      <c r="K71" s="990">
        <f t="shared" ref="K71" si="52">IF(K51=0,0,K70/K51)</f>
        <v>4.4372217646511038E-2</v>
      </c>
      <c r="L71" s="990">
        <f t="shared" si="51"/>
        <v>3.6339748989481474E-2</v>
      </c>
      <c r="M71" s="990">
        <f t="shared" si="51"/>
        <v>0.30604349804467113</v>
      </c>
      <c r="N71" s="990">
        <f t="shared" si="51"/>
        <v>0.32490466367096016</v>
      </c>
      <c r="O71" s="990">
        <f t="shared" si="51"/>
        <v>0.34180292173246229</v>
      </c>
      <c r="P71" s="990">
        <f t="shared" si="51"/>
        <v>0.35111637647926497</v>
      </c>
      <c r="Q71" s="990">
        <f t="shared" si="51"/>
        <v>0.36518657049044789</v>
      </c>
      <c r="R71" s="957"/>
      <c r="S71" s="990">
        <f>IF(S51=0,0,S70/S51)</f>
        <v>0.23156080413385027</v>
      </c>
      <c r="T71" s="674"/>
      <c r="U71" s="674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  <c r="AF71" s="729"/>
      <c r="AG71" s="729"/>
      <c r="AH71" s="729"/>
      <c r="AI71" s="729"/>
      <c r="AJ71" s="729"/>
    </row>
    <row r="72" spans="1:36">
      <c r="A72" s="674"/>
      <c r="B72" s="691"/>
      <c r="C72" s="674"/>
      <c r="D72" s="674"/>
      <c r="E72" s="957"/>
      <c r="F72" s="957"/>
      <c r="G72" s="957"/>
      <c r="H72" s="957"/>
      <c r="I72" s="957"/>
      <c r="J72" s="957"/>
      <c r="K72" s="957"/>
      <c r="L72" s="957"/>
      <c r="M72" s="957"/>
      <c r="N72" s="957"/>
      <c r="O72" s="957"/>
      <c r="P72" s="957"/>
      <c r="Q72" s="957"/>
      <c r="R72" s="957"/>
      <c r="S72" s="957"/>
      <c r="T72" s="674"/>
      <c r="U72" s="674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  <c r="AF72" s="729"/>
      <c r="AG72" s="729"/>
      <c r="AH72" s="729"/>
      <c r="AI72" s="729"/>
      <c r="AJ72" s="729"/>
    </row>
    <row r="73" spans="1:36" ht="15" thickBot="1">
      <c r="A73" s="674"/>
      <c r="B73" s="691"/>
      <c r="C73" s="674"/>
      <c r="D73" s="674"/>
      <c r="E73" s="957"/>
      <c r="F73" s="674"/>
      <c r="G73" s="957"/>
      <c r="H73" s="957"/>
      <c r="I73" s="957"/>
      <c r="J73" s="957"/>
      <c r="K73" s="957"/>
      <c r="L73" s="957"/>
      <c r="M73" s="957"/>
      <c r="N73" s="957"/>
      <c r="O73" s="957"/>
      <c r="P73" s="957"/>
      <c r="Q73" s="957"/>
      <c r="R73" s="957"/>
      <c r="S73" s="957"/>
      <c r="T73" s="674"/>
      <c r="U73" s="674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  <c r="AF73" s="729"/>
      <c r="AG73" s="729"/>
      <c r="AH73" s="729"/>
      <c r="AI73" s="729"/>
      <c r="AJ73" s="729"/>
    </row>
    <row r="74" spans="1:36">
      <c r="A74" s="682"/>
      <c r="B74" s="551" t="s">
        <v>403</v>
      </c>
      <c r="C74" s="551"/>
      <c r="D74" s="551"/>
      <c r="E74" s="552"/>
      <c r="F74" s="552"/>
      <c r="G74" s="552"/>
      <c r="H74" s="552"/>
      <c r="I74" s="552"/>
      <c r="J74" s="552"/>
      <c r="K74" s="552"/>
      <c r="L74" s="552"/>
      <c r="M74" s="552"/>
      <c r="N74" s="552"/>
      <c r="O74" s="552"/>
      <c r="P74" s="552"/>
      <c r="Q74" s="552"/>
      <c r="R74" s="553"/>
      <c r="S74" s="552"/>
      <c r="T74" s="682"/>
      <c r="U74" s="682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  <c r="AF74" s="729"/>
      <c r="AG74" s="729"/>
      <c r="AH74" s="729"/>
      <c r="AI74" s="729"/>
      <c r="AJ74" s="729"/>
    </row>
    <row r="75" spans="1:36">
      <c r="A75" s="674"/>
      <c r="B75" s="184"/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957"/>
      <c r="S75" s="215"/>
      <c r="T75" s="674"/>
      <c r="U75" s="674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  <c r="AF75" s="729"/>
      <c r="AG75" s="729"/>
      <c r="AH75" s="729"/>
      <c r="AI75" s="729"/>
      <c r="AJ75" s="729"/>
    </row>
    <row r="76" spans="1:36" ht="30" customHeight="1">
      <c r="A76" s="467"/>
      <c r="B76" s="461"/>
      <c r="C76" s="461"/>
      <c r="D76" s="461"/>
      <c r="E76" s="540">
        <v>2025</v>
      </c>
      <c r="F76" s="538" t="s">
        <v>209</v>
      </c>
      <c r="G76" s="538" t="s">
        <v>324</v>
      </c>
      <c r="H76" s="538" t="s">
        <v>325</v>
      </c>
      <c r="I76" s="538" t="s">
        <v>326</v>
      </c>
      <c r="J76" s="538" t="s">
        <v>327</v>
      </c>
      <c r="K76" s="538" t="s">
        <v>328</v>
      </c>
      <c r="L76" s="538" t="s">
        <v>329</v>
      </c>
      <c r="M76" s="538" t="s">
        <v>330</v>
      </c>
      <c r="N76" s="538" t="s">
        <v>331</v>
      </c>
      <c r="O76" s="538" t="s">
        <v>332</v>
      </c>
      <c r="P76" s="538" t="s">
        <v>333</v>
      </c>
      <c r="Q76" s="538" t="s">
        <v>334</v>
      </c>
      <c r="R76" s="461"/>
      <c r="S76" s="538" t="s">
        <v>16</v>
      </c>
      <c r="T76" s="461"/>
      <c r="U76" s="461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  <c r="AF76" s="729"/>
      <c r="AG76" s="729"/>
      <c r="AH76" s="729"/>
      <c r="AI76" s="729"/>
      <c r="AJ76" s="729"/>
    </row>
    <row r="77" spans="1:36">
      <c r="A77" s="627"/>
      <c r="B77" s="636" t="s">
        <v>404</v>
      </c>
      <c r="C77" s="644"/>
      <c r="D77" s="644"/>
      <c r="E77" s="644"/>
      <c r="F77" s="644"/>
      <c r="G77" s="644"/>
      <c r="H77" s="644"/>
      <c r="I77" s="644"/>
      <c r="J77" s="644"/>
      <c r="K77" s="644"/>
      <c r="L77" s="644"/>
      <c r="M77" s="644"/>
      <c r="N77" s="644"/>
      <c r="O77" s="644"/>
      <c r="P77" s="644"/>
      <c r="Q77" s="644"/>
      <c r="R77" s="644"/>
      <c r="S77" s="644"/>
      <c r="T77" s="627"/>
      <c r="U77" s="627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  <c r="AF77" s="729"/>
      <c r="AG77" s="729"/>
      <c r="AH77" s="729"/>
      <c r="AI77" s="729"/>
      <c r="AJ77" s="729"/>
    </row>
    <row r="78" spans="1:36">
      <c r="A78" s="674"/>
      <c r="B78" s="184" t="s">
        <v>374</v>
      </c>
      <c r="C78" s="215"/>
      <c r="D78" s="215"/>
      <c r="E78" s="386">
        <f t="shared" ref="E78:I81" si="53">E34</f>
        <v>231459000</v>
      </c>
      <c r="F78" s="227">
        <f t="shared" si="53"/>
        <v>425594626</v>
      </c>
      <c r="G78" s="227">
        <f t="shared" si="53"/>
        <v>120301539</v>
      </c>
      <c r="H78" s="227">
        <f t="shared" si="53"/>
        <v>269488711</v>
      </c>
      <c r="I78" s="227">
        <f t="shared" si="53"/>
        <v>357757161</v>
      </c>
      <c r="J78" s="212">
        <f t="shared" ref="J78:K81" si="54">J34</f>
        <v>244822345</v>
      </c>
      <c r="K78" s="212">
        <f t="shared" si="54"/>
        <v>115441362</v>
      </c>
      <c r="L78" s="212">
        <f>L34</f>
        <v>174266926</v>
      </c>
      <c r="M78" s="212">
        <f t="shared" ref="L78:Q78" si="55">M186</f>
        <v>-1617995326.1575398</v>
      </c>
      <c r="N78" s="212">
        <f t="shared" si="55"/>
        <v>-1304478877.7098336</v>
      </c>
      <c r="O78" s="212">
        <f t="shared" si="55"/>
        <v>-931521832.49138141</v>
      </c>
      <c r="P78" s="212">
        <f t="shared" si="55"/>
        <v>-498551202.47931534</v>
      </c>
      <c r="Q78" s="212">
        <f t="shared" si="55"/>
        <v>-17640842.32448101</v>
      </c>
      <c r="R78" s="957"/>
      <c r="S78" s="212">
        <f t="shared" ref="S78:S85" si="56">Q78</f>
        <v>-17640842.32448101</v>
      </c>
      <c r="T78" s="674"/>
      <c r="U78" s="674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  <c r="AF78" s="729"/>
      <c r="AG78" s="729"/>
      <c r="AH78" s="729"/>
      <c r="AI78" s="729"/>
      <c r="AJ78" s="729"/>
    </row>
    <row r="79" spans="1:36">
      <c r="A79" s="674"/>
      <c r="B79" s="184" t="s">
        <v>375</v>
      </c>
      <c r="C79" s="215"/>
      <c r="D79" s="215"/>
      <c r="E79" s="386">
        <f t="shared" si="53"/>
        <v>1833296000</v>
      </c>
      <c r="F79" s="227">
        <f t="shared" si="53"/>
        <v>1590540829</v>
      </c>
      <c r="G79" s="227">
        <f t="shared" si="53"/>
        <v>1797557189</v>
      </c>
      <c r="H79" s="227">
        <f t="shared" si="53"/>
        <v>1690589814</v>
      </c>
      <c r="I79" s="227">
        <f t="shared" si="53"/>
        <v>1612589704</v>
      </c>
      <c r="J79" s="212">
        <f t="shared" si="54"/>
        <v>1675346692</v>
      </c>
      <c r="K79" s="212">
        <f t="shared" si="54"/>
        <v>1799431102</v>
      </c>
      <c r="L79" s="212">
        <f>L35</f>
        <v>1688457915</v>
      </c>
      <c r="M79" s="212">
        <f t="shared" ref="L79:Q79" si="57">M51*$E$27/30</f>
        <v>4406153000</v>
      </c>
      <c r="N79" s="212">
        <f t="shared" si="57"/>
        <v>4662116000</v>
      </c>
      <c r="O79" s="212">
        <f t="shared" si="57"/>
        <v>4918079000</v>
      </c>
      <c r="P79" s="212">
        <f t="shared" si="57"/>
        <v>5174042000</v>
      </c>
      <c r="Q79" s="212">
        <f t="shared" si="57"/>
        <v>5430005000</v>
      </c>
      <c r="R79" s="957"/>
      <c r="S79" s="212">
        <f t="shared" si="56"/>
        <v>5430005000</v>
      </c>
      <c r="T79" s="674"/>
      <c r="U79" s="674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  <c r="AF79" s="729"/>
      <c r="AG79" s="729"/>
      <c r="AH79" s="729"/>
      <c r="AI79" s="729"/>
      <c r="AJ79" s="729"/>
    </row>
    <row r="80" spans="1:36">
      <c r="A80" s="674"/>
      <c r="B80" s="184" t="s">
        <v>220</v>
      </c>
      <c r="C80" s="215"/>
      <c r="D80" s="215"/>
      <c r="E80" s="386">
        <f t="shared" si="53"/>
        <v>92028000</v>
      </c>
      <c r="F80" s="227">
        <f t="shared" si="53"/>
        <v>92548595</v>
      </c>
      <c r="G80" s="227">
        <f t="shared" si="53"/>
        <v>93008823</v>
      </c>
      <c r="H80" s="227">
        <f t="shared" si="53"/>
        <v>93705293</v>
      </c>
      <c r="I80" s="227">
        <f t="shared" si="53"/>
        <v>94574157</v>
      </c>
      <c r="J80" s="212">
        <f t="shared" si="54"/>
        <v>175907394</v>
      </c>
      <c r="K80" s="212">
        <f t="shared" si="54"/>
        <v>77569331</v>
      </c>
      <c r="L80" s="212">
        <f>L36</f>
        <v>78270032</v>
      </c>
      <c r="M80" s="212">
        <f t="shared" ref="L80:Q81" si="58">$I80</f>
        <v>94574157</v>
      </c>
      <c r="N80" s="212">
        <f t="shared" si="58"/>
        <v>94574157</v>
      </c>
      <c r="O80" s="212">
        <f t="shared" si="58"/>
        <v>94574157</v>
      </c>
      <c r="P80" s="212">
        <f t="shared" si="58"/>
        <v>94574157</v>
      </c>
      <c r="Q80" s="212">
        <f t="shared" si="58"/>
        <v>94574157</v>
      </c>
      <c r="R80" s="957"/>
      <c r="S80" s="212">
        <f t="shared" si="56"/>
        <v>94574157</v>
      </c>
      <c r="T80" s="674"/>
      <c r="U80" s="674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  <c r="AF80" s="729"/>
      <c r="AG80" s="729"/>
      <c r="AH80" s="729"/>
      <c r="AI80" s="729"/>
      <c r="AJ80" s="729"/>
    </row>
    <row r="81" spans="1:36">
      <c r="A81" s="674"/>
      <c r="B81" s="193" t="s">
        <v>376</v>
      </c>
      <c r="C81" s="982"/>
      <c r="D81" s="982"/>
      <c r="E81" s="386">
        <f t="shared" si="53"/>
        <v>3301925000</v>
      </c>
      <c r="F81" s="228">
        <f t="shared" si="53"/>
        <v>3331745751</v>
      </c>
      <c r="G81" s="228">
        <f t="shared" si="53"/>
        <v>3359507781</v>
      </c>
      <c r="H81" s="228">
        <f t="shared" si="53"/>
        <v>3397894998</v>
      </c>
      <c r="I81" s="228">
        <f t="shared" si="53"/>
        <v>3433020955</v>
      </c>
      <c r="J81" s="226">
        <f t="shared" si="54"/>
        <v>3468917579</v>
      </c>
      <c r="K81" s="226">
        <f t="shared" si="54"/>
        <v>3497856336</v>
      </c>
      <c r="L81" s="226">
        <f>L37</f>
        <v>3529697045</v>
      </c>
      <c r="M81" s="226">
        <f t="shared" si="58"/>
        <v>3433020955</v>
      </c>
      <c r="N81" s="226">
        <f t="shared" si="58"/>
        <v>3433020955</v>
      </c>
      <c r="O81" s="226">
        <f t="shared" si="58"/>
        <v>3433020955</v>
      </c>
      <c r="P81" s="226">
        <f t="shared" si="58"/>
        <v>3433020955</v>
      </c>
      <c r="Q81" s="226">
        <f t="shared" si="58"/>
        <v>3433020955</v>
      </c>
      <c r="R81" s="957"/>
      <c r="S81" s="226">
        <f t="shared" si="56"/>
        <v>3433020955</v>
      </c>
      <c r="T81" s="674"/>
      <c r="U81" s="674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  <c r="AF81" s="729"/>
      <c r="AG81" s="729"/>
      <c r="AH81" s="729"/>
      <c r="AI81" s="729"/>
      <c r="AJ81" s="729"/>
    </row>
    <row r="82" spans="1:36">
      <c r="A82" s="679"/>
      <c r="B82" s="531" t="s">
        <v>405</v>
      </c>
      <c r="C82" s="542"/>
      <c r="D82" s="542"/>
      <c r="E82" s="543">
        <f t="shared" ref="E82" si="59">SUM(E78:E81)</f>
        <v>5458708000</v>
      </c>
      <c r="F82" s="544">
        <f t="shared" ref="F82:Q82" si="60">SUM(F78:F81)</f>
        <v>5440429801</v>
      </c>
      <c r="G82" s="544">
        <f t="shared" si="60"/>
        <v>5370375332</v>
      </c>
      <c r="H82" s="544">
        <f t="shared" si="60"/>
        <v>5451678816</v>
      </c>
      <c r="I82" s="544">
        <f t="shared" si="60"/>
        <v>5497941977</v>
      </c>
      <c r="J82" s="550">
        <f>SUM(J78:J81)</f>
        <v>5564994010</v>
      </c>
      <c r="K82" s="550">
        <f>SUM(K78:K81)</f>
        <v>5490298131</v>
      </c>
      <c r="L82" s="550">
        <f t="shared" si="60"/>
        <v>5470691918</v>
      </c>
      <c r="M82" s="550">
        <f t="shared" si="60"/>
        <v>6315752785.8424606</v>
      </c>
      <c r="N82" s="550">
        <f t="shared" si="60"/>
        <v>6885232234.2901669</v>
      </c>
      <c r="O82" s="550">
        <f t="shared" si="60"/>
        <v>7514152279.5086184</v>
      </c>
      <c r="P82" s="550">
        <f t="shared" si="60"/>
        <v>8203085909.5206842</v>
      </c>
      <c r="Q82" s="550">
        <f t="shared" si="60"/>
        <v>8939959269.675518</v>
      </c>
      <c r="R82" s="991"/>
      <c r="S82" s="550">
        <f t="shared" si="56"/>
        <v>8939959269.675518</v>
      </c>
      <c r="T82" s="679"/>
      <c r="U82" s="67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  <c r="AF82" s="729"/>
      <c r="AG82" s="729"/>
      <c r="AH82" s="729"/>
      <c r="AI82" s="729"/>
      <c r="AJ82" s="729"/>
    </row>
    <row r="83" spans="1:36">
      <c r="A83" s="674"/>
      <c r="B83" s="184" t="s">
        <v>377</v>
      </c>
      <c r="C83" s="215"/>
      <c r="D83" s="215"/>
      <c r="E83" s="386">
        <f t="shared" ref="E83:I84" si="61">E38</f>
        <v>209212000</v>
      </c>
      <c r="F83" s="227">
        <f t="shared" si="61"/>
        <v>216571954</v>
      </c>
      <c r="G83" s="227">
        <f t="shared" si="61"/>
        <v>222840954</v>
      </c>
      <c r="H83" s="227">
        <f t="shared" si="61"/>
        <v>223130002</v>
      </c>
      <c r="I83" s="227">
        <f t="shared" si="61"/>
        <v>218182533</v>
      </c>
      <c r="J83" s="212">
        <f>J38</f>
        <v>225975514</v>
      </c>
      <c r="K83" s="212">
        <f>K38</f>
        <v>225975514</v>
      </c>
      <c r="L83" s="212">
        <f>L38</f>
        <v>225975514</v>
      </c>
      <c r="M83" s="212">
        <f t="shared" ref="L83:Q83" si="62">M126</f>
        <v>233103283.64277777</v>
      </c>
      <c r="N83" s="212">
        <f t="shared" si="62"/>
        <v>236578320.91539815</v>
      </c>
      <c r="O83" s="212">
        <f t="shared" si="62"/>
        <v>239995440.90014151</v>
      </c>
      <c r="P83" s="212">
        <f t="shared" si="62"/>
        <v>243355608.88513914</v>
      </c>
      <c r="Q83" s="212">
        <f t="shared" si="62"/>
        <v>246659774.07038683</v>
      </c>
      <c r="R83" s="957"/>
      <c r="S83" s="212">
        <f t="shared" si="56"/>
        <v>246659774.07038683</v>
      </c>
      <c r="T83" s="674"/>
      <c r="U83" s="674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  <c r="AF83" s="729"/>
      <c r="AG83" s="729"/>
      <c r="AH83" s="729"/>
      <c r="AI83" s="729"/>
      <c r="AJ83" s="729"/>
    </row>
    <row r="84" spans="1:36">
      <c r="A84" s="674"/>
      <c r="B84" s="184" t="s">
        <v>378</v>
      </c>
      <c r="C84" s="215"/>
      <c r="D84" s="215"/>
      <c r="E84" s="386">
        <f t="shared" si="61"/>
        <v>410000000</v>
      </c>
      <c r="F84" s="227">
        <f t="shared" si="61"/>
        <v>410000000</v>
      </c>
      <c r="G84" s="227">
        <f t="shared" si="61"/>
        <v>410000000</v>
      </c>
      <c r="H84" s="227">
        <f t="shared" si="61"/>
        <v>410000000</v>
      </c>
      <c r="I84" s="227">
        <f t="shared" si="61"/>
        <v>410000000</v>
      </c>
      <c r="J84" s="212">
        <f>J39</f>
        <v>410000000</v>
      </c>
      <c r="K84" s="212">
        <f>K39</f>
        <v>410000000</v>
      </c>
      <c r="L84" s="212">
        <f>L39</f>
        <v>410000000</v>
      </c>
      <c r="M84" s="212">
        <f t="shared" ref="L84:Q84" si="63">$I84</f>
        <v>410000000</v>
      </c>
      <c r="N84" s="212">
        <f t="shared" si="63"/>
        <v>410000000</v>
      </c>
      <c r="O84" s="212">
        <f t="shared" si="63"/>
        <v>410000000</v>
      </c>
      <c r="P84" s="212">
        <f t="shared" si="63"/>
        <v>410000000</v>
      </c>
      <c r="Q84" s="212">
        <f t="shared" si="63"/>
        <v>410000000</v>
      </c>
      <c r="R84" s="957"/>
      <c r="S84" s="212">
        <f t="shared" si="56"/>
        <v>410000000</v>
      </c>
      <c r="T84" s="674"/>
      <c r="U84" s="674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  <c r="AF84" s="729"/>
      <c r="AG84" s="729"/>
      <c r="AH84" s="729"/>
      <c r="AI84" s="729"/>
      <c r="AJ84" s="729"/>
    </row>
    <row r="85" spans="1:36">
      <c r="A85" s="679"/>
      <c r="B85" s="545" t="s">
        <v>406</v>
      </c>
      <c r="C85" s="546"/>
      <c r="D85" s="546"/>
      <c r="E85" s="547">
        <f t="shared" ref="E85" si="64">E82+E83+E84</f>
        <v>6077920000</v>
      </c>
      <c r="F85" s="548">
        <f>SUM(F82:F84)</f>
        <v>6067001755</v>
      </c>
      <c r="G85" s="548">
        <f>SUM(G82:G84)</f>
        <v>6003216286</v>
      </c>
      <c r="H85" s="548">
        <f>SUM(H82:H84)</f>
        <v>6084808818</v>
      </c>
      <c r="I85" s="548">
        <f>SUM(I82:I84)</f>
        <v>6126124510</v>
      </c>
      <c r="J85" s="549">
        <f>J82+J83+J84</f>
        <v>6200969524</v>
      </c>
      <c r="K85" s="549">
        <f>K82+K83+K84</f>
        <v>6126273645</v>
      </c>
      <c r="L85" s="549">
        <f t="shared" ref="L85:Q85" si="65">L82+L83+L84</f>
        <v>6106667432</v>
      </c>
      <c r="M85" s="549">
        <f t="shared" si="65"/>
        <v>6958856069.4852381</v>
      </c>
      <c r="N85" s="549">
        <f t="shared" si="65"/>
        <v>7531810555.2055655</v>
      </c>
      <c r="O85" s="549">
        <f t="shared" si="65"/>
        <v>8164147720.4087601</v>
      </c>
      <c r="P85" s="549">
        <f t="shared" si="65"/>
        <v>8856441518.4058228</v>
      </c>
      <c r="Q85" s="549">
        <f t="shared" si="65"/>
        <v>9596619043.7459049</v>
      </c>
      <c r="R85" s="991"/>
      <c r="S85" s="549">
        <f t="shared" si="56"/>
        <v>9596619043.7459049</v>
      </c>
      <c r="T85" s="679"/>
      <c r="U85" s="67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  <c r="AF85" s="729"/>
      <c r="AG85" s="729"/>
      <c r="AH85" s="729"/>
      <c r="AI85" s="729"/>
      <c r="AJ85" s="729"/>
    </row>
    <row r="86" spans="1:36">
      <c r="A86" s="674"/>
      <c r="B86" s="184"/>
      <c r="C86" s="215"/>
      <c r="D86" s="215"/>
      <c r="E86" s="86"/>
      <c r="F86" s="87"/>
      <c r="G86" s="87"/>
      <c r="H86" s="87"/>
      <c r="I86" s="87"/>
      <c r="J86" s="81"/>
      <c r="K86" s="81"/>
      <c r="L86" s="81"/>
      <c r="M86" s="81"/>
      <c r="N86" s="81"/>
      <c r="O86" s="81"/>
      <c r="P86" s="81"/>
      <c r="Q86" s="81"/>
      <c r="R86" s="957"/>
      <c r="S86" s="81"/>
      <c r="T86" s="674"/>
      <c r="U86" s="674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  <c r="AF86" s="729"/>
      <c r="AG86" s="729"/>
      <c r="AH86" s="729"/>
      <c r="AI86" s="729"/>
      <c r="AJ86" s="729"/>
    </row>
    <row r="87" spans="1:36">
      <c r="A87" s="627"/>
      <c r="B87" s="636" t="s">
        <v>407</v>
      </c>
      <c r="C87" s="644"/>
      <c r="D87" s="644"/>
      <c r="E87" s="640"/>
      <c r="F87" s="640"/>
      <c r="G87" s="640"/>
      <c r="H87" s="640"/>
      <c r="I87" s="640"/>
      <c r="J87" s="645"/>
      <c r="K87" s="645"/>
      <c r="L87" s="645"/>
      <c r="M87" s="645"/>
      <c r="N87" s="645"/>
      <c r="O87" s="645"/>
      <c r="P87" s="645"/>
      <c r="Q87" s="645"/>
      <c r="R87" s="644"/>
      <c r="S87" s="645"/>
      <c r="T87" s="627"/>
      <c r="U87" s="627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  <c r="AF87" s="729"/>
      <c r="AG87" s="729"/>
      <c r="AH87" s="729"/>
      <c r="AI87" s="729"/>
      <c r="AJ87" s="729"/>
    </row>
    <row r="88" spans="1:36">
      <c r="A88" s="674"/>
      <c r="B88" s="184" t="s">
        <v>408</v>
      </c>
      <c r="C88" s="215"/>
      <c r="D88" s="215"/>
      <c r="E88" s="386">
        <f t="shared" ref="E88:J88" si="66">E44</f>
        <v>80111000</v>
      </c>
      <c r="F88" s="227">
        <f t="shared" si="66"/>
        <v>72783461</v>
      </c>
      <c r="G88" s="227">
        <f t="shared" si="66"/>
        <v>101365099</v>
      </c>
      <c r="H88" s="227">
        <f t="shared" si="66"/>
        <v>104189980</v>
      </c>
      <c r="I88" s="227">
        <f t="shared" si="66"/>
        <v>112563470</v>
      </c>
      <c r="J88" s="212">
        <f t="shared" si="66"/>
        <v>99589767</v>
      </c>
      <c r="K88" s="212">
        <f t="shared" ref="K88" si="67">K44</f>
        <v>83503947</v>
      </c>
      <c r="L88" s="212">
        <f>L44</f>
        <v>104555195</v>
      </c>
      <c r="M88" s="212">
        <f t="shared" ref="L88:Q88" si="68">M133+M144</f>
        <v>2725070428</v>
      </c>
      <c r="N88" s="212">
        <f t="shared" si="68"/>
        <v>2725070428</v>
      </c>
      <c r="O88" s="212">
        <f t="shared" si="68"/>
        <v>2725070428</v>
      </c>
      <c r="P88" s="212">
        <f t="shared" si="68"/>
        <v>2725070428</v>
      </c>
      <c r="Q88" s="212">
        <f t="shared" si="68"/>
        <v>2725070428</v>
      </c>
      <c r="R88" s="957"/>
      <c r="S88" s="212">
        <f>Q88</f>
        <v>2725070428</v>
      </c>
      <c r="T88" s="674"/>
      <c r="U88" s="674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  <c r="AF88" s="729"/>
      <c r="AG88" s="729"/>
      <c r="AH88" s="729"/>
      <c r="AI88" s="729"/>
      <c r="AJ88" s="729"/>
    </row>
    <row r="89" spans="1:36">
      <c r="A89" s="674"/>
      <c r="B89" s="184" t="s">
        <v>379</v>
      </c>
      <c r="C89" s="215"/>
      <c r="D89" s="215"/>
      <c r="E89" s="386">
        <f t="shared" ref="E89:J89" si="69">E40</f>
        <v>544703000</v>
      </c>
      <c r="F89" s="227">
        <f t="shared" si="69"/>
        <v>502128241</v>
      </c>
      <c r="G89" s="227">
        <f t="shared" si="69"/>
        <v>493782297</v>
      </c>
      <c r="H89" s="227">
        <f t="shared" si="69"/>
        <v>571037565</v>
      </c>
      <c r="I89" s="227">
        <f t="shared" si="69"/>
        <v>563841763</v>
      </c>
      <c r="J89" s="212">
        <f t="shared" si="69"/>
        <v>502311050</v>
      </c>
      <c r="K89" s="212">
        <f t="shared" ref="K89" si="70">K40</f>
        <v>483390906</v>
      </c>
      <c r="L89" s="212">
        <f>L40</f>
        <v>403760304</v>
      </c>
      <c r="M89" s="212">
        <f t="shared" ref="L89:Q89" si="71">M52*$E$28/30</f>
        <v>611036504.72222209</v>
      </c>
      <c r="N89" s="212">
        <f t="shared" si="71"/>
        <v>611036504.72222209</v>
      </c>
      <c r="O89" s="212">
        <f t="shared" si="71"/>
        <v>611036504.72222209</v>
      </c>
      <c r="P89" s="212">
        <f t="shared" si="71"/>
        <v>628420380.32222211</v>
      </c>
      <c r="Q89" s="212">
        <f t="shared" si="71"/>
        <v>628420380.32222211</v>
      </c>
      <c r="R89" s="957"/>
      <c r="S89" s="212">
        <f>Q89</f>
        <v>628420380.32222211</v>
      </c>
      <c r="T89" s="674"/>
      <c r="U89" s="674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  <c r="AF89" s="729"/>
      <c r="AG89" s="729"/>
      <c r="AH89" s="729"/>
      <c r="AI89" s="729"/>
      <c r="AJ89" s="729"/>
    </row>
    <row r="90" spans="1:36">
      <c r="A90" s="674"/>
      <c r="B90" s="195" t="s">
        <v>381</v>
      </c>
      <c r="C90" s="224"/>
      <c r="D90" s="224"/>
      <c r="E90" s="386">
        <f t="shared" ref="E90:I91" si="72">E42</f>
        <v>40077000</v>
      </c>
      <c r="F90" s="227">
        <f t="shared" si="72"/>
        <v>14350080</v>
      </c>
      <c r="G90" s="227">
        <f t="shared" si="72"/>
        <v>1791700</v>
      </c>
      <c r="H90" s="227">
        <f t="shared" si="72"/>
        <v>25570584</v>
      </c>
      <c r="I90" s="227">
        <f t="shared" si="72"/>
        <v>24496645</v>
      </c>
      <c r="J90" s="226">
        <f>J42</f>
        <v>22513416</v>
      </c>
      <c r="K90" s="226">
        <f>K42</f>
        <v>23325495</v>
      </c>
      <c r="L90" s="226">
        <f>L42</f>
        <v>19229474</v>
      </c>
      <c r="M90" s="226">
        <f t="shared" ref="L90:Q90" si="73">M69*$E$31</f>
        <v>259322014.8153888</v>
      </c>
      <c r="N90" s="226">
        <f t="shared" si="73"/>
        <v>291296775.18750036</v>
      </c>
      <c r="O90" s="226">
        <f t="shared" si="73"/>
        <v>323271879.13674355</v>
      </c>
      <c r="P90" s="226">
        <f t="shared" si="73"/>
        <v>349363630.53683251</v>
      </c>
      <c r="Q90" s="226">
        <f t="shared" si="73"/>
        <v>381339404.55692005</v>
      </c>
      <c r="R90" s="957"/>
      <c r="S90" s="226">
        <f>Q90</f>
        <v>381339404.55692005</v>
      </c>
      <c r="T90" s="674"/>
      <c r="U90" s="674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  <c r="AF90" s="729"/>
      <c r="AG90" s="729"/>
      <c r="AH90" s="729"/>
      <c r="AI90" s="729"/>
      <c r="AJ90" s="729"/>
    </row>
    <row r="91" spans="1:36">
      <c r="A91" s="674"/>
      <c r="B91" s="184" t="s">
        <v>382</v>
      </c>
      <c r="C91" s="215"/>
      <c r="D91" s="215"/>
      <c r="E91" s="386">
        <f t="shared" si="72"/>
        <v>333178000</v>
      </c>
      <c r="F91" s="227">
        <f t="shared" si="72"/>
        <v>344307623</v>
      </c>
      <c r="G91" s="227">
        <f t="shared" si="72"/>
        <v>241683051</v>
      </c>
      <c r="H91" s="227">
        <f t="shared" si="72"/>
        <v>236353731</v>
      </c>
      <c r="I91" s="227">
        <f t="shared" si="72"/>
        <v>271532869</v>
      </c>
      <c r="J91" s="212">
        <f>J43</f>
        <v>320296862</v>
      </c>
      <c r="K91" s="212">
        <f>K43</f>
        <v>247533920</v>
      </c>
      <c r="L91" s="212">
        <f>L43</f>
        <v>265675229</v>
      </c>
      <c r="M91" s="212">
        <f t="shared" ref="L91:Q91" si="74">L91</f>
        <v>265675229</v>
      </c>
      <c r="N91" s="212">
        <f t="shared" si="74"/>
        <v>265675229</v>
      </c>
      <c r="O91" s="212">
        <f t="shared" si="74"/>
        <v>265675229</v>
      </c>
      <c r="P91" s="212">
        <f t="shared" si="74"/>
        <v>265675229</v>
      </c>
      <c r="Q91" s="212">
        <f t="shared" si="74"/>
        <v>265675229</v>
      </c>
      <c r="R91" s="957"/>
      <c r="S91" s="212">
        <f>Q91</f>
        <v>265675229</v>
      </c>
      <c r="T91" s="674"/>
      <c r="U91" s="674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  <c r="AF91" s="729"/>
      <c r="AG91" s="729"/>
      <c r="AH91" s="729"/>
      <c r="AI91" s="729"/>
      <c r="AJ91" s="729"/>
    </row>
    <row r="92" spans="1:36">
      <c r="A92" s="679"/>
      <c r="B92" s="531" t="s">
        <v>409</v>
      </c>
      <c r="C92" s="542"/>
      <c r="D92" s="542"/>
      <c r="E92" s="543">
        <f t="shared" ref="E92:Q92" si="75">SUM(E88:E91)</f>
        <v>998069000</v>
      </c>
      <c r="F92" s="544">
        <f t="shared" si="75"/>
        <v>933569405</v>
      </c>
      <c r="G92" s="544">
        <f t="shared" si="75"/>
        <v>838622147</v>
      </c>
      <c r="H92" s="544">
        <f t="shared" si="75"/>
        <v>937151860</v>
      </c>
      <c r="I92" s="544">
        <f t="shared" si="75"/>
        <v>972434747</v>
      </c>
      <c r="J92" s="550">
        <f>SUM(J88:J91)</f>
        <v>944711095</v>
      </c>
      <c r="K92" s="550">
        <f>SUM(K88:K91)</f>
        <v>837754268</v>
      </c>
      <c r="L92" s="550">
        <f t="shared" si="75"/>
        <v>793220202</v>
      </c>
      <c r="M92" s="550">
        <f t="shared" si="75"/>
        <v>3861104176.537611</v>
      </c>
      <c r="N92" s="550">
        <f t="shared" si="75"/>
        <v>3893078936.9097228</v>
      </c>
      <c r="O92" s="550">
        <f t="shared" si="75"/>
        <v>3925054040.8589659</v>
      </c>
      <c r="P92" s="550">
        <f t="shared" si="75"/>
        <v>3968529667.8590546</v>
      </c>
      <c r="Q92" s="550">
        <f t="shared" si="75"/>
        <v>4000505441.8791423</v>
      </c>
      <c r="R92" s="991"/>
      <c r="S92" s="550">
        <f>Q92</f>
        <v>4000505441.8791423</v>
      </c>
      <c r="T92" s="679"/>
      <c r="U92" s="67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  <c r="AF92" s="729"/>
      <c r="AG92" s="729"/>
      <c r="AH92" s="729"/>
      <c r="AI92" s="729"/>
      <c r="AJ92" s="729"/>
    </row>
    <row r="93" spans="1:36">
      <c r="A93" s="674"/>
      <c r="B93" s="195"/>
      <c r="C93" s="224"/>
      <c r="D93" s="224"/>
      <c r="E93" s="80"/>
      <c r="F93" s="88"/>
      <c r="G93" s="88"/>
      <c r="H93" s="88"/>
      <c r="I93" s="88"/>
      <c r="J93" s="85"/>
      <c r="K93" s="85"/>
      <c r="L93" s="85"/>
      <c r="M93" s="85"/>
      <c r="N93" s="85"/>
      <c r="O93" s="85"/>
      <c r="P93" s="85"/>
      <c r="Q93" s="85"/>
      <c r="R93" s="957"/>
      <c r="S93" s="85"/>
      <c r="T93" s="674"/>
      <c r="U93" s="674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  <c r="AF93" s="729"/>
      <c r="AG93" s="729"/>
      <c r="AH93" s="729"/>
      <c r="AI93" s="729"/>
      <c r="AJ93" s="729"/>
    </row>
    <row r="94" spans="1:36">
      <c r="A94" s="674"/>
      <c r="B94" s="195" t="s">
        <v>410</v>
      </c>
      <c r="C94" s="224"/>
      <c r="D94" s="224"/>
      <c r="E94" s="387">
        <f t="shared" ref="E94:J94" si="76">E41</f>
        <v>2654919000</v>
      </c>
      <c r="F94" s="228">
        <f t="shared" si="76"/>
        <v>2645015181</v>
      </c>
      <c r="G94" s="228">
        <f t="shared" si="76"/>
        <v>2622128056</v>
      </c>
      <c r="H94" s="228">
        <f t="shared" si="76"/>
        <v>2643128881</v>
      </c>
      <c r="I94" s="228">
        <f t="shared" si="76"/>
        <v>2648455481</v>
      </c>
      <c r="J94" s="226">
        <f t="shared" si="76"/>
        <v>2642649181</v>
      </c>
      <c r="K94" s="226">
        <f t="shared" ref="K94" si="77">K41</f>
        <v>2641566481</v>
      </c>
      <c r="L94" s="226">
        <f>L41</f>
        <v>2641787281</v>
      </c>
      <c r="M94" s="226">
        <f t="shared" ref="L94:Q94" si="78">L94</f>
        <v>2641787281</v>
      </c>
      <c r="N94" s="226">
        <f t="shared" si="78"/>
        <v>2641787281</v>
      </c>
      <c r="O94" s="226">
        <f t="shared" si="78"/>
        <v>2641787281</v>
      </c>
      <c r="P94" s="226">
        <f t="shared" si="78"/>
        <v>2641787281</v>
      </c>
      <c r="Q94" s="226">
        <f t="shared" si="78"/>
        <v>2641787281</v>
      </c>
      <c r="R94" s="992"/>
      <c r="S94" s="226">
        <f>Q94</f>
        <v>2641787281</v>
      </c>
      <c r="T94" s="674"/>
      <c r="U94" s="674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  <c r="AF94" s="729"/>
      <c r="AG94" s="729"/>
      <c r="AH94" s="729"/>
      <c r="AI94" s="729"/>
      <c r="AJ94" s="729"/>
    </row>
    <row r="95" spans="1:36">
      <c r="A95" s="679"/>
      <c r="B95" s="531" t="s">
        <v>411</v>
      </c>
      <c r="C95" s="542"/>
      <c r="D95" s="542"/>
      <c r="E95" s="543">
        <f t="shared" ref="E95:Q95" si="79">E94</f>
        <v>2654919000</v>
      </c>
      <c r="F95" s="544">
        <f t="shared" si="79"/>
        <v>2645015181</v>
      </c>
      <c r="G95" s="544">
        <f t="shared" si="79"/>
        <v>2622128056</v>
      </c>
      <c r="H95" s="544">
        <f t="shared" si="79"/>
        <v>2643128881</v>
      </c>
      <c r="I95" s="544">
        <f t="shared" si="79"/>
        <v>2648455481</v>
      </c>
      <c r="J95" s="550">
        <f>J94</f>
        <v>2642649181</v>
      </c>
      <c r="K95" s="550">
        <f>K94</f>
        <v>2641566481</v>
      </c>
      <c r="L95" s="550">
        <f t="shared" si="79"/>
        <v>2641787281</v>
      </c>
      <c r="M95" s="550">
        <f t="shared" si="79"/>
        <v>2641787281</v>
      </c>
      <c r="N95" s="550">
        <f t="shared" si="79"/>
        <v>2641787281</v>
      </c>
      <c r="O95" s="550">
        <f t="shared" si="79"/>
        <v>2641787281</v>
      </c>
      <c r="P95" s="550">
        <f t="shared" si="79"/>
        <v>2641787281</v>
      </c>
      <c r="Q95" s="550">
        <f t="shared" si="79"/>
        <v>2641787281</v>
      </c>
      <c r="R95" s="991"/>
      <c r="S95" s="550">
        <f>Q95</f>
        <v>2641787281</v>
      </c>
      <c r="T95" s="679"/>
      <c r="U95" s="67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  <c r="AF95" s="729"/>
      <c r="AG95" s="729"/>
      <c r="AH95" s="729"/>
      <c r="AI95" s="729"/>
      <c r="AJ95" s="729"/>
    </row>
    <row r="96" spans="1:36">
      <c r="A96" s="679"/>
      <c r="B96" s="545" t="s">
        <v>412</v>
      </c>
      <c r="C96" s="546"/>
      <c r="D96" s="546"/>
      <c r="E96" s="547">
        <f t="shared" ref="E96:Q96" si="80">E92+E95</f>
        <v>3652988000</v>
      </c>
      <c r="F96" s="548">
        <f t="shared" si="80"/>
        <v>3578584586</v>
      </c>
      <c r="G96" s="548">
        <f t="shared" si="80"/>
        <v>3460750203</v>
      </c>
      <c r="H96" s="548">
        <f t="shared" si="80"/>
        <v>3580280741</v>
      </c>
      <c r="I96" s="548">
        <f t="shared" si="80"/>
        <v>3620890228</v>
      </c>
      <c r="J96" s="549">
        <f>J92+J95</f>
        <v>3587360276</v>
      </c>
      <c r="K96" s="549">
        <f>K92+K95</f>
        <v>3479320749</v>
      </c>
      <c r="L96" s="549">
        <f t="shared" si="80"/>
        <v>3435007483</v>
      </c>
      <c r="M96" s="549">
        <f t="shared" si="80"/>
        <v>6502891457.537611</v>
      </c>
      <c r="N96" s="549">
        <f t="shared" si="80"/>
        <v>6534866217.9097233</v>
      </c>
      <c r="O96" s="549">
        <f t="shared" si="80"/>
        <v>6566841321.8589659</v>
      </c>
      <c r="P96" s="549">
        <f t="shared" si="80"/>
        <v>6610316948.8590546</v>
      </c>
      <c r="Q96" s="549">
        <f t="shared" si="80"/>
        <v>6642292722.8791428</v>
      </c>
      <c r="R96" s="991"/>
      <c r="S96" s="549">
        <f>Q96</f>
        <v>6642292722.8791428</v>
      </c>
      <c r="T96" s="679"/>
      <c r="U96" s="67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  <c r="AF96" s="729"/>
      <c r="AG96" s="729"/>
      <c r="AH96" s="729"/>
      <c r="AI96" s="729"/>
      <c r="AJ96" s="729"/>
    </row>
    <row r="97" spans="1:36">
      <c r="A97" s="674"/>
      <c r="B97" s="184"/>
      <c r="C97" s="215"/>
      <c r="D97" s="215"/>
      <c r="E97" s="86"/>
      <c r="F97" s="87"/>
      <c r="G97" s="87"/>
      <c r="H97" s="87"/>
      <c r="I97" s="87"/>
      <c r="J97" s="81"/>
      <c r="K97" s="81"/>
      <c r="L97" s="81"/>
      <c r="M97" s="81"/>
      <c r="N97" s="81"/>
      <c r="O97" s="81"/>
      <c r="P97" s="81"/>
      <c r="Q97" s="81"/>
      <c r="R97" s="957"/>
      <c r="S97" s="81"/>
      <c r="T97" s="674"/>
      <c r="U97" s="674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  <c r="AF97" s="729"/>
      <c r="AG97" s="729"/>
      <c r="AH97" s="729"/>
      <c r="AI97" s="729"/>
      <c r="AJ97" s="729"/>
    </row>
    <row r="98" spans="1:36">
      <c r="A98" s="627"/>
      <c r="B98" s="636" t="s">
        <v>251</v>
      </c>
      <c r="C98" s="644"/>
      <c r="D98" s="644"/>
      <c r="E98" s="640"/>
      <c r="F98" s="640"/>
      <c r="G98" s="640"/>
      <c r="H98" s="640"/>
      <c r="I98" s="640"/>
      <c r="J98" s="645"/>
      <c r="K98" s="645"/>
      <c r="L98" s="645"/>
      <c r="M98" s="645"/>
      <c r="N98" s="645"/>
      <c r="O98" s="645"/>
      <c r="P98" s="645"/>
      <c r="Q98" s="645"/>
      <c r="R98" s="644"/>
      <c r="S98" s="645"/>
      <c r="T98" s="627"/>
      <c r="U98" s="627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  <c r="AF98" s="729"/>
      <c r="AG98" s="729"/>
      <c r="AH98" s="729"/>
      <c r="AI98" s="729"/>
      <c r="AJ98" s="729"/>
    </row>
    <row r="99" spans="1:36">
      <c r="A99" s="674"/>
      <c r="B99" s="184" t="s">
        <v>384</v>
      </c>
      <c r="C99" s="215"/>
      <c r="D99" s="215"/>
      <c r="E99" s="386">
        <f t="shared" ref="E99:I100" si="81">E45</f>
        <v>1210339000</v>
      </c>
      <c r="F99" s="227">
        <f t="shared" si="81"/>
        <v>1210339000</v>
      </c>
      <c r="G99" s="227">
        <f t="shared" si="81"/>
        <v>1210339000</v>
      </c>
      <c r="H99" s="227">
        <f t="shared" si="81"/>
        <v>1210339000</v>
      </c>
      <c r="I99" s="227">
        <f t="shared" si="81"/>
        <v>1210339000</v>
      </c>
      <c r="J99" s="212">
        <f>J45</f>
        <v>1210339000</v>
      </c>
      <c r="K99" s="212">
        <f>K45</f>
        <v>1210339000</v>
      </c>
      <c r="L99" s="212">
        <f>L45</f>
        <v>1210339000</v>
      </c>
      <c r="M99" s="212">
        <f t="shared" ref="L99:Q99" si="82">M149</f>
        <v>1210339000</v>
      </c>
      <c r="N99" s="212">
        <f t="shared" si="82"/>
        <v>1210339000</v>
      </c>
      <c r="O99" s="212">
        <f t="shared" si="82"/>
        <v>1210339000</v>
      </c>
      <c r="P99" s="212">
        <f t="shared" si="82"/>
        <v>1210339000</v>
      </c>
      <c r="Q99" s="212">
        <f t="shared" si="82"/>
        <v>1210339000</v>
      </c>
      <c r="R99" s="957"/>
      <c r="S99" s="212">
        <f>Q99</f>
        <v>1210339000</v>
      </c>
      <c r="T99" s="674"/>
      <c r="U99" s="674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  <c r="AF99" s="729"/>
      <c r="AG99" s="729"/>
      <c r="AH99" s="729"/>
      <c r="AI99" s="729"/>
      <c r="AJ99" s="729"/>
    </row>
    <row r="100" spans="1:36">
      <c r="A100" s="674"/>
      <c r="B100" s="184" t="s">
        <v>385</v>
      </c>
      <c r="C100" s="215"/>
      <c r="D100" s="215"/>
      <c r="E100" s="386">
        <f t="shared" si="81"/>
        <v>1214593000</v>
      </c>
      <c r="F100" s="227">
        <f t="shared" si="81"/>
        <v>1278078168</v>
      </c>
      <c r="G100" s="227">
        <f t="shared" si="81"/>
        <v>1332127083</v>
      </c>
      <c r="H100" s="227">
        <f t="shared" si="81"/>
        <v>1294189077</v>
      </c>
      <c r="I100" s="227">
        <f t="shared" si="81"/>
        <v>1294895280</v>
      </c>
      <c r="J100" s="212">
        <f>J46</f>
        <v>1403270248</v>
      </c>
      <c r="K100" s="212">
        <f>K46</f>
        <v>1436613897</v>
      </c>
      <c r="L100" s="212">
        <f>L46</f>
        <v>1461320949</v>
      </c>
      <c r="M100" s="212">
        <f t="shared" ref="L100:Q100" si="83">M155</f>
        <v>1942918976.5142937</v>
      </c>
      <c r="N100" s="212">
        <f t="shared" si="83"/>
        <v>2483898701.8625088</v>
      </c>
      <c r="O100" s="212">
        <f t="shared" si="83"/>
        <v>3084260763.1164613</v>
      </c>
      <c r="P100" s="212">
        <f t="shared" si="83"/>
        <v>3733078934.1134357</v>
      </c>
      <c r="Q100" s="212">
        <f t="shared" si="83"/>
        <v>4441280685.4334297</v>
      </c>
      <c r="R100" s="957"/>
      <c r="S100" s="212">
        <f>Q100</f>
        <v>4441280685.4334297</v>
      </c>
      <c r="T100" s="674"/>
      <c r="U100" s="674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  <c r="AF100" s="729"/>
      <c r="AG100" s="729"/>
      <c r="AH100" s="729"/>
      <c r="AI100" s="729"/>
      <c r="AJ100" s="729"/>
    </row>
    <row r="101" spans="1:36">
      <c r="A101" s="679"/>
      <c r="B101" s="545" t="s">
        <v>247</v>
      </c>
      <c r="C101" s="546"/>
      <c r="D101" s="546"/>
      <c r="E101" s="547">
        <f t="shared" ref="E101:Q101" si="84">E99+E100</f>
        <v>2424932000</v>
      </c>
      <c r="F101" s="548">
        <f>SUM(F99:F100)</f>
        <v>2488417168</v>
      </c>
      <c r="G101" s="548">
        <f>SUM(G99:G100)</f>
        <v>2542466083</v>
      </c>
      <c r="H101" s="548">
        <f>SUM(H99:H100)</f>
        <v>2504528077</v>
      </c>
      <c r="I101" s="548">
        <f>SUM(I99:I100)</f>
        <v>2505234280</v>
      </c>
      <c r="J101" s="549">
        <f>J99+J100</f>
        <v>2613609248</v>
      </c>
      <c r="K101" s="549">
        <f>K99+K100</f>
        <v>2646952897</v>
      </c>
      <c r="L101" s="549">
        <f t="shared" si="84"/>
        <v>2671659949</v>
      </c>
      <c r="M101" s="549">
        <f t="shared" si="84"/>
        <v>3153257976.5142937</v>
      </c>
      <c r="N101" s="549">
        <f t="shared" si="84"/>
        <v>3694237701.8625088</v>
      </c>
      <c r="O101" s="549">
        <f t="shared" si="84"/>
        <v>4294599763.1164613</v>
      </c>
      <c r="P101" s="549">
        <f t="shared" si="84"/>
        <v>4943417934.1134357</v>
      </c>
      <c r="Q101" s="549">
        <f t="shared" si="84"/>
        <v>5651619685.4334297</v>
      </c>
      <c r="R101" s="991"/>
      <c r="S101" s="549">
        <f>Q101</f>
        <v>5651619685.4334297</v>
      </c>
      <c r="T101" s="679"/>
      <c r="U101" s="67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  <c r="AF101" s="729"/>
      <c r="AG101" s="729"/>
      <c r="AH101" s="729"/>
      <c r="AI101" s="729"/>
      <c r="AJ101" s="729"/>
    </row>
    <row r="102" spans="1:36">
      <c r="A102" s="674"/>
      <c r="B102" s="195"/>
      <c r="C102" s="224"/>
      <c r="D102" s="224"/>
      <c r="E102" s="86"/>
      <c r="F102" s="89"/>
      <c r="G102" s="89"/>
      <c r="H102" s="89"/>
      <c r="I102" s="89"/>
      <c r="J102" s="85"/>
      <c r="K102" s="85"/>
      <c r="L102" s="85"/>
      <c r="M102" s="85"/>
      <c r="N102" s="85"/>
      <c r="O102" s="85"/>
      <c r="P102" s="85"/>
      <c r="Q102" s="85"/>
      <c r="R102" s="957"/>
      <c r="S102" s="85"/>
      <c r="T102" s="674"/>
      <c r="U102" s="674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  <c r="AF102" s="729"/>
      <c r="AG102" s="729"/>
      <c r="AH102" s="729"/>
      <c r="AI102" s="729"/>
      <c r="AJ102" s="729"/>
    </row>
    <row r="103" spans="1:36">
      <c r="A103" s="679"/>
      <c r="B103" s="545" t="s">
        <v>248</v>
      </c>
      <c r="C103" s="546"/>
      <c r="D103" s="546"/>
      <c r="E103" s="547">
        <f t="shared" ref="E103:Q103" si="85">E96+E101</f>
        <v>6077920000</v>
      </c>
      <c r="F103" s="548">
        <f>SUM(F96,F101)</f>
        <v>6067001754</v>
      </c>
      <c r="G103" s="548">
        <f>SUM(G96,G101)</f>
        <v>6003216286</v>
      </c>
      <c r="H103" s="548">
        <f>SUM(H96,H101)</f>
        <v>6084808818</v>
      </c>
      <c r="I103" s="548">
        <f>SUM(I96,I101)</f>
        <v>6126124508</v>
      </c>
      <c r="J103" s="549">
        <f>J96+J101</f>
        <v>6200969524</v>
      </c>
      <c r="K103" s="549">
        <f>K96+K101</f>
        <v>6126273646</v>
      </c>
      <c r="L103" s="549">
        <f t="shared" si="85"/>
        <v>6106667432</v>
      </c>
      <c r="M103" s="549">
        <f t="shared" si="85"/>
        <v>9656149434.0519047</v>
      </c>
      <c r="N103" s="549">
        <f t="shared" si="85"/>
        <v>10229103919.772232</v>
      </c>
      <c r="O103" s="549">
        <f t="shared" si="85"/>
        <v>10861441084.975428</v>
      </c>
      <c r="P103" s="549">
        <f t="shared" si="85"/>
        <v>11553734882.97249</v>
      </c>
      <c r="Q103" s="549">
        <f t="shared" si="85"/>
        <v>12293912408.312572</v>
      </c>
      <c r="R103" s="991"/>
      <c r="S103" s="549">
        <f>Q103</f>
        <v>12293912408.312572</v>
      </c>
      <c r="T103" s="679"/>
      <c r="U103" s="67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  <c r="AF103" s="729"/>
      <c r="AG103" s="729"/>
      <c r="AH103" s="729"/>
      <c r="AI103" s="729"/>
      <c r="AJ103" s="729"/>
    </row>
    <row r="104" spans="1:36">
      <c r="A104" s="674"/>
      <c r="B104" s="195"/>
      <c r="C104" s="224"/>
      <c r="D104" s="224"/>
      <c r="E104" s="85"/>
      <c r="F104" s="986"/>
      <c r="G104" s="986"/>
      <c r="H104" s="986"/>
      <c r="I104" s="986"/>
      <c r="J104" s="85"/>
      <c r="K104" s="85"/>
      <c r="L104" s="85"/>
      <c r="M104" s="85"/>
      <c r="N104" s="85"/>
      <c r="O104" s="85"/>
      <c r="P104" s="85"/>
      <c r="Q104" s="85"/>
      <c r="R104" s="957"/>
      <c r="S104" s="85"/>
      <c r="T104" s="674"/>
      <c r="U104" s="674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  <c r="AF104" s="729"/>
      <c r="AG104" s="729"/>
      <c r="AH104" s="729"/>
      <c r="AI104" s="729"/>
      <c r="AJ104" s="729"/>
    </row>
    <row r="105" spans="1:36">
      <c r="A105" s="674"/>
      <c r="B105" s="232" t="s">
        <v>413</v>
      </c>
      <c r="C105" s="233"/>
      <c r="D105" s="233"/>
      <c r="E105" s="388">
        <f t="shared" ref="E105" si="86">ROUND(E85-E103,0)</f>
        <v>0</v>
      </c>
      <c r="F105" s="389">
        <f>IF(ABS(F85-F103)&lt;=2,0,ROUND(F85-F103,0))</f>
        <v>0</v>
      </c>
      <c r="G105" s="389">
        <f>IF(ABS(G85-G103)&lt;=2,0,ROUND(G85-G103,0))</f>
        <v>0</v>
      </c>
      <c r="H105" s="389">
        <f>IF(ABS(H85-H103)&lt;=2,0,ROUND(H85-H103,0))</f>
        <v>0</v>
      </c>
      <c r="I105" s="389">
        <f>IF(ABS(I85-I103)&lt;=2,0,ROUND(I85-I103,0))</f>
        <v>0</v>
      </c>
      <c r="J105" s="388">
        <f>IF(ABS(J85-J103)&lt;=5,0,ROUND(J85-J103,0))</f>
        <v>0</v>
      </c>
      <c r="K105" s="388">
        <f>IF(ABS(K85-K103)&lt;=5,0,ROUND(K85-K103,0))</f>
        <v>0</v>
      </c>
      <c r="L105" s="388">
        <f t="shared" ref="L105:Q105" si="87">IF(ABS(L85-L103)&lt;=5,0,ROUND(L85-L103,0))</f>
        <v>0</v>
      </c>
      <c r="M105" s="388">
        <f t="shared" si="87"/>
        <v>-2697293365</v>
      </c>
      <c r="N105" s="388">
        <f t="shared" si="87"/>
        <v>-2697293365</v>
      </c>
      <c r="O105" s="388">
        <f t="shared" si="87"/>
        <v>-2697293365</v>
      </c>
      <c r="P105" s="388">
        <f t="shared" si="87"/>
        <v>-2697293365</v>
      </c>
      <c r="Q105" s="388">
        <f t="shared" si="87"/>
        <v>-2697293365</v>
      </c>
      <c r="R105" s="957"/>
      <c r="S105" s="388">
        <f>IF(ABS(S85-S103)&lt;=5,0,ROUND(S85-S103,0))</f>
        <v>-2697293365</v>
      </c>
      <c r="T105" s="674"/>
      <c r="U105" s="674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  <c r="AF105" s="729"/>
      <c r="AG105" s="729"/>
      <c r="AH105" s="729"/>
      <c r="AI105" s="729"/>
      <c r="AJ105" s="729"/>
    </row>
    <row r="106" spans="1:36" s="2" customFormat="1" ht="15" thickBot="1">
      <c r="A106" s="216"/>
      <c r="B106" s="184"/>
      <c r="C106" s="216"/>
      <c r="D106" s="216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957"/>
      <c r="S106" s="81"/>
      <c r="T106" s="216"/>
      <c r="U106" s="216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s="2" customFormat="1">
      <c r="A107" s="682"/>
      <c r="B107" s="551" t="s">
        <v>414</v>
      </c>
      <c r="C107" s="552"/>
      <c r="D107" s="552"/>
      <c r="E107" s="552"/>
      <c r="F107" s="552"/>
      <c r="G107" s="552"/>
      <c r="H107" s="552"/>
      <c r="I107" s="552"/>
      <c r="J107" s="552"/>
      <c r="K107" s="552"/>
      <c r="L107" s="552"/>
      <c r="M107" s="552"/>
      <c r="N107" s="552"/>
      <c r="O107" s="552"/>
      <c r="P107" s="552"/>
      <c r="Q107" s="552"/>
      <c r="R107" s="553"/>
      <c r="S107" s="552"/>
      <c r="T107" s="682"/>
      <c r="U107" s="682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s="2" customFormat="1">
      <c r="A108" s="216"/>
      <c r="B108" s="184"/>
      <c r="C108" s="215"/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957"/>
      <c r="S108" s="215"/>
      <c r="T108" s="216"/>
      <c r="U108" s="216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s="2" customFormat="1">
      <c r="A109" s="682"/>
      <c r="B109" s="993" t="s">
        <v>415</v>
      </c>
      <c r="C109" s="994"/>
      <c r="D109" s="994"/>
      <c r="E109" s="994"/>
      <c r="F109" s="994"/>
      <c r="G109" s="994"/>
      <c r="H109" s="994"/>
      <c r="I109" s="994"/>
      <c r="J109" s="994"/>
      <c r="K109" s="994"/>
      <c r="L109" s="994"/>
      <c r="M109" s="994"/>
      <c r="N109" s="994"/>
      <c r="O109" s="994"/>
      <c r="P109" s="994"/>
      <c r="Q109" s="994"/>
      <c r="R109" s="553"/>
      <c r="S109" s="994"/>
      <c r="T109" s="682"/>
      <c r="U109" s="682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s="2" customFormat="1">
      <c r="A110" s="216"/>
      <c r="B110" s="236" t="s">
        <v>416</v>
      </c>
      <c r="C110" s="237"/>
      <c r="D110" s="237"/>
      <c r="E110" s="390">
        <f t="shared" ref="E110:Q110" si="88">E79</f>
        <v>1833296000</v>
      </c>
      <c r="F110" s="390">
        <f t="shared" si="88"/>
        <v>1590540829</v>
      </c>
      <c r="G110" s="390">
        <f t="shared" si="88"/>
        <v>1797557189</v>
      </c>
      <c r="H110" s="390">
        <f t="shared" si="88"/>
        <v>1690589814</v>
      </c>
      <c r="I110" s="390">
        <f t="shared" si="88"/>
        <v>1612589704</v>
      </c>
      <c r="J110" s="390">
        <f>J79</f>
        <v>1675346692</v>
      </c>
      <c r="K110" s="390">
        <f t="shared" si="88"/>
        <v>1799431102</v>
      </c>
      <c r="L110" s="390">
        <f t="shared" si="88"/>
        <v>1688457915</v>
      </c>
      <c r="M110" s="390">
        <f t="shared" si="88"/>
        <v>4406153000</v>
      </c>
      <c r="N110" s="390">
        <f t="shared" si="88"/>
        <v>4662116000</v>
      </c>
      <c r="O110" s="390">
        <f t="shared" si="88"/>
        <v>4918079000</v>
      </c>
      <c r="P110" s="390">
        <f t="shared" si="88"/>
        <v>5174042000</v>
      </c>
      <c r="Q110" s="390">
        <f t="shared" si="88"/>
        <v>5430005000</v>
      </c>
      <c r="R110" s="957"/>
      <c r="S110" s="390">
        <f>Q110</f>
        <v>5430005000</v>
      </c>
      <c r="T110" s="216"/>
      <c r="U110" s="216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s="2" customFormat="1">
      <c r="A111" s="216"/>
      <c r="B111" s="238" t="s">
        <v>417</v>
      </c>
      <c r="C111" s="239"/>
      <c r="D111" s="239"/>
      <c r="E111" s="391">
        <f t="shared" ref="E111:Q111" si="89">E80</f>
        <v>92028000</v>
      </c>
      <c r="F111" s="391">
        <f t="shared" si="89"/>
        <v>92548595</v>
      </c>
      <c r="G111" s="391">
        <f t="shared" si="89"/>
        <v>93008823</v>
      </c>
      <c r="H111" s="391">
        <f t="shared" si="89"/>
        <v>93705293</v>
      </c>
      <c r="I111" s="391">
        <f t="shared" si="89"/>
        <v>94574157</v>
      </c>
      <c r="J111" s="391">
        <f>J80</f>
        <v>175907394</v>
      </c>
      <c r="K111" s="391">
        <f t="shared" si="89"/>
        <v>77569331</v>
      </c>
      <c r="L111" s="391">
        <f t="shared" si="89"/>
        <v>78270032</v>
      </c>
      <c r="M111" s="391">
        <f t="shared" si="89"/>
        <v>94574157</v>
      </c>
      <c r="N111" s="391">
        <f t="shared" si="89"/>
        <v>94574157</v>
      </c>
      <c r="O111" s="391">
        <f t="shared" si="89"/>
        <v>94574157</v>
      </c>
      <c r="P111" s="391">
        <f t="shared" si="89"/>
        <v>94574157</v>
      </c>
      <c r="Q111" s="391">
        <f t="shared" si="89"/>
        <v>94574157</v>
      </c>
      <c r="R111" s="957"/>
      <c r="S111" s="391">
        <f>Q111</f>
        <v>94574157</v>
      </c>
      <c r="T111" s="216"/>
      <c r="U111" s="216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s="2" customFormat="1">
      <c r="A112" s="216"/>
      <c r="B112" s="995" t="s">
        <v>418</v>
      </c>
      <c r="C112" s="996"/>
      <c r="D112" s="996"/>
      <c r="E112" s="997">
        <f t="shared" ref="E112:Q112" si="90">E81</f>
        <v>3301925000</v>
      </c>
      <c r="F112" s="997">
        <f t="shared" si="90"/>
        <v>3331745751</v>
      </c>
      <c r="G112" s="997">
        <f t="shared" si="90"/>
        <v>3359507781</v>
      </c>
      <c r="H112" s="997">
        <f t="shared" si="90"/>
        <v>3397894998</v>
      </c>
      <c r="I112" s="997">
        <f t="shared" si="90"/>
        <v>3433020955</v>
      </c>
      <c r="J112" s="997">
        <f>J81</f>
        <v>3468917579</v>
      </c>
      <c r="K112" s="997">
        <f t="shared" si="90"/>
        <v>3497856336</v>
      </c>
      <c r="L112" s="997">
        <f t="shared" si="90"/>
        <v>3529697045</v>
      </c>
      <c r="M112" s="997">
        <f t="shared" si="90"/>
        <v>3433020955</v>
      </c>
      <c r="N112" s="997">
        <f t="shared" si="90"/>
        <v>3433020955</v>
      </c>
      <c r="O112" s="997">
        <f t="shared" si="90"/>
        <v>3433020955</v>
      </c>
      <c r="P112" s="997">
        <f t="shared" si="90"/>
        <v>3433020955</v>
      </c>
      <c r="Q112" s="997">
        <f t="shared" si="90"/>
        <v>3433020955</v>
      </c>
      <c r="R112" s="957"/>
      <c r="S112" s="997">
        <f>Q112</f>
        <v>3433020955</v>
      </c>
      <c r="T112" s="216"/>
      <c r="U112" s="216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s="2" customFormat="1">
      <c r="A113" s="742"/>
      <c r="B113" s="531" t="s">
        <v>419</v>
      </c>
      <c r="C113" s="542"/>
      <c r="D113" s="542"/>
      <c r="E113" s="550">
        <f>SUM(E110:E112)</f>
        <v>5227249000</v>
      </c>
      <c r="F113" s="550">
        <f>SUM(F110:F112)</f>
        <v>5014835175</v>
      </c>
      <c r="G113" s="550">
        <f>SUM(G110:G112)</f>
        <v>5250073793</v>
      </c>
      <c r="H113" s="550">
        <f t="shared" ref="H113:Q113" si="91">SUM(H110:H112)</f>
        <v>5182190105</v>
      </c>
      <c r="I113" s="550">
        <f t="shared" si="91"/>
        <v>5140184816</v>
      </c>
      <c r="J113" s="550">
        <f>SUM(J110:J112)</f>
        <v>5320171665</v>
      </c>
      <c r="K113" s="550">
        <f t="shared" si="91"/>
        <v>5374856769</v>
      </c>
      <c r="L113" s="550">
        <f t="shared" si="91"/>
        <v>5296424992</v>
      </c>
      <c r="M113" s="550">
        <f t="shared" si="91"/>
        <v>7933748112</v>
      </c>
      <c r="N113" s="550">
        <f t="shared" si="91"/>
        <v>8189711112</v>
      </c>
      <c r="O113" s="550">
        <f t="shared" si="91"/>
        <v>8445674112</v>
      </c>
      <c r="P113" s="550">
        <f t="shared" si="91"/>
        <v>8701637112</v>
      </c>
      <c r="Q113" s="550">
        <f t="shared" si="91"/>
        <v>8957600112</v>
      </c>
      <c r="R113" s="991"/>
      <c r="S113" s="550">
        <f>Q113</f>
        <v>8957600112</v>
      </c>
      <c r="T113" s="742"/>
      <c r="U113" s="742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s="2" customFormat="1">
      <c r="A114" s="216"/>
      <c r="B114" s="184"/>
      <c r="C114" s="215"/>
      <c r="D114" s="215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957"/>
      <c r="S114" s="81"/>
      <c r="T114" s="216"/>
      <c r="U114" s="216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s="2" customFormat="1">
      <c r="A115" s="682"/>
      <c r="B115" s="497" t="s">
        <v>420</v>
      </c>
      <c r="C115" s="553"/>
      <c r="D115" s="553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3"/>
      <c r="S115" s="554"/>
      <c r="T115" s="682"/>
      <c r="U115" s="682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s="2" customFormat="1">
      <c r="A116" s="216"/>
      <c r="B116" s="236" t="s">
        <v>421</v>
      </c>
      <c r="C116" s="237"/>
      <c r="D116" s="237"/>
      <c r="E116" s="390">
        <f t="shared" ref="E116:Q116" si="92">E89</f>
        <v>544703000</v>
      </c>
      <c r="F116" s="390">
        <f t="shared" si="92"/>
        <v>502128241</v>
      </c>
      <c r="G116" s="390">
        <f t="shared" si="92"/>
        <v>493782297</v>
      </c>
      <c r="H116" s="390">
        <f t="shared" si="92"/>
        <v>571037565</v>
      </c>
      <c r="I116" s="390">
        <f t="shared" si="92"/>
        <v>563841763</v>
      </c>
      <c r="J116" s="390">
        <f>J89</f>
        <v>502311050</v>
      </c>
      <c r="K116" s="390">
        <f t="shared" si="92"/>
        <v>483390906</v>
      </c>
      <c r="L116" s="390">
        <f t="shared" si="92"/>
        <v>403760304</v>
      </c>
      <c r="M116" s="390">
        <f t="shared" si="92"/>
        <v>611036504.72222209</v>
      </c>
      <c r="N116" s="390">
        <f t="shared" si="92"/>
        <v>611036504.72222209</v>
      </c>
      <c r="O116" s="390">
        <f t="shared" si="92"/>
        <v>611036504.72222209</v>
      </c>
      <c r="P116" s="390">
        <f t="shared" si="92"/>
        <v>628420380.32222211</v>
      </c>
      <c r="Q116" s="390">
        <f t="shared" si="92"/>
        <v>628420380.32222211</v>
      </c>
      <c r="R116" s="957"/>
      <c r="S116" s="390">
        <f>Q116</f>
        <v>628420380.32222211</v>
      </c>
      <c r="T116" s="216"/>
      <c r="U116" s="216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s="2" customFormat="1">
      <c r="A117" s="216"/>
      <c r="B117" s="240" t="s">
        <v>422</v>
      </c>
      <c r="C117" s="241"/>
      <c r="D117" s="241"/>
      <c r="E117" s="392">
        <f t="shared" ref="E117:Q117" si="93">E90</f>
        <v>40077000</v>
      </c>
      <c r="F117" s="392">
        <f t="shared" si="93"/>
        <v>14350080</v>
      </c>
      <c r="G117" s="392">
        <f t="shared" si="93"/>
        <v>1791700</v>
      </c>
      <c r="H117" s="392">
        <f t="shared" si="93"/>
        <v>25570584</v>
      </c>
      <c r="I117" s="392">
        <f t="shared" si="93"/>
        <v>24496645</v>
      </c>
      <c r="J117" s="392">
        <f>J90</f>
        <v>22513416</v>
      </c>
      <c r="K117" s="392">
        <f t="shared" si="93"/>
        <v>23325495</v>
      </c>
      <c r="L117" s="392">
        <f t="shared" si="93"/>
        <v>19229474</v>
      </c>
      <c r="M117" s="392">
        <f t="shared" si="93"/>
        <v>259322014.8153888</v>
      </c>
      <c r="N117" s="392">
        <f t="shared" si="93"/>
        <v>291296775.18750036</v>
      </c>
      <c r="O117" s="392">
        <f t="shared" si="93"/>
        <v>323271879.13674355</v>
      </c>
      <c r="P117" s="392">
        <f t="shared" si="93"/>
        <v>349363630.53683251</v>
      </c>
      <c r="Q117" s="392">
        <f t="shared" si="93"/>
        <v>381339404.55692005</v>
      </c>
      <c r="R117" s="957"/>
      <c r="S117" s="392">
        <f>Q117</f>
        <v>381339404.55692005</v>
      </c>
      <c r="T117" s="216"/>
      <c r="U117" s="216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s="2" customFormat="1">
      <c r="A118" s="742"/>
      <c r="B118" s="531" t="s">
        <v>423</v>
      </c>
      <c r="C118" s="542"/>
      <c r="D118" s="542"/>
      <c r="E118" s="550">
        <f t="shared" ref="E118:Q118" si="94">SUM(E116:E117)</f>
        <v>584780000</v>
      </c>
      <c r="F118" s="550">
        <f t="shared" si="94"/>
        <v>516478321</v>
      </c>
      <c r="G118" s="550">
        <f t="shared" si="94"/>
        <v>495573997</v>
      </c>
      <c r="H118" s="550">
        <f t="shared" si="94"/>
        <v>596608149</v>
      </c>
      <c r="I118" s="550">
        <f t="shared" si="94"/>
        <v>588338408</v>
      </c>
      <c r="J118" s="550">
        <f>SUM(J116:J117)</f>
        <v>524824466</v>
      </c>
      <c r="K118" s="550">
        <f t="shared" si="94"/>
        <v>506716401</v>
      </c>
      <c r="L118" s="550">
        <f t="shared" si="94"/>
        <v>422989778</v>
      </c>
      <c r="M118" s="550">
        <f t="shared" si="94"/>
        <v>870358519.53761089</v>
      </c>
      <c r="N118" s="550">
        <f t="shared" si="94"/>
        <v>902333279.90972245</v>
      </c>
      <c r="O118" s="550">
        <f t="shared" si="94"/>
        <v>934308383.85896564</v>
      </c>
      <c r="P118" s="550">
        <f t="shared" si="94"/>
        <v>977784010.85905457</v>
      </c>
      <c r="Q118" s="550">
        <f t="shared" si="94"/>
        <v>1009759784.8791422</v>
      </c>
      <c r="R118" s="991"/>
      <c r="S118" s="550">
        <f>Q118</f>
        <v>1009759784.8791422</v>
      </c>
      <c r="T118" s="742"/>
      <c r="U118" s="742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s="2" customFormat="1">
      <c r="A119" s="216"/>
      <c r="B119" s="217" t="s">
        <v>424</v>
      </c>
      <c r="C119" s="219">
        <f>G119-F119</f>
        <v>256142942</v>
      </c>
      <c r="D119" s="83"/>
      <c r="E119" s="219">
        <f>E113-E118</f>
        <v>4642469000</v>
      </c>
      <c r="F119" s="219">
        <f>F113-F118</f>
        <v>4498356854</v>
      </c>
      <c r="G119" s="219">
        <f>G113-G118</f>
        <v>4754499796</v>
      </c>
      <c r="H119" s="219">
        <f t="shared" ref="H119:Q119" si="95">H113-H118</f>
        <v>4585581956</v>
      </c>
      <c r="I119" s="219">
        <f t="shared" si="95"/>
        <v>4551846408</v>
      </c>
      <c r="J119" s="219">
        <f>J113-J118</f>
        <v>4795347199</v>
      </c>
      <c r="K119" s="219">
        <f t="shared" si="95"/>
        <v>4868140368</v>
      </c>
      <c r="L119" s="219">
        <f t="shared" si="95"/>
        <v>4873435214</v>
      </c>
      <c r="M119" s="219">
        <f t="shared" si="95"/>
        <v>7063389592.462389</v>
      </c>
      <c r="N119" s="219">
        <f t="shared" si="95"/>
        <v>7287377832.0902777</v>
      </c>
      <c r="O119" s="219">
        <f t="shared" si="95"/>
        <v>7511365728.1410341</v>
      </c>
      <c r="P119" s="219">
        <f t="shared" si="95"/>
        <v>7723853101.1409454</v>
      </c>
      <c r="Q119" s="219">
        <f t="shared" si="95"/>
        <v>7947840327.1208582</v>
      </c>
      <c r="R119" s="957"/>
      <c r="S119" s="219">
        <f>Q119</f>
        <v>7947840327.1208582</v>
      </c>
      <c r="T119" s="216"/>
      <c r="U119" s="216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s="2" customFormat="1" ht="15" thickBot="1">
      <c r="A120" s="216"/>
      <c r="B120" s="184"/>
      <c r="C120" s="215"/>
      <c r="D120" s="215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957"/>
      <c r="S120" s="81"/>
      <c r="T120" s="216"/>
      <c r="U120" s="216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s="2" customFormat="1">
      <c r="A121" s="682"/>
      <c r="B121" s="551" t="s">
        <v>425</v>
      </c>
      <c r="C121" s="552"/>
      <c r="D121" s="552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5"/>
      <c r="P121" s="555"/>
      <c r="Q121" s="555"/>
      <c r="R121" s="553"/>
      <c r="S121" s="555"/>
      <c r="T121" s="682"/>
      <c r="U121" s="682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s="2" customFormat="1">
      <c r="A122" s="216"/>
      <c r="B122" s="184"/>
      <c r="C122" s="215"/>
      <c r="D122" s="215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957"/>
      <c r="S122" s="81"/>
      <c r="T122" s="216"/>
      <c r="U122" s="216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s="2" customFormat="1">
      <c r="A123" s="216"/>
      <c r="B123" s="195" t="s">
        <v>426</v>
      </c>
      <c r="C123" s="224"/>
      <c r="D123" s="224"/>
      <c r="E123" s="226">
        <f>E83</f>
        <v>209212000</v>
      </c>
      <c r="F123" s="226">
        <f>E126</f>
        <v>209212000</v>
      </c>
      <c r="G123" s="226">
        <f>F126</f>
        <v>216571954</v>
      </c>
      <c r="H123" s="226">
        <f>G126</f>
        <v>222840954</v>
      </c>
      <c r="I123" s="226">
        <f t="shared" ref="I123:Q123" si="96">H126</f>
        <v>223130002</v>
      </c>
      <c r="J123" s="226">
        <f>I126</f>
        <v>3433020955</v>
      </c>
      <c r="K123" s="226">
        <f>J126</f>
        <v>225975514</v>
      </c>
      <c r="L123" s="226">
        <f t="shared" si="96"/>
        <v>225975514</v>
      </c>
      <c r="M123" s="226">
        <f t="shared" si="96"/>
        <v>229569347.43333334</v>
      </c>
      <c r="N123" s="226">
        <f t="shared" si="96"/>
        <v>233103283.64277777</v>
      </c>
      <c r="O123" s="226">
        <f t="shared" si="96"/>
        <v>236578320.91539815</v>
      </c>
      <c r="P123" s="226">
        <f t="shared" si="96"/>
        <v>239995440.90014151</v>
      </c>
      <c r="Q123" s="226">
        <f t="shared" si="96"/>
        <v>243355608.88513914</v>
      </c>
      <c r="R123" s="957"/>
      <c r="S123" s="226">
        <f>F123</f>
        <v>209212000</v>
      </c>
      <c r="T123" s="216"/>
      <c r="U123" s="216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s="2" customFormat="1">
      <c r="A124" s="216"/>
      <c r="B124" s="184" t="s">
        <v>427</v>
      </c>
      <c r="C124" s="215"/>
      <c r="D124" s="215"/>
      <c r="E124" s="185">
        <v>0</v>
      </c>
      <c r="F124" s="212">
        <f>F126-F123-F125</f>
        <v>10846820.666666666</v>
      </c>
      <c r="G124" s="212">
        <f>G126-G123-G125</f>
        <v>9878532.5666666664</v>
      </c>
      <c r="H124" s="185">
        <v>0</v>
      </c>
      <c r="I124" s="212">
        <f>I126-I123-I125</f>
        <v>3213609786.3666668</v>
      </c>
      <c r="J124" s="212">
        <f>J126-J123-J125</f>
        <v>-3149828425.0833335</v>
      </c>
      <c r="K124" s="212">
        <f>K126-K123-K125</f>
        <v>3766258.5666666669</v>
      </c>
      <c r="L124" s="212">
        <f t="shared" ref="L124:Q124" si="97">$E$30</f>
        <v>7360092</v>
      </c>
      <c r="M124" s="212">
        <f t="shared" si="97"/>
        <v>7360092</v>
      </c>
      <c r="N124" s="212">
        <f t="shared" si="97"/>
        <v>7360092</v>
      </c>
      <c r="O124" s="212">
        <f t="shared" si="97"/>
        <v>7360092</v>
      </c>
      <c r="P124" s="212">
        <f t="shared" si="97"/>
        <v>7360092</v>
      </c>
      <c r="Q124" s="212">
        <f t="shared" si="97"/>
        <v>7360092</v>
      </c>
      <c r="R124" s="957"/>
      <c r="S124" s="212">
        <f>SUM(F124:Q124)</f>
        <v>132433525.08333308</v>
      </c>
      <c r="T124" s="216"/>
      <c r="U124" s="216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s="2" customFormat="1">
      <c r="A125" s="216"/>
      <c r="B125" s="184" t="s">
        <v>428</v>
      </c>
      <c r="C125" s="215"/>
      <c r="D125" s="215"/>
      <c r="E125" s="185">
        <v>0</v>
      </c>
      <c r="F125" s="212">
        <f t="shared" ref="F125:Q125" si="98">-F123/$E$29</f>
        <v>-3486866.6666666665</v>
      </c>
      <c r="G125" s="212">
        <f t="shared" si="98"/>
        <v>-3609532.5666666669</v>
      </c>
      <c r="H125" s="212">
        <f t="shared" si="98"/>
        <v>-3714015.9</v>
      </c>
      <c r="I125" s="212">
        <f t="shared" si="98"/>
        <v>-3718833.3666666667</v>
      </c>
      <c r="J125" s="212">
        <f t="shared" si="98"/>
        <v>-57217015.916666664</v>
      </c>
      <c r="K125" s="212">
        <f t="shared" ref="K125" si="99">-K123/$E$29</f>
        <v>-3766258.5666666669</v>
      </c>
      <c r="L125" s="212">
        <f t="shared" si="98"/>
        <v>-3766258.5666666669</v>
      </c>
      <c r="M125" s="212">
        <f t="shared" si="98"/>
        <v>-3826155.7905555558</v>
      </c>
      <c r="N125" s="212">
        <f t="shared" si="98"/>
        <v>-3885054.7273796294</v>
      </c>
      <c r="O125" s="212">
        <f t="shared" si="98"/>
        <v>-3942972.0152566358</v>
      </c>
      <c r="P125" s="212">
        <f t="shared" si="98"/>
        <v>-3999924.0150023582</v>
      </c>
      <c r="Q125" s="212">
        <f t="shared" si="98"/>
        <v>-4055926.8147523189</v>
      </c>
      <c r="R125" s="957"/>
      <c r="S125" s="212">
        <f>SUM(F125:Q125)</f>
        <v>-98988814.912946492</v>
      </c>
      <c r="T125" s="216"/>
      <c r="U125" s="216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s="2" customFormat="1">
      <c r="A126" s="216"/>
      <c r="B126" s="998" t="s">
        <v>429</v>
      </c>
      <c r="C126" s="999"/>
      <c r="D126" s="999"/>
      <c r="E126" s="219">
        <f>E83</f>
        <v>209212000</v>
      </c>
      <c r="F126" s="219">
        <f>F83</f>
        <v>216571954</v>
      </c>
      <c r="G126" s="219">
        <f>G83</f>
        <v>222840954</v>
      </c>
      <c r="H126" s="219">
        <f>H83</f>
        <v>223130002</v>
      </c>
      <c r="I126" s="223">
        <f>Inputs!$G$97</f>
        <v>3433020955</v>
      </c>
      <c r="J126" s="219">
        <f>J83</f>
        <v>225975514</v>
      </c>
      <c r="K126" s="219">
        <f>K83</f>
        <v>225975514</v>
      </c>
      <c r="L126" s="219">
        <f t="shared" ref="L126:Q126" si="100">L123+L124+L125</f>
        <v>229569347.43333334</v>
      </c>
      <c r="M126" s="219">
        <f t="shared" si="100"/>
        <v>233103283.64277777</v>
      </c>
      <c r="N126" s="219">
        <f t="shared" si="100"/>
        <v>236578320.91539815</v>
      </c>
      <c r="O126" s="219">
        <f t="shared" si="100"/>
        <v>239995440.90014151</v>
      </c>
      <c r="P126" s="219">
        <f t="shared" si="100"/>
        <v>243355608.88513914</v>
      </c>
      <c r="Q126" s="219">
        <f t="shared" si="100"/>
        <v>246659774.07038683</v>
      </c>
      <c r="R126" s="957"/>
      <c r="S126" s="219">
        <f>Q126</f>
        <v>246659774.07038683</v>
      </c>
      <c r="T126" s="216"/>
      <c r="U126" s="216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s="2" customFormat="1" ht="15" thickBot="1">
      <c r="A127" s="216"/>
      <c r="B127" s="184"/>
      <c r="C127" s="215"/>
      <c r="D127" s="215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957"/>
      <c r="S127" s="81"/>
      <c r="T127" s="216"/>
      <c r="U127" s="216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s="2" customFormat="1">
      <c r="A128" s="682"/>
      <c r="B128" s="551" t="s">
        <v>430</v>
      </c>
      <c r="C128" s="552"/>
      <c r="D128" s="552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3"/>
      <c r="S128" s="555"/>
      <c r="T128" s="682"/>
      <c r="U128" s="682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s="2" customFormat="1">
      <c r="A129" s="216"/>
      <c r="B129" s="184"/>
      <c r="C129" s="215"/>
      <c r="D129" s="215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957"/>
      <c r="S129" s="81"/>
      <c r="T129" s="216"/>
      <c r="U129" s="216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s="2" customFormat="1">
      <c r="A130" s="682"/>
      <c r="B130" s="497" t="s">
        <v>431</v>
      </c>
      <c r="C130" s="553"/>
      <c r="D130" s="553"/>
      <c r="E130" s="554"/>
      <c r="F130" s="554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3"/>
      <c r="S130" s="554"/>
      <c r="T130" s="682"/>
      <c r="U130" s="682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s="2" customFormat="1">
      <c r="A131" s="216"/>
      <c r="B131" s="184" t="s">
        <v>432</v>
      </c>
      <c r="C131" s="215"/>
      <c r="D131" s="215"/>
      <c r="E131" s="212">
        <f>E88</f>
        <v>80111000</v>
      </c>
      <c r="F131" s="212">
        <f t="shared" ref="F131:Q131" si="101">E133</f>
        <v>80111000</v>
      </c>
      <c r="G131" s="212">
        <f t="shared" si="101"/>
        <v>72783461</v>
      </c>
      <c r="H131" s="212">
        <f t="shared" si="101"/>
        <v>101365099</v>
      </c>
      <c r="I131" s="212">
        <f t="shared" si="101"/>
        <v>104189980</v>
      </c>
      <c r="J131" s="212">
        <f>I133</f>
        <v>112563470</v>
      </c>
      <c r="K131" s="212">
        <f>J133</f>
        <v>99589767</v>
      </c>
      <c r="L131" s="212">
        <f t="shared" si="101"/>
        <v>83503947</v>
      </c>
      <c r="M131" s="212">
        <f t="shared" si="101"/>
        <v>83503947</v>
      </c>
      <c r="N131" s="212">
        <f t="shared" si="101"/>
        <v>83503947</v>
      </c>
      <c r="O131" s="212">
        <f t="shared" si="101"/>
        <v>83503947</v>
      </c>
      <c r="P131" s="212">
        <f t="shared" si="101"/>
        <v>83503947</v>
      </c>
      <c r="Q131" s="212">
        <f t="shared" si="101"/>
        <v>83503947</v>
      </c>
      <c r="R131" s="957"/>
      <c r="S131" s="212">
        <f>F131</f>
        <v>80111000</v>
      </c>
      <c r="T131" s="216"/>
      <c r="U131" s="216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s="2" customFormat="1">
      <c r="A132" s="216"/>
      <c r="B132" s="184" t="s">
        <v>433</v>
      </c>
      <c r="C132" s="215"/>
      <c r="D132" s="215"/>
      <c r="E132" s="185">
        <v>0</v>
      </c>
      <c r="F132" s="212">
        <f>F133-F131</f>
        <v>-7327539</v>
      </c>
      <c r="G132" s="212">
        <f>G133-G131</f>
        <v>28581638</v>
      </c>
      <c r="H132" s="185">
        <v>0</v>
      </c>
      <c r="I132" s="212">
        <f>I133-I131</f>
        <v>8373490</v>
      </c>
      <c r="J132" s="212">
        <f>J133-J131</f>
        <v>-12973703</v>
      </c>
      <c r="K132" s="212">
        <f>K133-K131</f>
        <v>-16085820</v>
      </c>
      <c r="L132" s="185">
        <v>0</v>
      </c>
      <c r="M132" s="185">
        <v>0</v>
      </c>
      <c r="N132" s="185">
        <v>0</v>
      </c>
      <c r="O132" s="185">
        <v>0</v>
      </c>
      <c r="P132" s="185">
        <v>0</v>
      </c>
      <c r="Q132" s="185">
        <v>0</v>
      </c>
      <c r="R132" s="957"/>
      <c r="S132" s="212">
        <f>SUM(F132:Q132)</f>
        <v>568066</v>
      </c>
      <c r="T132" s="216"/>
      <c r="U132" s="216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s="2" customFormat="1">
      <c r="A133" s="216"/>
      <c r="B133" s="217" t="s">
        <v>434</v>
      </c>
      <c r="C133" s="218"/>
      <c r="D133" s="218"/>
      <c r="E133" s="219">
        <f t="shared" ref="E133:J133" si="102">E88</f>
        <v>80111000</v>
      </c>
      <c r="F133" s="219">
        <f t="shared" si="102"/>
        <v>72783461</v>
      </c>
      <c r="G133" s="219">
        <f t="shared" si="102"/>
        <v>101365099</v>
      </c>
      <c r="H133" s="219">
        <f t="shared" si="102"/>
        <v>104189980</v>
      </c>
      <c r="I133" s="219">
        <f t="shared" si="102"/>
        <v>112563470</v>
      </c>
      <c r="J133" s="219">
        <f t="shared" si="102"/>
        <v>99589767</v>
      </c>
      <c r="K133" s="219">
        <f t="shared" ref="K133" si="103">K88</f>
        <v>83503947</v>
      </c>
      <c r="L133" s="219">
        <f t="shared" ref="L133:Q133" si="104">L131+L132</f>
        <v>83503947</v>
      </c>
      <c r="M133" s="219">
        <f t="shared" si="104"/>
        <v>83503947</v>
      </c>
      <c r="N133" s="219">
        <f t="shared" si="104"/>
        <v>83503947</v>
      </c>
      <c r="O133" s="219">
        <f t="shared" si="104"/>
        <v>83503947</v>
      </c>
      <c r="P133" s="219">
        <f t="shared" si="104"/>
        <v>83503947</v>
      </c>
      <c r="Q133" s="219">
        <f t="shared" si="104"/>
        <v>83503947</v>
      </c>
      <c r="R133" s="957"/>
      <c r="S133" s="219">
        <f>Q133</f>
        <v>83503947</v>
      </c>
      <c r="T133" s="216"/>
      <c r="U133" s="216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s="2" customFormat="1">
      <c r="A134" s="216"/>
      <c r="B134" s="193"/>
      <c r="C134" s="982"/>
      <c r="D134" s="982"/>
      <c r="E134" s="980"/>
      <c r="F134" s="980"/>
      <c r="G134" s="980"/>
      <c r="H134" s="980"/>
      <c r="I134" s="980"/>
      <c r="J134" s="980"/>
      <c r="K134" s="980"/>
      <c r="L134" s="980"/>
      <c r="M134" s="980"/>
      <c r="N134" s="980"/>
      <c r="O134" s="980"/>
      <c r="P134" s="980"/>
      <c r="Q134" s="980"/>
      <c r="R134" s="957"/>
      <c r="S134" s="980"/>
      <c r="T134" s="216"/>
      <c r="U134" s="216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s="2" customFormat="1">
      <c r="A135" s="216"/>
      <c r="B135" s="184" t="s">
        <v>435</v>
      </c>
      <c r="C135" s="215"/>
      <c r="D135" s="215"/>
      <c r="E135" s="81"/>
      <c r="F135" s="242">
        <f t="shared" ref="F135:Q135" si="105">TasaDeudaLp</f>
        <v>0.1</v>
      </c>
      <c r="G135" s="242">
        <f t="shared" si="105"/>
        <v>0.1</v>
      </c>
      <c r="H135" s="242">
        <f t="shared" si="105"/>
        <v>0.1</v>
      </c>
      <c r="I135" s="242">
        <f t="shared" si="105"/>
        <v>0.1</v>
      </c>
      <c r="J135" s="242">
        <f t="shared" si="105"/>
        <v>0.1</v>
      </c>
      <c r="K135" s="242">
        <f t="shared" si="105"/>
        <v>0.1</v>
      </c>
      <c r="L135" s="242">
        <f t="shared" si="105"/>
        <v>0.1</v>
      </c>
      <c r="M135" s="242">
        <f t="shared" si="105"/>
        <v>0.1</v>
      </c>
      <c r="N135" s="242">
        <f t="shared" si="105"/>
        <v>0.1</v>
      </c>
      <c r="O135" s="242">
        <f t="shared" si="105"/>
        <v>0.1</v>
      </c>
      <c r="P135" s="242">
        <f t="shared" si="105"/>
        <v>0.1</v>
      </c>
      <c r="Q135" s="242">
        <f t="shared" si="105"/>
        <v>0.1</v>
      </c>
      <c r="R135" s="957"/>
      <c r="S135" s="242">
        <f>F135</f>
        <v>0.1</v>
      </c>
      <c r="T135" s="216"/>
      <c r="U135" s="216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s="2" customFormat="1">
      <c r="A136" s="216"/>
      <c r="B136" s="184" t="s">
        <v>436</v>
      </c>
      <c r="C136" s="215"/>
      <c r="D136" s="215"/>
      <c r="E136" s="81"/>
      <c r="F136" s="243">
        <f t="shared" ref="F136:I136" si="106">$T$30*AVERAGE(F141,F144)/12</f>
        <v>0</v>
      </c>
      <c r="G136" s="212">
        <f t="shared" si="106"/>
        <v>0</v>
      </c>
      <c r="H136" s="212">
        <f t="shared" si="106"/>
        <v>0</v>
      </c>
      <c r="I136" s="212">
        <f t="shared" si="106"/>
        <v>0</v>
      </c>
      <c r="J136" s="212">
        <f t="shared" ref="J136:Q136" si="107">0*$T$30</f>
        <v>0</v>
      </c>
      <c r="K136" s="212">
        <f t="shared" si="107"/>
        <v>0</v>
      </c>
      <c r="L136" s="212">
        <f t="shared" si="107"/>
        <v>0</v>
      </c>
      <c r="M136" s="212">
        <f t="shared" si="107"/>
        <v>0</v>
      </c>
      <c r="N136" s="212">
        <f t="shared" si="107"/>
        <v>0</v>
      </c>
      <c r="O136" s="212">
        <f t="shared" si="107"/>
        <v>0</v>
      </c>
      <c r="P136" s="212">
        <f t="shared" si="107"/>
        <v>0</v>
      </c>
      <c r="Q136" s="212">
        <f t="shared" si="107"/>
        <v>0</v>
      </c>
      <c r="R136" s="957"/>
      <c r="S136" s="81"/>
      <c r="T136" s="216"/>
      <c r="U136" s="216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s="2" customFormat="1">
      <c r="A137" s="216"/>
      <c r="B137" s="184" t="s">
        <v>437</v>
      </c>
      <c r="C137" s="215"/>
      <c r="D137" s="215"/>
      <c r="E137" s="81"/>
      <c r="F137" s="212">
        <f t="shared" ref="F137:I137" si="108">TasaDeudaLp*AVERAGE(F133,F131)/12</f>
        <v>637060.25416666677</v>
      </c>
      <c r="G137" s="212">
        <f t="shared" si="108"/>
        <v>725619</v>
      </c>
      <c r="H137" s="212">
        <f t="shared" si="108"/>
        <v>856479.49583333347</v>
      </c>
      <c r="I137" s="212">
        <f t="shared" si="108"/>
        <v>903139.375</v>
      </c>
      <c r="J137" s="212">
        <f t="shared" ref="J137:Q137" si="109">TasaDeudaLp*J131/12</f>
        <v>938028.91666666663</v>
      </c>
      <c r="K137" s="212">
        <f t="shared" ref="K137" si="110">TasaDeudaLp*K131/12</f>
        <v>829914.72500000009</v>
      </c>
      <c r="L137" s="212">
        <f t="shared" si="109"/>
        <v>695866.22499999998</v>
      </c>
      <c r="M137" s="212">
        <f t="shared" si="109"/>
        <v>695866.22499999998</v>
      </c>
      <c r="N137" s="212">
        <f t="shared" si="109"/>
        <v>695866.22499999998</v>
      </c>
      <c r="O137" s="212">
        <f t="shared" si="109"/>
        <v>695866.22499999998</v>
      </c>
      <c r="P137" s="212">
        <f t="shared" si="109"/>
        <v>695866.22499999998</v>
      </c>
      <c r="Q137" s="212">
        <f t="shared" si="109"/>
        <v>695866.22499999998</v>
      </c>
      <c r="R137" s="957"/>
      <c r="S137" s="212">
        <f>SUM(F137:Q137)</f>
        <v>9065439.1166666653</v>
      </c>
      <c r="T137" s="216"/>
      <c r="U137" s="216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s="2" customFormat="1">
      <c r="A138" s="742"/>
      <c r="B138" s="531" t="s">
        <v>438</v>
      </c>
      <c r="C138" s="542"/>
      <c r="D138" s="542"/>
      <c r="E138" s="556"/>
      <c r="F138" s="550">
        <f t="shared" ref="F138:I138" si="111">F136+F137</f>
        <v>637060.25416666677</v>
      </c>
      <c r="G138" s="550">
        <f t="shared" si="111"/>
        <v>725619</v>
      </c>
      <c r="H138" s="550">
        <f t="shared" si="111"/>
        <v>856479.49583333347</v>
      </c>
      <c r="I138" s="550">
        <f t="shared" si="111"/>
        <v>903139.375</v>
      </c>
      <c r="J138" s="550">
        <f t="shared" ref="J138:Q138" si="112">J136+J137</f>
        <v>938028.91666666663</v>
      </c>
      <c r="K138" s="550">
        <f t="shared" ref="K138" si="113">K136+K137</f>
        <v>829914.72500000009</v>
      </c>
      <c r="L138" s="550">
        <f t="shared" si="112"/>
        <v>695866.22499999998</v>
      </c>
      <c r="M138" s="550">
        <f t="shared" si="112"/>
        <v>695866.22499999998</v>
      </c>
      <c r="N138" s="550">
        <f t="shared" si="112"/>
        <v>695866.22499999998</v>
      </c>
      <c r="O138" s="550">
        <f t="shared" si="112"/>
        <v>695866.22499999998</v>
      </c>
      <c r="P138" s="550">
        <f t="shared" si="112"/>
        <v>695866.22499999998</v>
      </c>
      <c r="Q138" s="550">
        <f t="shared" si="112"/>
        <v>695866.22499999998</v>
      </c>
      <c r="R138" s="991"/>
      <c r="S138" s="550">
        <f>SUM(F138:Q138)</f>
        <v>9065439.1166666653</v>
      </c>
      <c r="T138" s="742"/>
      <c r="U138" s="742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s="2" customFormat="1">
      <c r="A139" s="216"/>
      <c r="B139" s="195"/>
      <c r="C139" s="224"/>
      <c r="D139" s="224"/>
      <c r="E139" s="85"/>
      <c r="F139" s="195"/>
      <c r="G139" s="224"/>
      <c r="H139" s="224"/>
      <c r="I139" s="85"/>
      <c r="J139" s="85"/>
      <c r="K139" s="85"/>
      <c r="L139" s="85"/>
      <c r="M139" s="85"/>
      <c r="N139" s="85"/>
      <c r="O139" s="85"/>
      <c r="P139" s="85"/>
      <c r="Q139" s="85"/>
      <c r="R139" s="957"/>
      <c r="S139" s="85"/>
      <c r="T139" s="216"/>
      <c r="U139" s="216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s="2" customFormat="1">
      <c r="A140" s="682"/>
      <c r="B140" s="497" t="s">
        <v>439</v>
      </c>
      <c r="C140" s="553"/>
      <c r="D140" s="553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3"/>
      <c r="S140" s="554"/>
      <c r="T140" s="682"/>
      <c r="U140" s="682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s="2" customFormat="1">
      <c r="A141" s="216"/>
      <c r="B141" s="184" t="s">
        <v>432</v>
      </c>
      <c r="C141" s="215"/>
      <c r="D141" s="215"/>
      <c r="E141" s="212">
        <f>0</f>
        <v>0</v>
      </c>
      <c r="F141" s="212">
        <f t="shared" ref="F141:Q141" si="114">E144</f>
        <v>0</v>
      </c>
      <c r="G141" s="212">
        <f t="shared" si="114"/>
        <v>0</v>
      </c>
      <c r="H141" s="212">
        <f t="shared" si="114"/>
        <v>0</v>
      </c>
      <c r="I141" s="212">
        <f t="shared" si="114"/>
        <v>0</v>
      </c>
      <c r="J141" s="212">
        <f>I144</f>
        <v>0</v>
      </c>
      <c r="K141" s="212">
        <f>J144</f>
        <v>2642649181</v>
      </c>
      <c r="L141" s="212">
        <f t="shared" si="114"/>
        <v>2641566481</v>
      </c>
      <c r="M141" s="212">
        <f t="shared" si="114"/>
        <v>2641566481</v>
      </c>
      <c r="N141" s="212">
        <f t="shared" si="114"/>
        <v>2641566481</v>
      </c>
      <c r="O141" s="212">
        <f t="shared" si="114"/>
        <v>2641566481</v>
      </c>
      <c r="P141" s="212">
        <f t="shared" si="114"/>
        <v>2641566481</v>
      </c>
      <c r="Q141" s="212">
        <f t="shared" si="114"/>
        <v>2641566481</v>
      </c>
      <c r="R141" s="957"/>
      <c r="S141" s="212">
        <f>F141</f>
        <v>0</v>
      </c>
      <c r="T141" s="216"/>
      <c r="U141" s="216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s="2" customFormat="1">
      <c r="A142" s="216"/>
      <c r="B142" s="184" t="s">
        <v>440</v>
      </c>
      <c r="C142" s="215"/>
      <c r="D142" s="215"/>
      <c r="E142" s="212">
        <f>0</f>
        <v>0</v>
      </c>
      <c r="F142" s="212">
        <f>0</f>
        <v>0</v>
      </c>
      <c r="G142" s="212">
        <f>0</f>
        <v>0</v>
      </c>
      <c r="H142" s="212">
        <f>0</f>
        <v>0</v>
      </c>
      <c r="I142" s="212">
        <f>0</f>
        <v>0</v>
      </c>
      <c r="J142" s="212">
        <f>0</f>
        <v>0</v>
      </c>
      <c r="K142" s="212">
        <f>0</f>
        <v>0</v>
      </c>
      <c r="L142" s="212">
        <f t="shared" ref="L142:Q142" si="115">IF(COLUMN()&lt;MATCH($T$31,$J$160:$Q$160,0)+COLUMN($J$160)-1,0,MIN(L185,MAX(0,$T$29-L141)))</f>
        <v>0</v>
      </c>
      <c r="M142" s="212">
        <f t="shared" si="115"/>
        <v>0</v>
      </c>
      <c r="N142" s="212">
        <f t="shared" si="115"/>
        <v>0</v>
      </c>
      <c r="O142" s="212">
        <f t="shared" si="115"/>
        <v>0</v>
      </c>
      <c r="P142" s="212">
        <f t="shared" si="115"/>
        <v>0</v>
      </c>
      <c r="Q142" s="212">
        <f t="shared" si="115"/>
        <v>0</v>
      </c>
      <c r="R142" s="957"/>
      <c r="S142" s="212">
        <f>SUM(F142:Q142)</f>
        <v>0</v>
      </c>
      <c r="T142" s="216"/>
      <c r="U142" s="216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s="2" customFormat="1">
      <c r="A143" s="216"/>
      <c r="B143" s="217" t="s">
        <v>441</v>
      </c>
      <c r="C143" s="218"/>
      <c r="D143" s="218"/>
      <c r="E143" s="219">
        <f>0</f>
        <v>0</v>
      </c>
      <c r="F143" s="219">
        <f>0</f>
        <v>0</v>
      </c>
      <c r="G143" s="219">
        <f>0</f>
        <v>0</v>
      </c>
      <c r="H143" s="219">
        <f>0</f>
        <v>0</v>
      </c>
      <c r="I143" s="219">
        <f>0</f>
        <v>0</v>
      </c>
      <c r="J143" s="219">
        <f>0</f>
        <v>0</v>
      </c>
      <c r="K143" s="219">
        <f>0</f>
        <v>0</v>
      </c>
      <c r="L143" s="219">
        <f t="shared" ref="L143:Q143" si="116">MIN(L184,L141+L142)</f>
        <v>0</v>
      </c>
      <c r="M143" s="219">
        <f t="shared" si="116"/>
        <v>0</v>
      </c>
      <c r="N143" s="219">
        <f t="shared" si="116"/>
        <v>0</v>
      </c>
      <c r="O143" s="219">
        <f t="shared" si="116"/>
        <v>0</v>
      </c>
      <c r="P143" s="219">
        <f t="shared" si="116"/>
        <v>0</v>
      </c>
      <c r="Q143" s="219">
        <f t="shared" si="116"/>
        <v>0</v>
      </c>
      <c r="R143" s="957"/>
      <c r="S143" s="219">
        <f>SUM(F143:Q143)</f>
        <v>0</v>
      </c>
      <c r="T143" s="216"/>
      <c r="U143" s="216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s="2" customFormat="1">
      <c r="A144" s="216"/>
      <c r="B144" s="184" t="s">
        <v>442</v>
      </c>
      <c r="C144" s="215"/>
      <c r="D144" s="215"/>
      <c r="E144" s="212">
        <f t="shared" ref="E144:I144" si="117">E141+E142-E143</f>
        <v>0</v>
      </c>
      <c r="F144" s="212">
        <f t="shared" si="117"/>
        <v>0</v>
      </c>
      <c r="G144" s="212">
        <f t="shared" si="117"/>
        <v>0</v>
      </c>
      <c r="H144" s="212">
        <f t="shared" si="117"/>
        <v>0</v>
      </c>
      <c r="I144" s="212">
        <f t="shared" si="117"/>
        <v>0</v>
      </c>
      <c r="J144" s="212">
        <f>J94</f>
        <v>2642649181</v>
      </c>
      <c r="K144" s="212">
        <f>K94</f>
        <v>2641566481</v>
      </c>
      <c r="L144" s="212">
        <f t="shared" ref="L144:Q144" si="118">L141+L142-L143</f>
        <v>2641566481</v>
      </c>
      <c r="M144" s="212">
        <f t="shared" si="118"/>
        <v>2641566481</v>
      </c>
      <c r="N144" s="212">
        <f t="shared" si="118"/>
        <v>2641566481</v>
      </c>
      <c r="O144" s="212">
        <f t="shared" si="118"/>
        <v>2641566481</v>
      </c>
      <c r="P144" s="212">
        <f t="shared" si="118"/>
        <v>2641566481</v>
      </c>
      <c r="Q144" s="212">
        <f t="shared" si="118"/>
        <v>2641566481</v>
      </c>
      <c r="R144" s="957"/>
      <c r="S144" s="212">
        <f>Q144</f>
        <v>2641566481</v>
      </c>
      <c r="T144" s="216"/>
      <c r="U144" s="216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s="2" customFormat="1">
      <c r="A145" s="216"/>
      <c r="B145" s="184"/>
      <c r="C145" s="215"/>
      <c r="D145" s="215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957"/>
      <c r="S145" s="81"/>
      <c r="T145" s="216"/>
      <c r="U145" s="216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s="2" customFormat="1">
      <c r="A146" s="682"/>
      <c r="B146" s="497" t="s">
        <v>384</v>
      </c>
      <c r="C146" s="553"/>
      <c r="D146" s="553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3"/>
      <c r="S146" s="554"/>
      <c r="T146" s="682"/>
      <c r="U146" s="682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s="2" customFormat="1">
      <c r="A147" s="216"/>
      <c r="B147" s="184" t="s">
        <v>432</v>
      </c>
      <c r="C147" s="215"/>
      <c r="D147" s="215"/>
      <c r="E147" s="212">
        <f>E99</f>
        <v>1210339000</v>
      </c>
      <c r="F147" s="212">
        <f>E149</f>
        <v>1210339000</v>
      </c>
      <c r="G147" s="212">
        <f>F149</f>
        <v>1210339000</v>
      </c>
      <c r="H147" s="212">
        <f t="shared" ref="H147:Q147" si="119">G149</f>
        <v>1210339000</v>
      </c>
      <c r="I147" s="212">
        <f t="shared" si="119"/>
        <v>1210339000</v>
      </c>
      <c r="J147" s="212">
        <f>I149</f>
        <v>547636362</v>
      </c>
      <c r="K147" s="212">
        <f>J149</f>
        <v>1210339000</v>
      </c>
      <c r="L147" s="212">
        <f t="shared" si="119"/>
        <v>1210339000</v>
      </c>
      <c r="M147" s="212">
        <f t="shared" si="119"/>
        <v>1210339000</v>
      </c>
      <c r="N147" s="212">
        <f t="shared" si="119"/>
        <v>1210339000</v>
      </c>
      <c r="O147" s="212">
        <f t="shared" si="119"/>
        <v>1210339000</v>
      </c>
      <c r="P147" s="212">
        <f t="shared" si="119"/>
        <v>1210339000</v>
      </c>
      <c r="Q147" s="212">
        <f t="shared" si="119"/>
        <v>1210339000</v>
      </c>
      <c r="R147" s="957"/>
      <c r="S147" s="212">
        <f>F147</f>
        <v>1210339000</v>
      </c>
      <c r="T147" s="216"/>
      <c r="U147" s="216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s="2" customFormat="1">
      <c r="A148" s="216"/>
      <c r="B148" s="184" t="s">
        <v>443</v>
      </c>
      <c r="C148" s="215"/>
      <c r="D148" s="215"/>
      <c r="E148" s="185">
        <v>0</v>
      </c>
      <c r="F148" s="212">
        <f>F149-F147</f>
        <v>0</v>
      </c>
      <c r="G148" s="212">
        <f>G149-G147</f>
        <v>0</v>
      </c>
      <c r="H148" s="185">
        <v>0</v>
      </c>
      <c r="I148" s="212">
        <f>I149-I147-I153</f>
        <v>-663408841</v>
      </c>
      <c r="J148" s="212">
        <f>J149-J147</f>
        <v>662702638</v>
      </c>
      <c r="K148" s="212">
        <f>K149-K147</f>
        <v>0</v>
      </c>
      <c r="L148" s="185">
        <v>0</v>
      </c>
      <c r="M148" s="185">
        <v>0</v>
      </c>
      <c r="N148" s="185">
        <v>0</v>
      </c>
      <c r="O148" s="185">
        <v>0</v>
      </c>
      <c r="P148" s="185">
        <v>0</v>
      </c>
      <c r="Q148" s="185">
        <v>0</v>
      </c>
      <c r="R148" s="957"/>
      <c r="S148" s="212">
        <f>SUM(F148:Q148)</f>
        <v>-706203</v>
      </c>
      <c r="T148" s="216"/>
      <c r="U148" s="216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s="2" customFormat="1">
      <c r="A149" s="216"/>
      <c r="B149" s="217" t="s">
        <v>444</v>
      </c>
      <c r="C149" s="218"/>
      <c r="D149" s="218"/>
      <c r="E149" s="219">
        <f>E99</f>
        <v>1210339000</v>
      </c>
      <c r="F149" s="219">
        <f>F99</f>
        <v>1210339000</v>
      </c>
      <c r="G149" s="219">
        <f>G99</f>
        <v>1210339000</v>
      </c>
      <c r="H149" s="219">
        <f t="shared" ref="H149:Q149" si="120">H147+H148</f>
        <v>1210339000</v>
      </c>
      <c r="I149" s="223">
        <f>Inputs!$G$110</f>
        <v>547636362</v>
      </c>
      <c r="J149" s="219">
        <f>J99</f>
        <v>1210339000</v>
      </c>
      <c r="K149" s="219">
        <f>K99</f>
        <v>1210339000</v>
      </c>
      <c r="L149" s="219">
        <f t="shared" si="120"/>
        <v>1210339000</v>
      </c>
      <c r="M149" s="219">
        <f t="shared" si="120"/>
        <v>1210339000</v>
      </c>
      <c r="N149" s="219">
        <f t="shared" si="120"/>
        <v>1210339000</v>
      </c>
      <c r="O149" s="219">
        <f t="shared" si="120"/>
        <v>1210339000</v>
      </c>
      <c r="P149" s="219">
        <f t="shared" si="120"/>
        <v>1210339000</v>
      </c>
      <c r="Q149" s="219">
        <f t="shared" si="120"/>
        <v>1210339000</v>
      </c>
      <c r="R149" s="957"/>
      <c r="S149" s="219">
        <f>Q149</f>
        <v>1210339000</v>
      </c>
      <c r="T149" s="216"/>
      <c r="U149" s="216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s="2" customFormat="1">
      <c r="A150" s="216"/>
      <c r="B150" s="184"/>
      <c r="C150" s="215"/>
      <c r="D150" s="215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957"/>
      <c r="S150" s="81"/>
      <c r="T150" s="216"/>
      <c r="U150" s="216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s="2" customFormat="1">
      <c r="A151" s="682"/>
      <c r="B151" s="497" t="s">
        <v>445</v>
      </c>
      <c r="C151" s="553"/>
      <c r="D151" s="553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3"/>
      <c r="S151" s="554"/>
      <c r="T151" s="682"/>
      <c r="U151" s="682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s="2" customFormat="1">
      <c r="A152" s="216"/>
      <c r="B152" s="184" t="s">
        <v>432</v>
      </c>
      <c r="C152" s="215"/>
      <c r="D152" s="215"/>
      <c r="E152" s="212">
        <f>E100</f>
        <v>1214593000</v>
      </c>
      <c r="F152" s="212">
        <f>E155</f>
        <v>1214593000</v>
      </c>
      <c r="G152" s="212">
        <f>F155</f>
        <v>1278078168</v>
      </c>
      <c r="H152" s="212">
        <f t="shared" ref="H152:Q152" si="121">G155</f>
        <v>1332127083</v>
      </c>
      <c r="I152" s="212">
        <f t="shared" si="121"/>
        <v>1294189076</v>
      </c>
      <c r="J152" s="212">
        <f>I155</f>
        <v>16205401</v>
      </c>
      <c r="K152" s="212">
        <f>J155</f>
        <v>1403270248</v>
      </c>
      <c r="L152" s="212">
        <f t="shared" si="121"/>
        <v>1436613897</v>
      </c>
      <c r="M152" s="212">
        <f t="shared" si="121"/>
        <v>1461320949</v>
      </c>
      <c r="N152" s="212">
        <f t="shared" si="121"/>
        <v>1942918976.5142937</v>
      </c>
      <c r="O152" s="212">
        <f t="shared" si="121"/>
        <v>2483898701.8625088</v>
      </c>
      <c r="P152" s="212">
        <f t="shared" si="121"/>
        <v>3084260763.1164613</v>
      </c>
      <c r="Q152" s="212">
        <f t="shared" si="121"/>
        <v>3733078934.1134357</v>
      </c>
      <c r="R152" s="957"/>
      <c r="S152" s="212">
        <f>F152</f>
        <v>1214593000</v>
      </c>
      <c r="T152" s="216"/>
      <c r="U152" s="216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s="2" customFormat="1">
      <c r="A153" s="216"/>
      <c r="B153" s="184" t="s">
        <v>401</v>
      </c>
      <c r="C153" s="215"/>
      <c r="D153" s="215"/>
      <c r="E153" s="185">
        <v>0</v>
      </c>
      <c r="F153" s="212">
        <f t="shared" ref="F153:Q153" si="122">F70</f>
        <v>63485497</v>
      </c>
      <c r="G153" s="212">
        <f t="shared" si="122"/>
        <v>54048915</v>
      </c>
      <c r="H153" s="212">
        <f t="shared" si="122"/>
        <v>-37938007</v>
      </c>
      <c r="I153" s="222">
        <f>Inputs!$G$155</f>
        <v>706203</v>
      </c>
      <c r="J153" s="212">
        <f>J70</f>
        <v>108374968</v>
      </c>
      <c r="K153" s="212">
        <f>K70</f>
        <v>33343650</v>
      </c>
      <c r="L153" s="212">
        <f t="shared" si="122"/>
        <v>24707052</v>
      </c>
      <c r="M153" s="212">
        <f t="shared" si="122"/>
        <v>481598027.51429355</v>
      </c>
      <c r="N153" s="212">
        <f t="shared" si="122"/>
        <v>540979725.34821498</v>
      </c>
      <c r="O153" s="212">
        <f t="shared" si="122"/>
        <v>600362061.25395238</v>
      </c>
      <c r="P153" s="212">
        <f t="shared" si="122"/>
        <v>648818170.99697471</v>
      </c>
      <c r="Q153" s="212">
        <f t="shared" si="122"/>
        <v>708201751.31999445</v>
      </c>
      <c r="R153" s="957"/>
      <c r="S153" s="212">
        <f>SUM(F153:Q153)</f>
        <v>3226688014.4334302</v>
      </c>
      <c r="T153" s="216"/>
      <c r="U153" s="216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s="2" customFormat="1">
      <c r="A154" s="216"/>
      <c r="B154" s="184" t="s">
        <v>446</v>
      </c>
      <c r="C154" s="215"/>
      <c r="D154" s="215"/>
      <c r="E154" s="185">
        <v>0</v>
      </c>
      <c r="F154" s="185">
        <v>0</v>
      </c>
      <c r="G154" s="185">
        <v>0</v>
      </c>
      <c r="H154" s="185">
        <v>0</v>
      </c>
      <c r="I154" s="185">
        <v>0</v>
      </c>
      <c r="J154" s="185">
        <v>0</v>
      </c>
      <c r="K154" s="185">
        <v>0</v>
      </c>
      <c r="L154" s="185">
        <v>0</v>
      </c>
      <c r="M154" s="185">
        <v>0</v>
      </c>
      <c r="N154" s="185">
        <v>0</v>
      </c>
      <c r="O154" s="185">
        <v>0</v>
      </c>
      <c r="P154" s="185">
        <v>0</v>
      </c>
      <c r="Q154" s="185">
        <v>0</v>
      </c>
      <c r="R154" s="957"/>
      <c r="S154" s="212">
        <f>SUM(F154:Q154)</f>
        <v>0</v>
      </c>
      <c r="T154" s="216"/>
      <c r="U154" s="216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s="2" customFormat="1">
      <c r="A155" s="216"/>
      <c r="B155" s="217" t="s">
        <v>447</v>
      </c>
      <c r="C155" s="218"/>
      <c r="D155" s="218"/>
      <c r="E155" s="219">
        <f>E100</f>
        <v>1214593000</v>
      </c>
      <c r="F155" s="219">
        <f>F100</f>
        <v>1278078168</v>
      </c>
      <c r="G155" s="219">
        <f>G100</f>
        <v>1332127083</v>
      </c>
      <c r="H155" s="219">
        <f t="shared" ref="H155:Q155" si="123">H152+H153-H154</f>
        <v>1294189076</v>
      </c>
      <c r="I155" s="223">
        <f>Inputs!$G$111</f>
        <v>16205401</v>
      </c>
      <c r="J155" s="219">
        <f>J100</f>
        <v>1403270248</v>
      </c>
      <c r="K155" s="219">
        <f>K100</f>
        <v>1436613897</v>
      </c>
      <c r="L155" s="219">
        <f t="shared" si="123"/>
        <v>1461320949</v>
      </c>
      <c r="M155" s="219">
        <f t="shared" si="123"/>
        <v>1942918976.5142937</v>
      </c>
      <c r="N155" s="219">
        <f t="shared" si="123"/>
        <v>2483898701.8625088</v>
      </c>
      <c r="O155" s="219">
        <f t="shared" si="123"/>
        <v>3084260763.1164613</v>
      </c>
      <c r="P155" s="219">
        <f t="shared" si="123"/>
        <v>3733078934.1134357</v>
      </c>
      <c r="Q155" s="219">
        <f t="shared" si="123"/>
        <v>4441280685.4334297</v>
      </c>
      <c r="R155" s="957"/>
      <c r="S155" s="219">
        <f>Q155</f>
        <v>4441280685.4334297</v>
      </c>
      <c r="T155" s="216"/>
      <c r="U155" s="216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>
      <c r="A156" s="674"/>
      <c r="B156" s="184"/>
      <c r="C156" s="215"/>
      <c r="D156" s="215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957"/>
      <c r="S156" s="81"/>
      <c r="T156" s="674"/>
      <c r="U156" s="674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  <c r="AF156" s="729"/>
      <c r="AG156" s="729"/>
      <c r="AH156" s="729"/>
      <c r="AI156" s="729"/>
      <c r="AJ156" s="729"/>
    </row>
    <row r="157" spans="1:36" ht="15" thickBot="1">
      <c r="A157" s="674"/>
      <c r="B157" s="184"/>
      <c r="C157" s="215"/>
      <c r="D157" s="215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957"/>
      <c r="S157" s="81"/>
      <c r="T157" s="674"/>
      <c r="U157" s="674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  <c r="AF157" s="729"/>
      <c r="AG157" s="729"/>
      <c r="AH157" s="729"/>
      <c r="AI157" s="729"/>
      <c r="AJ157" s="729"/>
    </row>
    <row r="158" spans="1:36">
      <c r="A158" s="682"/>
      <c r="B158" s="551" t="s">
        <v>448</v>
      </c>
      <c r="C158" s="551"/>
      <c r="D158" s="551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3"/>
      <c r="S158" s="555"/>
      <c r="T158" s="682"/>
      <c r="U158" s="682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  <c r="AF158" s="729"/>
      <c r="AG158" s="729"/>
      <c r="AH158" s="729"/>
      <c r="AI158" s="729"/>
      <c r="AJ158" s="729"/>
    </row>
    <row r="159" spans="1:36">
      <c r="A159" s="674"/>
      <c r="B159" s="184"/>
      <c r="C159" s="215"/>
      <c r="D159" s="215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957"/>
      <c r="S159" s="81"/>
      <c r="T159" s="674"/>
      <c r="U159" s="674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  <c r="AF159" s="729"/>
      <c r="AG159" s="729"/>
      <c r="AH159" s="729"/>
      <c r="AI159" s="729"/>
      <c r="AJ159" s="729"/>
    </row>
    <row r="160" spans="1:36" ht="30" customHeight="1">
      <c r="A160" s="467"/>
      <c r="B160" s="461"/>
      <c r="C160" s="461"/>
      <c r="D160" s="461"/>
      <c r="E160" s="540">
        <v>2025</v>
      </c>
      <c r="F160" s="538" t="s">
        <v>209</v>
      </c>
      <c r="G160" s="538" t="s">
        <v>324</v>
      </c>
      <c r="H160" s="538" t="s">
        <v>325</v>
      </c>
      <c r="I160" s="538" t="s">
        <v>326</v>
      </c>
      <c r="J160" s="538" t="s">
        <v>327</v>
      </c>
      <c r="K160" s="538" t="s">
        <v>327</v>
      </c>
      <c r="L160" s="538" t="s">
        <v>329</v>
      </c>
      <c r="M160" s="538" t="s">
        <v>330</v>
      </c>
      <c r="N160" s="538" t="s">
        <v>331</v>
      </c>
      <c r="O160" s="538" t="s">
        <v>332</v>
      </c>
      <c r="P160" s="538" t="s">
        <v>333</v>
      </c>
      <c r="Q160" s="538" t="s">
        <v>334</v>
      </c>
      <c r="R160" s="461"/>
      <c r="S160" s="538" t="s">
        <v>16</v>
      </c>
      <c r="T160" s="461"/>
      <c r="U160" s="461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  <c r="AF160" s="729"/>
      <c r="AG160" s="729"/>
      <c r="AH160" s="729"/>
      <c r="AI160" s="729"/>
      <c r="AJ160" s="729"/>
    </row>
    <row r="161" spans="1:36">
      <c r="A161" s="682"/>
      <c r="B161" s="497" t="s">
        <v>449</v>
      </c>
      <c r="C161" s="553"/>
      <c r="D161" s="553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3"/>
      <c r="S161" s="554"/>
      <c r="T161" s="682"/>
      <c r="U161" s="682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  <c r="AF161" s="729"/>
      <c r="AG161" s="729"/>
      <c r="AH161" s="729"/>
      <c r="AI161" s="729"/>
      <c r="AJ161" s="729"/>
    </row>
    <row r="162" spans="1:36">
      <c r="A162" s="674"/>
      <c r="B162" s="184" t="s">
        <v>401</v>
      </c>
      <c r="C162" s="215"/>
      <c r="D162" s="215"/>
      <c r="E162" s="185">
        <v>0</v>
      </c>
      <c r="F162" s="212">
        <f t="shared" ref="F162:Q162" si="124">F70</f>
        <v>63485497</v>
      </c>
      <c r="G162" s="212">
        <f t="shared" si="124"/>
        <v>54048915</v>
      </c>
      <c r="H162" s="212">
        <f t="shared" si="124"/>
        <v>-37938007</v>
      </c>
      <c r="I162" s="212">
        <f t="shared" si="124"/>
        <v>706203</v>
      </c>
      <c r="J162" s="212">
        <f t="shared" si="124"/>
        <v>108374968</v>
      </c>
      <c r="K162" s="212">
        <f t="shared" ref="K162" si="125">K70</f>
        <v>33343650</v>
      </c>
      <c r="L162" s="212">
        <f t="shared" si="124"/>
        <v>24707052</v>
      </c>
      <c r="M162" s="212">
        <f t="shared" si="124"/>
        <v>481598027.51429355</v>
      </c>
      <c r="N162" s="212">
        <f t="shared" si="124"/>
        <v>540979725.34821498</v>
      </c>
      <c r="O162" s="212">
        <f t="shared" si="124"/>
        <v>600362061.25395238</v>
      </c>
      <c r="P162" s="212">
        <f t="shared" si="124"/>
        <v>648818170.99697471</v>
      </c>
      <c r="Q162" s="212">
        <f t="shared" si="124"/>
        <v>708201751.31999445</v>
      </c>
      <c r="R162" s="957"/>
      <c r="S162" s="212">
        <f>SUM(F162:Q162)</f>
        <v>3226688014.4334302</v>
      </c>
      <c r="T162" s="674"/>
      <c r="U162" s="674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  <c r="AF162" s="729"/>
      <c r="AG162" s="729"/>
      <c r="AH162" s="729"/>
      <c r="AI162" s="729"/>
      <c r="AJ162" s="729"/>
    </row>
    <row r="163" spans="1:36">
      <c r="A163" s="682"/>
      <c r="B163" s="497" t="s">
        <v>450</v>
      </c>
      <c r="C163" s="553"/>
      <c r="D163" s="553"/>
      <c r="E163" s="554"/>
      <c r="F163" s="554"/>
      <c r="G163" s="554"/>
      <c r="H163" s="554"/>
      <c r="I163" s="554"/>
      <c r="J163" s="554"/>
      <c r="K163" s="554"/>
      <c r="L163" s="554"/>
      <c r="M163" s="554"/>
      <c r="N163" s="554"/>
      <c r="O163" s="554"/>
      <c r="P163" s="554"/>
      <c r="Q163" s="554"/>
      <c r="R163" s="553"/>
      <c r="S163" s="554"/>
      <c r="T163" s="682"/>
      <c r="U163" s="682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  <c r="AF163" s="729"/>
      <c r="AG163" s="729"/>
      <c r="AH163" s="729"/>
      <c r="AI163" s="729"/>
      <c r="AJ163" s="729"/>
    </row>
    <row r="164" spans="1:36">
      <c r="A164" s="674"/>
      <c r="B164" s="244" t="s">
        <v>451</v>
      </c>
      <c r="C164" s="245"/>
      <c r="D164" s="245"/>
      <c r="E164" s="393">
        <v>0</v>
      </c>
      <c r="F164" s="394">
        <f>-((F79+F81)-(E79+E81))</f>
        <v>212934420</v>
      </c>
      <c r="G164" s="394">
        <f>-((G79+G81)-(F79+F81))</f>
        <v>-234778390</v>
      </c>
      <c r="H164" s="394">
        <f>-((H79+H81)-(G79+G81))</f>
        <v>68580158</v>
      </c>
      <c r="I164" s="394">
        <f t="shared" ref="I164" si="126">-(I79-H79)</f>
        <v>78000110</v>
      </c>
      <c r="J164" s="394">
        <f t="shared" ref="J164:K166" si="127">J216</f>
        <v>-62756988</v>
      </c>
      <c r="K164" s="394">
        <f t="shared" si="127"/>
        <v>-124084410</v>
      </c>
      <c r="L164" s="394">
        <f t="shared" ref="L164:Q166" si="128">L216</f>
        <v>110973187</v>
      </c>
      <c r="M164" s="394">
        <f t="shared" si="128"/>
        <v>-2717695085</v>
      </c>
      <c r="N164" s="394">
        <f t="shared" si="128"/>
        <v>-255963000</v>
      </c>
      <c r="O164" s="394">
        <f t="shared" si="128"/>
        <v>-255963000</v>
      </c>
      <c r="P164" s="394">
        <f t="shared" si="128"/>
        <v>-255963000</v>
      </c>
      <c r="Q164" s="394">
        <f t="shared" si="128"/>
        <v>-255963000</v>
      </c>
      <c r="R164" s="957"/>
      <c r="S164" s="394">
        <f>SUM(F164:Q164)</f>
        <v>-3692678998</v>
      </c>
      <c r="T164" s="674"/>
      <c r="U164" s="674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  <c r="AF164" s="729"/>
      <c r="AG164" s="729"/>
      <c r="AH164" s="729"/>
      <c r="AI164" s="729"/>
      <c r="AJ164" s="729"/>
    </row>
    <row r="165" spans="1:36">
      <c r="A165" s="674"/>
      <c r="B165" s="246" t="s">
        <v>452</v>
      </c>
      <c r="C165" s="247"/>
      <c r="D165" s="247"/>
      <c r="E165" s="395">
        <v>0</v>
      </c>
      <c r="F165" s="396">
        <f>(F88+F91)-(E88+E91)</f>
        <v>3802084</v>
      </c>
      <c r="G165" s="396">
        <f>(G88+G91)-(F88+F91)</f>
        <v>-74042934</v>
      </c>
      <c r="H165" s="396">
        <f>(H88+H91)-(G88+G91)</f>
        <v>-2504439</v>
      </c>
      <c r="I165" s="396">
        <f t="shared" ref="I165" si="129">I88-H88</f>
        <v>8373490</v>
      </c>
      <c r="J165" s="396">
        <f t="shared" si="127"/>
        <v>-61530713</v>
      </c>
      <c r="K165" s="396">
        <f t="shared" si="127"/>
        <v>-18920144</v>
      </c>
      <c r="L165" s="396">
        <f t="shared" si="128"/>
        <v>-79630602</v>
      </c>
      <c r="M165" s="396">
        <f t="shared" si="128"/>
        <v>207276200.72222209</v>
      </c>
      <c r="N165" s="396">
        <f t="shared" si="128"/>
        <v>0</v>
      </c>
      <c r="O165" s="396">
        <f t="shared" si="128"/>
        <v>0</v>
      </c>
      <c r="P165" s="396">
        <f t="shared" si="128"/>
        <v>17383875.600000024</v>
      </c>
      <c r="Q165" s="396">
        <f t="shared" si="128"/>
        <v>0</v>
      </c>
      <c r="R165" s="957"/>
      <c r="S165" s="396">
        <f>SUM(F165:Q165)</f>
        <v>206818.32222211361</v>
      </c>
      <c r="T165" s="674"/>
      <c r="U165" s="674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  <c r="AF165" s="729"/>
      <c r="AG165" s="729"/>
      <c r="AH165" s="729"/>
      <c r="AI165" s="729"/>
      <c r="AJ165" s="729"/>
    </row>
    <row r="166" spans="1:36">
      <c r="A166" s="674"/>
      <c r="B166" s="246" t="s">
        <v>453</v>
      </c>
      <c r="C166" s="247"/>
      <c r="D166" s="247"/>
      <c r="E166" s="395">
        <v>0</v>
      </c>
      <c r="F166" s="396">
        <f>F90-E90</f>
        <v>-25726920</v>
      </c>
      <c r="G166" s="396">
        <f>G90-F90</f>
        <v>-12558380</v>
      </c>
      <c r="H166" s="396">
        <f>H90-G90</f>
        <v>23778884</v>
      </c>
      <c r="I166" s="396">
        <f t="shared" ref="I166" si="130">I90-H90</f>
        <v>-1073939</v>
      </c>
      <c r="J166" s="396">
        <f t="shared" si="127"/>
        <v>-1983229</v>
      </c>
      <c r="K166" s="396">
        <f t="shared" si="127"/>
        <v>812079</v>
      </c>
      <c r="L166" s="396">
        <f t="shared" si="128"/>
        <v>-4096021</v>
      </c>
      <c r="M166" s="396">
        <f t="shared" si="128"/>
        <v>240092540.8153888</v>
      </c>
      <c r="N166" s="396">
        <f t="shared" si="128"/>
        <v>31974760.372111559</v>
      </c>
      <c r="O166" s="396">
        <f t="shared" si="128"/>
        <v>31975103.949243188</v>
      </c>
      <c r="P166" s="396">
        <f t="shared" si="128"/>
        <v>26091751.400088966</v>
      </c>
      <c r="Q166" s="396">
        <f t="shared" si="128"/>
        <v>31975774.02008754</v>
      </c>
      <c r="R166" s="957"/>
      <c r="S166" s="396">
        <f>SUM(F166:Q166)</f>
        <v>341262404.55692005</v>
      </c>
      <c r="T166" s="674"/>
      <c r="U166" s="674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  <c r="AF166" s="729"/>
      <c r="AG166" s="729"/>
      <c r="AH166" s="729"/>
      <c r="AI166" s="729"/>
      <c r="AJ166" s="729"/>
    </row>
    <row r="167" spans="1:36">
      <c r="A167" s="674"/>
      <c r="B167" s="240" t="s">
        <v>454</v>
      </c>
      <c r="C167" s="241"/>
      <c r="D167" s="241"/>
      <c r="E167" s="397">
        <v>0</v>
      </c>
      <c r="F167" s="392">
        <f>F60</f>
        <v>0</v>
      </c>
      <c r="G167" s="392">
        <f>G60</f>
        <v>0</v>
      </c>
      <c r="H167" s="392">
        <f>H60</f>
        <v>0</v>
      </c>
      <c r="I167" s="392">
        <f t="shared" ref="I167:Q167" si="131">-I125</f>
        <v>3718833.3666666667</v>
      </c>
      <c r="J167" s="392">
        <f t="shared" si="131"/>
        <v>57217015.916666664</v>
      </c>
      <c r="K167" s="392">
        <f t="shared" ref="K167" si="132">-K125</f>
        <v>3766258.5666666669</v>
      </c>
      <c r="L167" s="392">
        <f t="shared" si="131"/>
        <v>3766258.5666666669</v>
      </c>
      <c r="M167" s="392">
        <f t="shared" si="131"/>
        <v>3826155.7905555558</v>
      </c>
      <c r="N167" s="392">
        <f t="shared" si="131"/>
        <v>3885054.7273796294</v>
      </c>
      <c r="O167" s="392">
        <f t="shared" si="131"/>
        <v>3942972.0152566358</v>
      </c>
      <c r="P167" s="392">
        <f t="shared" si="131"/>
        <v>3999924.0150023582</v>
      </c>
      <c r="Q167" s="392">
        <f t="shared" si="131"/>
        <v>4055926.8147523189</v>
      </c>
      <c r="R167" s="957"/>
      <c r="S167" s="392">
        <f>SUM(F167:Q167)</f>
        <v>88178399.779613167</v>
      </c>
      <c r="T167" s="674"/>
      <c r="U167" s="674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  <c r="AF167" s="729"/>
      <c r="AG167" s="729"/>
      <c r="AH167" s="729"/>
      <c r="AI167" s="729"/>
      <c r="AJ167" s="729"/>
    </row>
    <row r="168" spans="1:36">
      <c r="A168" s="674"/>
      <c r="B168" s="193" t="s">
        <v>455</v>
      </c>
      <c r="C168" s="982"/>
      <c r="D168" s="982"/>
      <c r="E168" s="863">
        <v>0</v>
      </c>
      <c r="F168" s="226">
        <f>F162+F164+F165+F166+F167</f>
        <v>254495081</v>
      </c>
      <c r="G168" s="226">
        <f t="shared" ref="G168:I168" si="133">G162+G164+G165+G166+G167</f>
        <v>-267330789</v>
      </c>
      <c r="H168" s="226">
        <f t="shared" si="133"/>
        <v>51916596</v>
      </c>
      <c r="I168" s="226">
        <f t="shared" si="133"/>
        <v>89724697.36666666</v>
      </c>
      <c r="J168" s="226">
        <f>SUM(J162,J164:J167)</f>
        <v>39321053.916666664</v>
      </c>
      <c r="K168" s="226">
        <f>SUM(K162,K164:K167)</f>
        <v>-105082566.43333334</v>
      </c>
      <c r="L168" s="226">
        <f t="shared" ref="L168:Q168" si="134">SUM(L162,L164:L167)</f>
        <v>55719874.56666667</v>
      </c>
      <c r="M168" s="226">
        <f t="shared" si="134"/>
        <v>-1784902160.1575398</v>
      </c>
      <c r="N168" s="226">
        <f t="shared" si="134"/>
        <v>320876540.44770616</v>
      </c>
      <c r="O168" s="226">
        <f t="shared" si="134"/>
        <v>380317137.21845222</v>
      </c>
      <c r="P168" s="226">
        <f t="shared" si="134"/>
        <v>440330722.01206607</v>
      </c>
      <c r="Q168" s="226">
        <f t="shared" si="134"/>
        <v>488270452.15483433</v>
      </c>
      <c r="R168" s="957"/>
      <c r="S168" s="226">
        <f>SUM(F168:Q168)</f>
        <v>-36343360.907814264</v>
      </c>
      <c r="T168" s="674"/>
      <c r="U168" s="674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  <c r="AF168" s="729"/>
      <c r="AG168" s="729"/>
      <c r="AH168" s="729"/>
      <c r="AI168" s="729"/>
      <c r="AJ168" s="729"/>
    </row>
    <row r="169" spans="1:36">
      <c r="A169" s="674"/>
      <c r="B169" s="184"/>
      <c r="C169" s="215"/>
      <c r="D169" s="215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957"/>
      <c r="S169" s="81"/>
      <c r="T169" s="674"/>
      <c r="U169" s="674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  <c r="AF169" s="729"/>
      <c r="AG169" s="729"/>
      <c r="AH169" s="729"/>
      <c r="AI169" s="729"/>
      <c r="AJ169" s="729"/>
    </row>
    <row r="170" spans="1:36">
      <c r="A170" s="682"/>
      <c r="B170" s="497" t="s">
        <v>456</v>
      </c>
      <c r="C170" s="553"/>
      <c r="D170" s="553"/>
      <c r="E170" s="1000"/>
      <c r="F170" s="1000"/>
      <c r="G170" s="1000"/>
      <c r="H170" s="1000"/>
      <c r="I170" s="1000"/>
      <c r="J170" s="1000"/>
      <c r="K170" s="1000"/>
      <c r="L170" s="1000"/>
      <c r="M170" s="1000"/>
      <c r="N170" s="1000"/>
      <c r="O170" s="1000"/>
      <c r="P170" s="1000"/>
      <c r="Q170" s="1000"/>
      <c r="R170" s="553"/>
      <c r="S170" s="1000"/>
      <c r="T170" s="682"/>
      <c r="U170" s="682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  <c r="AF170" s="729"/>
      <c r="AG170" s="729"/>
      <c r="AH170" s="729"/>
      <c r="AI170" s="729"/>
      <c r="AJ170" s="729"/>
    </row>
    <row r="171" spans="1:36">
      <c r="A171" s="674"/>
      <c r="B171" s="220" t="s">
        <v>457</v>
      </c>
      <c r="C171" s="221"/>
      <c r="D171" s="221"/>
      <c r="E171" s="398">
        <v>0</v>
      </c>
      <c r="F171" s="399">
        <f>-((F80+F83+F84)-(E80+E83+E84))</f>
        <v>-7880549</v>
      </c>
      <c r="G171" s="399">
        <f>-((G80+G83+G84)-(F80+F83+F84))</f>
        <v>-6729228</v>
      </c>
      <c r="H171" s="399">
        <f>-((H80+H83+H84)-(G80+G83+G84))</f>
        <v>-985518</v>
      </c>
      <c r="I171" s="399">
        <f t="shared" ref="I171" si="135">-I124</f>
        <v>-3213609786.3666668</v>
      </c>
      <c r="J171" s="399">
        <f>-J124</f>
        <v>3149828425.0833335</v>
      </c>
      <c r="K171" s="399">
        <f>-K124</f>
        <v>-3766258.5666666669</v>
      </c>
      <c r="L171" s="399">
        <f t="shared" ref="L171:Q171" si="136">-L124</f>
        <v>-7360092</v>
      </c>
      <c r="M171" s="399">
        <f t="shared" si="136"/>
        <v>-7360092</v>
      </c>
      <c r="N171" s="399">
        <f t="shared" si="136"/>
        <v>-7360092</v>
      </c>
      <c r="O171" s="399">
        <f t="shared" si="136"/>
        <v>-7360092</v>
      </c>
      <c r="P171" s="399">
        <f t="shared" si="136"/>
        <v>-7360092</v>
      </c>
      <c r="Q171" s="399">
        <f t="shared" si="136"/>
        <v>-7360092</v>
      </c>
      <c r="R171" s="957"/>
      <c r="S171" s="399">
        <f>SUM(F171:Q171)</f>
        <v>-127303466.84999996</v>
      </c>
      <c r="T171" s="674"/>
      <c r="U171" s="674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  <c r="AF171" s="729"/>
      <c r="AG171" s="729"/>
      <c r="AH171" s="729"/>
      <c r="AI171" s="729"/>
      <c r="AJ171" s="729"/>
    </row>
    <row r="172" spans="1:36">
      <c r="A172" s="674"/>
      <c r="B172" s="184"/>
      <c r="C172" s="215"/>
      <c r="D172" s="215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957"/>
      <c r="S172" s="81"/>
      <c r="T172" s="674"/>
      <c r="U172" s="674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  <c r="AF172" s="729"/>
      <c r="AG172" s="729"/>
      <c r="AH172" s="729"/>
      <c r="AI172" s="729"/>
      <c r="AJ172" s="729"/>
    </row>
    <row r="173" spans="1:36">
      <c r="A173" s="682"/>
      <c r="B173" s="497" t="s">
        <v>458</v>
      </c>
      <c r="C173" s="553"/>
      <c r="D173" s="553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3"/>
      <c r="S173" s="554"/>
      <c r="T173" s="682"/>
      <c r="U173" s="682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  <c r="AF173" s="729"/>
      <c r="AG173" s="729"/>
      <c r="AH173" s="729"/>
      <c r="AI173" s="729"/>
      <c r="AJ173" s="729"/>
    </row>
    <row r="174" spans="1:36">
      <c r="A174" s="674"/>
      <c r="B174" s="236" t="s">
        <v>459</v>
      </c>
      <c r="C174" s="237"/>
      <c r="D174" s="237"/>
      <c r="E174" s="400">
        <v>0</v>
      </c>
      <c r="F174" s="390">
        <f t="shared" ref="F174:I174" si="137">(F88+F94)-(E88+E94)</f>
        <v>-17231358</v>
      </c>
      <c r="G174" s="390">
        <f t="shared" si="137"/>
        <v>5694513</v>
      </c>
      <c r="H174" s="390">
        <f t="shared" si="137"/>
        <v>23825706</v>
      </c>
      <c r="I174" s="390">
        <f t="shared" si="137"/>
        <v>13700090</v>
      </c>
      <c r="J174" s="390">
        <f>(J88+J94)-(I88+I94)</f>
        <v>-18780003</v>
      </c>
      <c r="K174" s="390">
        <f>(K88+K94)-(J88+J94)</f>
        <v>-17168520</v>
      </c>
      <c r="L174" s="390">
        <f t="shared" ref="L174:Q174" si="138">(L88+L94)-(K88+K94)</f>
        <v>21272048</v>
      </c>
      <c r="M174" s="390">
        <f t="shared" si="138"/>
        <v>2620515233</v>
      </c>
      <c r="N174" s="390">
        <f t="shared" si="138"/>
        <v>0</v>
      </c>
      <c r="O174" s="390">
        <f t="shared" si="138"/>
        <v>0</v>
      </c>
      <c r="P174" s="390">
        <f t="shared" si="138"/>
        <v>0</v>
      </c>
      <c r="Q174" s="390">
        <f t="shared" si="138"/>
        <v>0</v>
      </c>
      <c r="R174" s="957"/>
      <c r="S174" s="390">
        <f>SUM(F174:Q174)</f>
        <v>2631827709</v>
      </c>
      <c r="T174" s="674"/>
      <c r="U174" s="674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  <c r="AF174" s="729"/>
      <c r="AG174" s="729"/>
      <c r="AH174" s="729"/>
      <c r="AI174" s="729"/>
      <c r="AJ174" s="729"/>
    </row>
    <row r="175" spans="1:36">
      <c r="A175" s="674"/>
      <c r="B175" s="246" t="s">
        <v>460</v>
      </c>
      <c r="C175" s="247"/>
      <c r="D175" s="247"/>
      <c r="E175" s="395">
        <v>0</v>
      </c>
      <c r="F175" s="396">
        <f t="shared" ref="F175:Q175" si="139">-F154</f>
        <v>0</v>
      </c>
      <c r="G175" s="396">
        <f t="shared" si="139"/>
        <v>0</v>
      </c>
      <c r="H175" s="396">
        <f t="shared" si="139"/>
        <v>0</v>
      </c>
      <c r="I175" s="396">
        <f t="shared" si="139"/>
        <v>0</v>
      </c>
      <c r="J175" s="396">
        <f t="shared" si="139"/>
        <v>0</v>
      </c>
      <c r="K175" s="396">
        <f t="shared" ref="K175" si="140">-K154</f>
        <v>0</v>
      </c>
      <c r="L175" s="396">
        <f t="shared" si="139"/>
        <v>0</v>
      </c>
      <c r="M175" s="396">
        <f t="shared" si="139"/>
        <v>0</v>
      </c>
      <c r="N175" s="396">
        <f t="shared" si="139"/>
        <v>0</v>
      </c>
      <c r="O175" s="396">
        <f t="shared" si="139"/>
        <v>0</v>
      </c>
      <c r="P175" s="396">
        <f t="shared" si="139"/>
        <v>0</v>
      </c>
      <c r="Q175" s="396">
        <f t="shared" si="139"/>
        <v>0</v>
      </c>
      <c r="R175" s="957"/>
      <c r="S175" s="396">
        <f>SUM(F175:Q175)</f>
        <v>0</v>
      </c>
      <c r="T175" s="674"/>
      <c r="U175" s="674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  <c r="AF175" s="729"/>
      <c r="AG175" s="729"/>
      <c r="AH175" s="729"/>
      <c r="AI175" s="729"/>
      <c r="AJ175" s="729"/>
    </row>
    <row r="176" spans="1:36">
      <c r="A176" s="674"/>
      <c r="B176" s="248" t="s">
        <v>461</v>
      </c>
      <c r="C176" s="249"/>
      <c r="D176" s="249"/>
      <c r="E176" s="90"/>
      <c r="F176" s="401">
        <f t="shared" ref="F176:Q176" si="141">F148</f>
        <v>0</v>
      </c>
      <c r="G176" s="401">
        <f t="shared" si="141"/>
        <v>0</v>
      </c>
      <c r="H176" s="401">
        <f t="shared" si="141"/>
        <v>0</v>
      </c>
      <c r="I176" s="401">
        <f t="shared" si="141"/>
        <v>-663408841</v>
      </c>
      <c r="J176" s="401">
        <f t="shared" si="141"/>
        <v>662702638</v>
      </c>
      <c r="K176" s="401">
        <f t="shared" ref="K176" si="142">K148</f>
        <v>0</v>
      </c>
      <c r="L176" s="401">
        <f t="shared" si="141"/>
        <v>0</v>
      </c>
      <c r="M176" s="401">
        <f t="shared" si="141"/>
        <v>0</v>
      </c>
      <c r="N176" s="401">
        <f t="shared" si="141"/>
        <v>0</v>
      </c>
      <c r="O176" s="401">
        <f t="shared" si="141"/>
        <v>0</v>
      </c>
      <c r="P176" s="401">
        <f t="shared" si="141"/>
        <v>0</v>
      </c>
      <c r="Q176" s="401">
        <f t="shared" si="141"/>
        <v>0</v>
      </c>
      <c r="R176" s="957"/>
      <c r="S176" s="401">
        <f>SUM(F176:Q176)</f>
        <v>-706203</v>
      </c>
      <c r="T176" s="674"/>
      <c r="U176" s="674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  <c r="AF176" s="729"/>
      <c r="AG176" s="729"/>
      <c r="AH176" s="729"/>
      <c r="AI176" s="729"/>
      <c r="AJ176" s="729"/>
    </row>
    <row r="177" spans="1:36">
      <c r="A177" s="674"/>
      <c r="B177" s="184"/>
      <c r="C177" s="215"/>
      <c r="D177" s="215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957"/>
      <c r="S177" s="81"/>
      <c r="T177" s="674"/>
      <c r="U177" s="674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  <c r="AF177" s="729"/>
      <c r="AG177" s="729"/>
      <c r="AH177" s="729"/>
      <c r="AI177" s="729"/>
      <c r="AJ177" s="729"/>
    </row>
    <row r="178" spans="1:36">
      <c r="A178" s="674"/>
      <c r="B178" s="184" t="s">
        <v>462</v>
      </c>
      <c r="C178" s="215"/>
      <c r="D178" s="215"/>
      <c r="E178" s="185">
        <v>0</v>
      </c>
      <c r="F178" s="212">
        <f t="shared" ref="F178:I178" si="143">E78</f>
        <v>231459000</v>
      </c>
      <c r="G178" s="212">
        <f t="shared" si="143"/>
        <v>425594626</v>
      </c>
      <c r="H178" s="212">
        <f t="shared" si="143"/>
        <v>120301539</v>
      </c>
      <c r="I178" s="212">
        <f t="shared" si="143"/>
        <v>269488711</v>
      </c>
      <c r="J178" s="212">
        <f>I186</f>
        <v>357757161</v>
      </c>
      <c r="K178" s="212">
        <f>J186</f>
        <v>244822345</v>
      </c>
      <c r="L178" s="212">
        <f t="shared" ref="L178:Q178" si="144">K186</f>
        <v>115441362</v>
      </c>
      <c r="M178" s="212">
        <f t="shared" si="144"/>
        <v>174266926</v>
      </c>
      <c r="N178" s="212">
        <f t="shared" si="144"/>
        <v>-1617995326.1575398</v>
      </c>
      <c r="O178" s="212">
        <f t="shared" si="144"/>
        <v>-1304478877.7098336</v>
      </c>
      <c r="P178" s="212">
        <f t="shared" si="144"/>
        <v>-931521832.49138141</v>
      </c>
      <c r="Q178" s="212">
        <f t="shared" si="144"/>
        <v>-498551202.47931534</v>
      </c>
      <c r="R178" s="957"/>
      <c r="S178" s="212">
        <f>F178</f>
        <v>231459000</v>
      </c>
      <c r="T178" s="674"/>
      <c r="U178" s="674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  <c r="AF178" s="729"/>
      <c r="AG178" s="729"/>
      <c r="AH178" s="729"/>
      <c r="AI178" s="729"/>
      <c r="AJ178" s="729"/>
    </row>
    <row r="179" spans="1:36">
      <c r="A179" s="674"/>
      <c r="B179" s="184" t="s">
        <v>463</v>
      </c>
      <c r="C179" s="215"/>
      <c r="D179" s="215"/>
      <c r="E179" s="185">
        <v>0</v>
      </c>
      <c r="F179" s="212">
        <f>F168+F171+F174+F175+F176</f>
        <v>229383174</v>
      </c>
      <c r="G179" s="212">
        <f>G168+G171+G174+G175+G176</f>
        <v>-268365504</v>
      </c>
      <c r="H179" s="212">
        <f>H168+H171+H174+H175+H176</f>
        <v>74756784</v>
      </c>
      <c r="I179" s="212">
        <f>I168+I171+I174+I175+I176</f>
        <v>-3773593840</v>
      </c>
      <c r="J179" s="212">
        <f>J186-J178</f>
        <v>-112934816</v>
      </c>
      <c r="K179" s="212">
        <f>K186-K178</f>
        <v>-129380983</v>
      </c>
      <c r="L179" s="212">
        <f t="shared" ref="L179:Q179" si="145">L168+L171+L132+(L94-K94)+L175+L176</f>
        <v>48580582.56666667</v>
      </c>
      <c r="M179" s="212">
        <f t="shared" si="145"/>
        <v>-1792262252.1575398</v>
      </c>
      <c r="N179" s="212">
        <f t="shared" si="145"/>
        <v>313516448.44770616</v>
      </c>
      <c r="O179" s="212">
        <f t="shared" si="145"/>
        <v>372957045.21845222</v>
      </c>
      <c r="P179" s="212">
        <f t="shared" si="145"/>
        <v>432970630.01206607</v>
      </c>
      <c r="Q179" s="212">
        <f t="shared" si="145"/>
        <v>480910360.15483433</v>
      </c>
      <c r="R179" s="957"/>
      <c r="S179" s="212">
        <f>SUM(F179:Q179)</f>
        <v>-4123462370.7578149</v>
      </c>
      <c r="T179" s="674"/>
      <c r="U179" s="674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  <c r="AF179" s="729"/>
      <c r="AG179" s="729"/>
      <c r="AH179" s="729"/>
      <c r="AI179" s="729"/>
      <c r="AJ179" s="729"/>
    </row>
    <row r="180" spans="1:36">
      <c r="A180" s="674"/>
      <c r="B180" s="229" t="s">
        <v>464</v>
      </c>
      <c r="C180" s="230"/>
      <c r="D180" s="230"/>
      <c r="E180" s="231">
        <f>E78</f>
        <v>231459000</v>
      </c>
      <c r="F180" s="231">
        <f t="shared" ref="F180:I180" si="146">F178+F179</f>
        <v>460842174</v>
      </c>
      <c r="G180" s="231">
        <f t="shared" si="146"/>
        <v>157229122</v>
      </c>
      <c r="H180" s="231">
        <f t="shared" si="146"/>
        <v>195058323</v>
      </c>
      <c r="I180" s="231">
        <f t="shared" si="146"/>
        <v>-3504105129</v>
      </c>
      <c r="J180" s="231">
        <f>J178+J179</f>
        <v>244822345</v>
      </c>
      <c r="K180" s="231">
        <f>K178+K179</f>
        <v>115441362</v>
      </c>
      <c r="L180" s="231">
        <f t="shared" ref="L180:Q180" si="147">L178+L179</f>
        <v>164021944.56666666</v>
      </c>
      <c r="M180" s="231">
        <f t="shared" si="147"/>
        <v>-1617995326.1575398</v>
      </c>
      <c r="N180" s="231">
        <f t="shared" si="147"/>
        <v>-1304478877.7098336</v>
      </c>
      <c r="O180" s="231">
        <f t="shared" si="147"/>
        <v>-931521832.49138141</v>
      </c>
      <c r="P180" s="231">
        <f t="shared" si="147"/>
        <v>-498551202.47931534</v>
      </c>
      <c r="Q180" s="231">
        <f t="shared" si="147"/>
        <v>-17640842.32448101</v>
      </c>
      <c r="R180" s="957"/>
      <c r="S180" s="231">
        <f>Q180</f>
        <v>-17640842.32448101</v>
      </c>
      <c r="T180" s="674"/>
      <c r="U180" s="674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  <c r="AF180" s="729"/>
      <c r="AG180" s="729"/>
      <c r="AH180" s="729"/>
      <c r="AI180" s="729"/>
      <c r="AJ180" s="729"/>
    </row>
    <row r="181" spans="1:36" ht="15" thickBot="1">
      <c r="A181" s="674"/>
      <c r="B181" s="691"/>
      <c r="C181" s="674"/>
      <c r="D181" s="674"/>
      <c r="E181" s="965"/>
      <c r="F181" s="965"/>
      <c r="G181" s="965"/>
      <c r="H181" s="965"/>
      <c r="I181" s="965"/>
      <c r="J181" s="965"/>
      <c r="K181" s="965"/>
      <c r="L181" s="965"/>
      <c r="M181" s="965"/>
      <c r="N181" s="965"/>
      <c r="O181" s="965"/>
      <c r="P181" s="965"/>
      <c r="Q181" s="965"/>
      <c r="R181" s="957"/>
      <c r="S181" s="965"/>
      <c r="T181" s="674"/>
      <c r="U181" s="674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  <c r="AF181" s="729"/>
      <c r="AG181" s="729"/>
      <c r="AH181" s="729"/>
      <c r="AI181" s="729"/>
      <c r="AJ181" s="729"/>
    </row>
    <row r="182" spans="1:36">
      <c r="A182" s="682"/>
      <c r="B182" s="551" t="s">
        <v>465</v>
      </c>
      <c r="C182" s="977"/>
      <c r="D182" s="977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5"/>
      <c r="P182" s="555"/>
      <c r="Q182" s="555"/>
      <c r="R182" s="553"/>
      <c r="S182" s="555"/>
      <c r="T182" s="682"/>
      <c r="U182" s="682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  <c r="AF182" s="729"/>
      <c r="AG182" s="729"/>
      <c r="AH182" s="729"/>
      <c r="AI182" s="729"/>
      <c r="AJ182" s="729"/>
    </row>
    <row r="183" spans="1:36">
      <c r="A183" s="674"/>
      <c r="B183" s="184" t="s">
        <v>466</v>
      </c>
      <c r="C183" s="674"/>
      <c r="D183" s="674"/>
      <c r="E183" s="212">
        <f t="shared" ref="E183:Q183" si="148">$E$32</f>
        <v>231459000</v>
      </c>
      <c r="F183" s="212">
        <f t="shared" si="148"/>
        <v>231459000</v>
      </c>
      <c r="G183" s="212">
        <f t="shared" si="148"/>
        <v>231459000</v>
      </c>
      <c r="H183" s="212">
        <f t="shared" si="148"/>
        <v>231459000</v>
      </c>
      <c r="I183" s="212">
        <f t="shared" si="148"/>
        <v>231459000</v>
      </c>
      <c r="J183" s="212">
        <f t="shared" si="148"/>
        <v>231459000</v>
      </c>
      <c r="K183" s="212">
        <f t="shared" si="148"/>
        <v>231459000</v>
      </c>
      <c r="L183" s="212">
        <f t="shared" si="148"/>
        <v>231459000</v>
      </c>
      <c r="M183" s="212">
        <f t="shared" si="148"/>
        <v>231459000</v>
      </c>
      <c r="N183" s="212">
        <f t="shared" si="148"/>
        <v>231459000</v>
      </c>
      <c r="O183" s="212">
        <f t="shared" si="148"/>
        <v>231459000</v>
      </c>
      <c r="P183" s="212">
        <f t="shared" si="148"/>
        <v>231459000</v>
      </c>
      <c r="Q183" s="212">
        <f t="shared" si="148"/>
        <v>231459000</v>
      </c>
      <c r="R183" s="957"/>
      <c r="S183" s="212">
        <f>$E$32</f>
        <v>231459000</v>
      </c>
      <c r="T183" s="674"/>
      <c r="U183" s="674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  <c r="AF183" s="729"/>
      <c r="AG183" s="729"/>
      <c r="AH183" s="729"/>
      <c r="AI183" s="729"/>
      <c r="AJ183" s="729"/>
    </row>
    <row r="184" spans="1:36">
      <c r="A184" s="674"/>
      <c r="B184" s="184" t="s">
        <v>467</v>
      </c>
      <c r="C184" s="674"/>
      <c r="D184" s="674"/>
      <c r="E184" s="212">
        <f t="shared" ref="E184:Q184" si="149">MAX(0,E180-$E$32)</f>
        <v>0</v>
      </c>
      <c r="F184" s="212">
        <f t="shared" si="149"/>
        <v>229383174</v>
      </c>
      <c r="G184" s="212">
        <f t="shared" si="149"/>
        <v>0</v>
      </c>
      <c r="H184" s="212">
        <f t="shared" si="149"/>
        <v>0</v>
      </c>
      <c r="I184" s="212">
        <f t="shared" si="149"/>
        <v>0</v>
      </c>
      <c r="J184" s="212">
        <f>MAX(0,J180-$E$32)</f>
        <v>13363345</v>
      </c>
      <c r="K184" s="212">
        <f>MAX(0,K180-$E$32)</f>
        <v>0</v>
      </c>
      <c r="L184" s="212">
        <f t="shared" si="149"/>
        <v>0</v>
      </c>
      <c r="M184" s="212">
        <f t="shared" si="149"/>
        <v>0</v>
      </c>
      <c r="N184" s="212">
        <f t="shared" si="149"/>
        <v>0</v>
      </c>
      <c r="O184" s="212">
        <f t="shared" si="149"/>
        <v>0</v>
      </c>
      <c r="P184" s="212">
        <f t="shared" si="149"/>
        <v>0</v>
      </c>
      <c r="Q184" s="212">
        <f t="shared" si="149"/>
        <v>0</v>
      </c>
      <c r="R184" s="957"/>
      <c r="S184" s="212">
        <f>SUM(J184:Q184)</f>
        <v>13363345</v>
      </c>
      <c r="T184" s="674"/>
      <c r="U184" s="674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  <c r="AF184" s="729"/>
      <c r="AG184" s="729"/>
      <c r="AH184" s="729"/>
      <c r="AI184" s="729"/>
      <c r="AJ184" s="729"/>
    </row>
    <row r="185" spans="1:36">
      <c r="A185" s="674"/>
      <c r="B185" s="229" t="s">
        <v>468</v>
      </c>
      <c r="C185" s="1001"/>
      <c r="D185" s="1001"/>
      <c r="E185" s="231">
        <f t="shared" ref="E185:Q185" si="150">MAX(0,$E$32-E180)</f>
        <v>0</v>
      </c>
      <c r="F185" s="231">
        <f t="shared" si="150"/>
        <v>0</v>
      </c>
      <c r="G185" s="231">
        <f t="shared" si="150"/>
        <v>74229878</v>
      </c>
      <c r="H185" s="231">
        <f t="shared" si="150"/>
        <v>36400677</v>
      </c>
      <c r="I185" s="231">
        <f t="shared" si="150"/>
        <v>3735564129</v>
      </c>
      <c r="J185" s="231">
        <f>MAX(0,$E$32-J180)</f>
        <v>0</v>
      </c>
      <c r="K185" s="231">
        <f>MAX(0,$E$32-K180)</f>
        <v>116017638</v>
      </c>
      <c r="L185" s="231">
        <f t="shared" si="150"/>
        <v>67437055.433333337</v>
      </c>
      <c r="M185" s="231">
        <f t="shared" si="150"/>
        <v>1849454326.1575398</v>
      </c>
      <c r="N185" s="231">
        <f t="shared" si="150"/>
        <v>1535937877.7098336</v>
      </c>
      <c r="O185" s="231">
        <f t="shared" si="150"/>
        <v>1162980832.4913814</v>
      </c>
      <c r="P185" s="231">
        <f t="shared" si="150"/>
        <v>730010202.47931528</v>
      </c>
      <c r="Q185" s="231">
        <f t="shared" si="150"/>
        <v>249099842.32448101</v>
      </c>
      <c r="R185" s="957"/>
      <c r="S185" s="231">
        <f>SUM(J185:Q185)</f>
        <v>5710937774.5958853</v>
      </c>
      <c r="T185" s="674"/>
      <c r="U185" s="674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  <c r="AF185" s="729"/>
      <c r="AG185" s="729"/>
      <c r="AH185" s="729"/>
      <c r="AI185" s="729"/>
      <c r="AJ185" s="729"/>
    </row>
    <row r="186" spans="1:36" ht="15" thickBot="1">
      <c r="A186" s="674"/>
      <c r="B186" s="250" t="s">
        <v>469</v>
      </c>
      <c r="C186" s="674"/>
      <c r="D186" s="674"/>
      <c r="E186" s="226">
        <f>E180-E143+E142</f>
        <v>231459000</v>
      </c>
      <c r="F186" s="226">
        <f>F180-F143+F142</f>
        <v>460842174</v>
      </c>
      <c r="G186" s="226">
        <f>G180-G143+G142</f>
        <v>157229122</v>
      </c>
      <c r="H186" s="226">
        <f>H180-H143+H142</f>
        <v>195058323</v>
      </c>
      <c r="I186" s="226">
        <f>I78</f>
        <v>357757161</v>
      </c>
      <c r="J186" s="226">
        <f>J78</f>
        <v>244822345</v>
      </c>
      <c r="K186" s="226">
        <f>K78</f>
        <v>115441362</v>
      </c>
      <c r="L186" s="226">
        <f>L78</f>
        <v>174266926</v>
      </c>
      <c r="M186" s="226">
        <f>M180-M143+M142</f>
        <v>-1617995326.1575398</v>
      </c>
      <c r="N186" s="226">
        <f t="shared" ref="L186:Q186" si="151">N180-N143+N142</f>
        <v>-1304478877.7098336</v>
      </c>
      <c r="O186" s="226">
        <f t="shared" si="151"/>
        <v>-931521832.49138141</v>
      </c>
      <c r="P186" s="226">
        <f t="shared" si="151"/>
        <v>-498551202.47931534</v>
      </c>
      <c r="Q186" s="226">
        <f t="shared" si="151"/>
        <v>-17640842.32448101</v>
      </c>
      <c r="R186" s="957"/>
      <c r="S186" s="226">
        <f>Q186</f>
        <v>-17640842.32448101</v>
      </c>
      <c r="T186" s="674"/>
      <c r="U186" s="674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  <c r="AF186" s="729"/>
      <c r="AG186" s="729"/>
      <c r="AH186" s="729"/>
      <c r="AI186" s="729"/>
      <c r="AJ186" s="729"/>
    </row>
    <row r="187" spans="1:36">
      <c r="A187" s="682"/>
      <c r="B187" s="551" t="s">
        <v>470</v>
      </c>
      <c r="C187" s="977"/>
      <c r="D187" s="977"/>
      <c r="E187" s="552"/>
      <c r="F187" s="552"/>
      <c r="G187" s="552"/>
      <c r="H187" s="552"/>
      <c r="I187" s="552"/>
      <c r="J187" s="552"/>
      <c r="K187" s="552"/>
      <c r="L187" s="552"/>
      <c r="M187" s="552"/>
      <c r="N187" s="552"/>
      <c r="O187" s="552"/>
      <c r="P187" s="552"/>
      <c r="Q187" s="552"/>
      <c r="R187" s="553"/>
      <c r="S187" s="552"/>
      <c r="T187" s="682"/>
      <c r="U187" s="682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  <c r="AF187" s="729"/>
      <c r="AG187" s="729"/>
      <c r="AH187" s="729"/>
      <c r="AI187" s="729"/>
      <c r="AJ187" s="729"/>
    </row>
    <row r="188" spans="1:36">
      <c r="A188" s="674"/>
      <c r="B188" s="691"/>
      <c r="C188" s="674"/>
      <c r="D188" s="674"/>
      <c r="E188" s="957"/>
      <c r="F188" s="957"/>
      <c r="G188" s="957"/>
      <c r="H188" s="957"/>
      <c r="I188" s="957"/>
      <c r="J188" s="957"/>
      <c r="K188" s="957"/>
      <c r="L188" s="957"/>
      <c r="M188" s="957"/>
      <c r="N188" s="957"/>
      <c r="O188" s="957"/>
      <c r="P188" s="957"/>
      <c r="Q188" s="957"/>
      <c r="R188" s="957"/>
      <c r="S188" s="957"/>
      <c r="T188" s="674"/>
      <c r="U188" s="674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  <c r="AF188" s="729"/>
      <c r="AG188" s="729"/>
      <c r="AH188" s="729"/>
      <c r="AI188" s="729"/>
      <c r="AJ188" s="729"/>
    </row>
    <row r="189" spans="1:36">
      <c r="A189" s="674"/>
      <c r="B189" s="1002" t="s">
        <v>471</v>
      </c>
      <c r="C189" s="674"/>
      <c r="D189" s="674"/>
      <c r="E189" s="957"/>
      <c r="F189" s="963" t="str">
        <f t="shared" ref="F189:Q189" si="152">F50</f>
        <v>Ene-26</v>
      </c>
      <c r="G189" s="963" t="str">
        <f t="shared" si="152"/>
        <v>Feb-26</v>
      </c>
      <c r="H189" s="963" t="str">
        <f t="shared" si="152"/>
        <v>Mar-26</v>
      </c>
      <c r="I189" s="963" t="str">
        <f t="shared" si="152"/>
        <v>Abr-26</v>
      </c>
      <c r="J189" s="963" t="str">
        <f t="shared" si="152"/>
        <v>May-26</v>
      </c>
      <c r="K189" s="963" t="str">
        <f t="shared" ref="K189" si="153">K50</f>
        <v>Jun-26</v>
      </c>
      <c r="L189" s="963" t="str">
        <f t="shared" si="152"/>
        <v>Jul-26</v>
      </c>
      <c r="M189" s="963" t="str">
        <f t="shared" si="152"/>
        <v>Ago-26</v>
      </c>
      <c r="N189" s="963" t="str">
        <f t="shared" si="152"/>
        <v>Sep-26</v>
      </c>
      <c r="O189" s="963" t="str">
        <f t="shared" si="152"/>
        <v>Oct-26</v>
      </c>
      <c r="P189" s="963" t="str">
        <f t="shared" si="152"/>
        <v>Nov-26</v>
      </c>
      <c r="Q189" s="963" t="str">
        <f t="shared" si="152"/>
        <v>Dic-26</v>
      </c>
      <c r="R189" s="957"/>
      <c r="S189" s="963" t="s">
        <v>23</v>
      </c>
      <c r="T189" s="674"/>
      <c r="U189" s="674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  <c r="AF189" s="729"/>
      <c r="AG189" s="729"/>
      <c r="AH189" s="729"/>
      <c r="AI189" s="729"/>
      <c r="AJ189" s="729"/>
    </row>
    <row r="190" spans="1:36">
      <c r="A190" s="674"/>
      <c r="B190" s="691"/>
      <c r="C190" s="674"/>
      <c r="D190" s="674"/>
      <c r="E190" s="957"/>
      <c r="F190" s="957"/>
      <c r="G190" s="957"/>
      <c r="H190" s="957"/>
      <c r="I190" s="957"/>
      <c r="J190" s="957"/>
      <c r="K190" s="957"/>
      <c r="L190" s="957"/>
      <c r="M190" s="957"/>
      <c r="N190" s="957"/>
      <c r="O190" s="957"/>
      <c r="P190" s="957"/>
      <c r="Q190" s="957"/>
      <c r="R190" s="957"/>
      <c r="S190" s="957"/>
      <c r="T190" s="674"/>
      <c r="U190" s="674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  <c r="AF190" s="729"/>
      <c r="AG190" s="729"/>
      <c r="AH190" s="729"/>
      <c r="AI190" s="729"/>
      <c r="AJ190" s="729"/>
    </row>
    <row r="191" spans="1:36">
      <c r="A191" s="682"/>
      <c r="B191" s="993" t="s">
        <v>472</v>
      </c>
      <c r="C191" s="682"/>
      <c r="D191" s="682"/>
      <c r="E191" s="553"/>
      <c r="F191" s="553"/>
      <c r="G191" s="553"/>
      <c r="H191" s="553"/>
      <c r="I191" s="553"/>
      <c r="J191" s="553"/>
      <c r="K191" s="553"/>
      <c r="L191" s="553"/>
      <c r="M191" s="553"/>
      <c r="N191" s="553"/>
      <c r="O191" s="553"/>
      <c r="P191" s="553"/>
      <c r="Q191" s="553"/>
      <c r="R191" s="553"/>
      <c r="S191" s="553"/>
      <c r="T191" s="682"/>
      <c r="U191" s="682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  <c r="AF191" s="729"/>
      <c r="AG191" s="729"/>
      <c r="AH191" s="729"/>
      <c r="AI191" s="729"/>
      <c r="AJ191" s="729"/>
    </row>
    <row r="192" spans="1:36">
      <c r="A192" s="674"/>
      <c r="B192" s="691" t="s">
        <v>276</v>
      </c>
      <c r="C192" s="674"/>
      <c r="D192" s="674"/>
      <c r="E192" s="957"/>
      <c r="F192" s="212">
        <f t="shared" ref="F192:Q192" si="154">F51</f>
        <v>612247701</v>
      </c>
      <c r="G192" s="212">
        <f t="shared" si="154"/>
        <v>744218137</v>
      </c>
      <c r="H192" s="212">
        <f t="shared" si="154"/>
        <v>787041187</v>
      </c>
      <c r="I192" s="212">
        <f t="shared" si="154"/>
        <v>750867662</v>
      </c>
      <c r="J192" s="212">
        <f t="shared" si="154"/>
        <v>826514746</v>
      </c>
      <c r="K192" s="212">
        <f t="shared" ref="K192" si="155">K51</f>
        <v>751453314</v>
      </c>
      <c r="L192" s="212">
        <f t="shared" si="154"/>
        <v>679890552</v>
      </c>
      <c r="M192" s="212">
        <f t="shared" si="154"/>
        <v>1573626071.4285715</v>
      </c>
      <c r="N192" s="212">
        <f t="shared" si="154"/>
        <v>1665041428.5714285</v>
      </c>
      <c r="O192" s="212">
        <f t="shared" si="154"/>
        <v>1756456785.7142859</v>
      </c>
      <c r="P192" s="212">
        <f t="shared" si="154"/>
        <v>1847872142.8571429</v>
      </c>
      <c r="Q192" s="212">
        <f t="shared" si="154"/>
        <v>1939287500</v>
      </c>
      <c r="R192" s="957"/>
      <c r="S192" s="212">
        <f>SUM(F192:Q192)</f>
        <v>13934517227.57143</v>
      </c>
      <c r="T192" s="674"/>
      <c r="U192" s="674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  <c r="AF192" s="729"/>
      <c r="AG192" s="729"/>
      <c r="AH192" s="729"/>
      <c r="AI192" s="729"/>
      <c r="AJ192" s="729"/>
    </row>
    <row r="193" spans="1:36">
      <c r="A193" s="674"/>
      <c r="B193" s="691" t="s">
        <v>278</v>
      </c>
      <c r="C193" s="674"/>
      <c r="D193" s="674"/>
      <c r="E193" s="957"/>
      <c r="F193" s="212">
        <f t="shared" ref="F193:Q193" si="156">F59</f>
        <v>69979361</v>
      </c>
      <c r="G193" s="212">
        <f t="shared" si="156"/>
        <v>46134032</v>
      </c>
      <c r="H193" s="212">
        <f t="shared" si="156"/>
        <v>-22242793</v>
      </c>
      <c r="I193" s="212">
        <f t="shared" si="156"/>
        <v>4838252</v>
      </c>
      <c r="J193" s="212">
        <f t="shared" si="156"/>
        <v>113009475</v>
      </c>
      <c r="K193" s="212">
        <f t="shared" ref="K193" si="157">K59</f>
        <v>34975495</v>
      </c>
      <c r="L193" s="212">
        <f t="shared" si="156"/>
        <v>29342362</v>
      </c>
      <c r="M193" s="212">
        <f t="shared" si="156"/>
        <v>741796758.42857134</v>
      </c>
      <c r="N193" s="212">
        <f t="shared" si="156"/>
        <v>833212115.57142842</v>
      </c>
      <c r="O193" s="212">
        <f t="shared" si="156"/>
        <v>924627472.71428597</v>
      </c>
      <c r="P193" s="212">
        <f t="shared" si="156"/>
        <v>999232285.85714304</v>
      </c>
      <c r="Q193" s="212">
        <f t="shared" si="156"/>
        <v>1090647643</v>
      </c>
      <c r="R193" s="957"/>
      <c r="S193" s="212">
        <f>SUM(F193:Q193)</f>
        <v>4865552459.5714283</v>
      </c>
      <c r="T193" s="674"/>
      <c r="U193" s="674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  <c r="AF193" s="729"/>
      <c r="AG193" s="729"/>
      <c r="AH193" s="729"/>
      <c r="AI193" s="729"/>
      <c r="AJ193" s="729"/>
    </row>
    <row r="194" spans="1:36">
      <c r="A194" s="674"/>
      <c r="B194" s="220" t="s">
        <v>279</v>
      </c>
      <c r="C194" s="1003"/>
      <c r="D194" s="1003"/>
      <c r="E194" s="221"/>
      <c r="F194" s="383">
        <f>IF(F192=0,0,F193/F192)</f>
        <v>0.11429909967109864</v>
      </c>
      <c r="G194" s="383">
        <f t="shared" ref="G194:Q194" si="158">IF(G192=0,0,G193/G192)</f>
        <v>6.1989932395318657E-2</v>
      </c>
      <c r="H194" s="383">
        <f t="shared" si="158"/>
        <v>-2.8261282087134278E-2</v>
      </c>
      <c r="I194" s="383">
        <f t="shared" si="158"/>
        <v>6.4435482373989888E-3</v>
      </c>
      <c r="J194" s="383">
        <f t="shared" si="158"/>
        <v>0.13673013766169395</v>
      </c>
      <c r="K194" s="383">
        <f t="shared" ref="K194" si="159">IF(K192=0,0,K193/K192)</f>
        <v>4.6543802986009589E-2</v>
      </c>
      <c r="L194" s="383">
        <f t="shared" si="158"/>
        <v>4.3157478676067854E-2</v>
      </c>
      <c r="M194" s="383">
        <f t="shared" si="158"/>
        <v>0.47139328198544167</v>
      </c>
      <c r="N194" s="383">
        <f t="shared" si="158"/>
        <v>0.50041524569530227</v>
      </c>
      <c r="O194" s="383">
        <f t="shared" si="158"/>
        <v>0.5264162945735521</v>
      </c>
      <c r="P194" s="383">
        <f t="shared" si="158"/>
        <v>0.54074752396675563</v>
      </c>
      <c r="Q194" s="383">
        <f t="shared" si="158"/>
        <v>0.56239605679921101</v>
      </c>
      <c r="R194" s="957"/>
      <c r="S194" s="1004"/>
      <c r="T194" s="674"/>
      <c r="U194" s="674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  <c r="AF194" s="729"/>
      <c r="AG194" s="729"/>
      <c r="AH194" s="729"/>
      <c r="AI194" s="729"/>
      <c r="AJ194" s="729"/>
    </row>
    <row r="195" spans="1:36">
      <c r="A195" s="674"/>
      <c r="B195" s="691"/>
      <c r="C195" s="674"/>
      <c r="D195" s="674"/>
      <c r="E195" s="957"/>
      <c r="F195" s="957"/>
      <c r="G195" s="957"/>
      <c r="H195" s="957"/>
      <c r="I195" s="957"/>
      <c r="J195" s="957"/>
      <c r="K195" s="957"/>
      <c r="L195" s="957"/>
      <c r="M195" s="957"/>
      <c r="N195" s="957"/>
      <c r="O195" s="957"/>
      <c r="P195" s="957"/>
      <c r="Q195" s="957"/>
      <c r="R195" s="957"/>
      <c r="S195" s="957"/>
      <c r="T195" s="674"/>
      <c r="U195" s="674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  <c r="AF195" s="729"/>
      <c r="AG195" s="729"/>
      <c r="AH195" s="729"/>
      <c r="AI195" s="729"/>
      <c r="AJ195" s="729"/>
    </row>
    <row r="196" spans="1:36">
      <c r="A196" s="674"/>
      <c r="B196" s="1005" t="s">
        <v>401</v>
      </c>
      <c r="C196" s="724"/>
      <c r="D196" s="724"/>
      <c r="E196" s="1006"/>
      <c r="F196" s="219">
        <f t="shared" ref="F196:Q196" si="160">F70</f>
        <v>63485497</v>
      </c>
      <c r="G196" s="219">
        <f t="shared" si="160"/>
        <v>54048915</v>
      </c>
      <c r="H196" s="219">
        <f t="shared" si="160"/>
        <v>-37938007</v>
      </c>
      <c r="I196" s="219">
        <f t="shared" si="160"/>
        <v>706203</v>
      </c>
      <c r="J196" s="219">
        <f t="shared" si="160"/>
        <v>108374968</v>
      </c>
      <c r="K196" s="219">
        <f t="shared" ref="K196" si="161">K70</f>
        <v>33343650</v>
      </c>
      <c r="L196" s="219">
        <f t="shared" si="160"/>
        <v>24707052</v>
      </c>
      <c r="M196" s="219">
        <f t="shared" si="160"/>
        <v>481598027.51429355</v>
      </c>
      <c r="N196" s="219">
        <f t="shared" si="160"/>
        <v>540979725.34821498</v>
      </c>
      <c r="O196" s="219">
        <f t="shared" si="160"/>
        <v>600362061.25395238</v>
      </c>
      <c r="P196" s="219">
        <f t="shared" si="160"/>
        <v>648818170.99697471</v>
      </c>
      <c r="Q196" s="219">
        <f t="shared" si="160"/>
        <v>708201751.31999445</v>
      </c>
      <c r="R196" s="957"/>
      <c r="S196" s="219">
        <f>SUM(F196:Q196)</f>
        <v>3226688014.4334302</v>
      </c>
      <c r="T196" s="674"/>
      <c r="U196" s="674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  <c r="AF196" s="729"/>
      <c r="AG196" s="729"/>
      <c r="AH196" s="729"/>
      <c r="AI196" s="729"/>
      <c r="AJ196" s="729"/>
    </row>
    <row r="197" spans="1:36">
      <c r="A197" s="674"/>
      <c r="B197" s="987" t="s">
        <v>473</v>
      </c>
      <c r="C197" s="988"/>
      <c r="D197" s="988"/>
      <c r="E197" s="989"/>
      <c r="F197" s="990">
        <f>IF(F192=0,0,F196/F192)</f>
        <v>0.10369250369794365</v>
      </c>
      <c r="G197" s="990">
        <f t="shared" ref="G197:Q197" si="162">IF(G192=0,0,G196/G192)</f>
        <v>7.2625097821285692E-2</v>
      </c>
      <c r="H197" s="990">
        <f t="shared" si="162"/>
        <v>-4.820333119364438E-2</v>
      </c>
      <c r="I197" s="990">
        <f t="shared" si="162"/>
        <v>9.4051593341890386E-4</v>
      </c>
      <c r="J197" s="990">
        <f t="shared" si="162"/>
        <v>0.13112284871442573</v>
      </c>
      <c r="K197" s="990">
        <f t="shared" ref="K197" si="163">IF(K192=0,0,K196/K192)</f>
        <v>4.4372217646511038E-2</v>
      </c>
      <c r="L197" s="990">
        <f t="shared" si="162"/>
        <v>3.6339748989481474E-2</v>
      </c>
      <c r="M197" s="990">
        <f t="shared" si="162"/>
        <v>0.30604349804467113</v>
      </c>
      <c r="N197" s="990">
        <f t="shared" si="162"/>
        <v>0.32490466367096016</v>
      </c>
      <c r="O197" s="990">
        <f t="shared" si="162"/>
        <v>0.34180292173246229</v>
      </c>
      <c r="P197" s="990">
        <f t="shared" si="162"/>
        <v>0.35111637647926497</v>
      </c>
      <c r="Q197" s="990">
        <f t="shared" si="162"/>
        <v>0.36518657049044789</v>
      </c>
      <c r="R197" s="957"/>
      <c r="S197" s="1007"/>
      <c r="T197" s="674"/>
      <c r="U197" s="674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  <c r="AF197" s="729"/>
      <c r="AG197" s="729"/>
      <c r="AH197" s="729"/>
      <c r="AI197" s="729"/>
      <c r="AJ197" s="729"/>
    </row>
    <row r="198" spans="1:36">
      <c r="A198" s="674"/>
      <c r="B198" s="961"/>
      <c r="C198" s="678"/>
      <c r="D198" s="678"/>
      <c r="E198" s="992"/>
      <c r="F198" s="992"/>
      <c r="G198" s="992"/>
      <c r="H198" s="992"/>
      <c r="I198" s="992"/>
      <c r="J198" s="992"/>
      <c r="K198" s="992"/>
      <c r="L198" s="992"/>
      <c r="M198" s="992"/>
      <c r="N198" s="992"/>
      <c r="O198" s="992"/>
      <c r="P198" s="992"/>
      <c r="Q198" s="992"/>
      <c r="R198" s="957"/>
      <c r="S198" s="992"/>
      <c r="T198" s="674"/>
      <c r="U198" s="674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  <c r="AF198" s="729"/>
      <c r="AG198" s="729"/>
      <c r="AH198" s="729"/>
      <c r="AI198" s="729"/>
      <c r="AJ198" s="729"/>
    </row>
    <row r="199" spans="1:36">
      <c r="A199" s="682"/>
      <c r="B199" s="993" t="s">
        <v>474</v>
      </c>
      <c r="C199" s="682"/>
      <c r="D199" s="682"/>
      <c r="E199" s="553"/>
      <c r="F199" s="553"/>
      <c r="G199" s="553"/>
      <c r="H199" s="553"/>
      <c r="I199" s="553"/>
      <c r="J199" s="553"/>
      <c r="K199" s="553"/>
      <c r="L199" s="553"/>
      <c r="M199" s="553"/>
      <c r="N199" s="553"/>
      <c r="O199" s="553"/>
      <c r="P199" s="553"/>
      <c r="Q199" s="553"/>
      <c r="R199" s="553"/>
      <c r="S199" s="553"/>
      <c r="T199" s="682"/>
      <c r="U199" s="682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  <c r="AF199" s="729"/>
      <c r="AG199" s="729"/>
      <c r="AH199" s="729"/>
      <c r="AI199" s="729"/>
      <c r="AJ199" s="729"/>
    </row>
    <row r="200" spans="1:36">
      <c r="A200" s="674"/>
      <c r="B200" s="193" t="s">
        <v>475</v>
      </c>
      <c r="C200" s="972"/>
      <c r="D200" s="972"/>
      <c r="E200" s="982"/>
      <c r="F200" s="226">
        <f>F168</f>
        <v>254495081</v>
      </c>
      <c r="G200" s="226">
        <f t="shared" ref="G200:Q200" si="164">G168</f>
        <v>-267330789</v>
      </c>
      <c r="H200" s="226">
        <f t="shared" si="164"/>
        <v>51916596</v>
      </c>
      <c r="I200" s="226">
        <f t="shared" si="164"/>
        <v>89724697.36666666</v>
      </c>
      <c r="J200" s="226">
        <f t="shared" si="164"/>
        <v>39321053.916666664</v>
      </c>
      <c r="K200" s="226">
        <f t="shared" ref="K200" si="165">K168</f>
        <v>-105082566.43333334</v>
      </c>
      <c r="L200" s="226">
        <f t="shared" si="164"/>
        <v>55719874.56666667</v>
      </c>
      <c r="M200" s="226">
        <f t="shared" si="164"/>
        <v>-1784902160.1575398</v>
      </c>
      <c r="N200" s="226">
        <f t="shared" si="164"/>
        <v>320876540.44770616</v>
      </c>
      <c r="O200" s="226">
        <f t="shared" si="164"/>
        <v>380317137.21845222</v>
      </c>
      <c r="P200" s="226">
        <f t="shared" si="164"/>
        <v>440330722.01206607</v>
      </c>
      <c r="Q200" s="226">
        <f t="shared" si="164"/>
        <v>488270452.15483433</v>
      </c>
      <c r="R200" s="957"/>
      <c r="S200" s="226">
        <f t="shared" ref="S200:S203" si="166">SUM(F200:Q200)</f>
        <v>-36343360.907814264</v>
      </c>
      <c r="T200" s="674"/>
      <c r="U200" s="674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  <c r="AF200" s="729"/>
      <c r="AG200" s="729"/>
      <c r="AH200" s="729"/>
      <c r="AI200" s="729"/>
      <c r="AJ200" s="729"/>
    </row>
    <row r="201" spans="1:36">
      <c r="A201" s="674"/>
      <c r="B201" s="691" t="s">
        <v>476</v>
      </c>
      <c r="C201" s="674"/>
      <c r="D201" s="674"/>
      <c r="E201" s="957"/>
      <c r="F201" s="212">
        <f>F171</f>
        <v>-7880549</v>
      </c>
      <c r="G201" s="212">
        <f t="shared" ref="G201:Q201" si="167">G171</f>
        <v>-6729228</v>
      </c>
      <c r="H201" s="212">
        <f t="shared" si="167"/>
        <v>-985518</v>
      </c>
      <c r="I201" s="212">
        <f t="shared" si="167"/>
        <v>-3213609786.3666668</v>
      </c>
      <c r="J201" s="212">
        <f t="shared" si="167"/>
        <v>3149828425.0833335</v>
      </c>
      <c r="K201" s="212">
        <f t="shared" ref="K201" si="168">K171</f>
        <v>-3766258.5666666669</v>
      </c>
      <c r="L201" s="212">
        <f t="shared" si="167"/>
        <v>-7360092</v>
      </c>
      <c r="M201" s="212">
        <f t="shared" si="167"/>
        <v>-7360092</v>
      </c>
      <c r="N201" s="212">
        <f t="shared" si="167"/>
        <v>-7360092</v>
      </c>
      <c r="O201" s="212">
        <f t="shared" si="167"/>
        <v>-7360092</v>
      </c>
      <c r="P201" s="212">
        <f t="shared" si="167"/>
        <v>-7360092</v>
      </c>
      <c r="Q201" s="212">
        <f t="shared" si="167"/>
        <v>-7360092</v>
      </c>
      <c r="R201" s="957"/>
      <c r="S201" s="212">
        <f t="shared" si="166"/>
        <v>-127303466.84999996</v>
      </c>
      <c r="T201" s="674"/>
      <c r="U201" s="674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  <c r="AF201" s="729"/>
      <c r="AG201" s="729"/>
      <c r="AH201" s="729"/>
      <c r="AI201" s="729"/>
      <c r="AJ201" s="729"/>
    </row>
    <row r="202" spans="1:36">
      <c r="A202" s="674"/>
      <c r="B202" s="691" t="s">
        <v>477</v>
      </c>
      <c r="C202" s="674"/>
      <c r="D202" s="674"/>
      <c r="E202" s="957"/>
      <c r="F202" s="212">
        <f>F174+F175+F176</f>
        <v>-17231358</v>
      </c>
      <c r="G202" s="212">
        <f t="shared" ref="G202:I202" si="169">G174+G175+G176</f>
        <v>5694513</v>
      </c>
      <c r="H202" s="212">
        <f t="shared" si="169"/>
        <v>23825706</v>
      </c>
      <c r="I202" s="212">
        <f t="shared" si="169"/>
        <v>-649708751</v>
      </c>
      <c r="J202" s="212">
        <f t="shared" ref="J202:Q202" si="170">J174+J175+J176</f>
        <v>643922635</v>
      </c>
      <c r="K202" s="212">
        <f t="shared" ref="K202" si="171">K174+K175+K176</f>
        <v>-17168520</v>
      </c>
      <c r="L202" s="212">
        <f t="shared" si="170"/>
        <v>21272048</v>
      </c>
      <c r="M202" s="212">
        <f t="shared" si="170"/>
        <v>2620515233</v>
      </c>
      <c r="N202" s="212">
        <f t="shared" si="170"/>
        <v>0</v>
      </c>
      <c r="O202" s="212">
        <f t="shared" si="170"/>
        <v>0</v>
      </c>
      <c r="P202" s="212">
        <f t="shared" si="170"/>
        <v>0</v>
      </c>
      <c r="Q202" s="212">
        <f t="shared" si="170"/>
        <v>0</v>
      </c>
      <c r="R202" s="957"/>
      <c r="S202" s="212">
        <f t="shared" si="166"/>
        <v>2631121506</v>
      </c>
      <c r="T202" s="674"/>
      <c r="U202" s="674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  <c r="AF202" s="729"/>
      <c r="AG202" s="729"/>
      <c r="AH202" s="729"/>
      <c r="AI202" s="729"/>
      <c r="AJ202" s="729"/>
    </row>
    <row r="203" spans="1:36">
      <c r="A203" s="674"/>
      <c r="B203" s="1008" t="s">
        <v>478</v>
      </c>
      <c r="C203" s="1001"/>
      <c r="D203" s="1001"/>
      <c r="E203" s="1009"/>
      <c r="F203" s="231">
        <f>SUM(F200:F202)</f>
        <v>229383174</v>
      </c>
      <c r="G203" s="231">
        <f t="shared" ref="G203:I203" si="172">SUM(G200:G202)</f>
        <v>-268365504</v>
      </c>
      <c r="H203" s="231">
        <f t="shared" si="172"/>
        <v>74756784</v>
      </c>
      <c r="I203" s="231">
        <f t="shared" si="172"/>
        <v>-3773593840</v>
      </c>
      <c r="J203" s="231">
        <f t="shared" ref="J203:Q203" si="173">SUM(J200:J202)</f>
        <v>3833072114</v>
      </c>
      <c r="K203" s="231">
        <f t="shared" ref="K203" si="174">SUM(K200:K202)</f>
        <v>-126017345</v>
      </c>
      <c r="L203" s="231">
        <f t="shared" si="173"/>
        <v>69631830.566666663</v>
      </c>
      <c r="M203" s="231">
        <f t="shared" si="173"/>
        <v>828252980.84246016</v>
      </c>
      <c r="N203" s="231">
        <f t="shared" si="173"/>
        <v>313516448.44770616</v>
      </c>
      <c r="O203" s="231">
        <f t="shared" si="173"/>
        <v>372957045.21845222</v>
      </c>
      <c r="P203" s="231">
        <f t="shared" si="173"/>
        <v>432970630.01206607</v>
      </c>
      <c r="Q203" s="231">
        <f t="shared" si="173"/>
        <v>480910360.15483433</v>
      </c>
      <c r="R203" s="957"/>
      <c r="S203" s="231">
        <f t="shared" si="166"/>
        <v>2467474678.2421856</v>
      </c>
      <c r="T203" s="674"/>
      <c r="U203" s="674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  <c r="AF203" s="729"/>
      <c r="AG203" s="729"/>
      <c r="AH203" s="729"/>
      <c r="AI203" s="729"/>
      <c r="AJ203" s="729"/>
    </row>
    <row r="204" spans="1:36">
      <c r="A204" s="674"/>
      <c r="B204" s="691"/>
      <c r="C204" s="674"/>
      <c r="D204" s="674"/>
      <c r="E204" s="957"/>
      <c r="F204" s="957"/>
      <c r="G204" s="957"/>
      <c r="H204" s="957"/>
      <c r="I204" s="957"/>
      <c r="J204" s="957"/>
      <c r="K204" s="957"/>
      <c r="L204" s="957"/>
      <c r="M204" s="957"/>
      <c r="N204" s="957"/>
      <c r="O204" s="957"/>
      <c r="P204" s="957"/>
      <c r="Q204" s="957"/>
      <c r="R204" s="957"/>
      <c r="S204" s="957"/>
      <c r="T204" s="674"/>
      <c r="U204" s="674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  <c r="AF204" s="729"/>
      <c r="AG204" s="729"/>
      <c r="AH204" s="729"/>
      <c r="AI204" s="729"/>
      <c r="AJ204" s="729"/>
    </row>
    <row r="205" spans="1:36">
      <c r="A205" s="674"/>
      <c r="B205" s="961"/>
      <c r="C205" s="678"/>
      <c r="D205" s="678"/>
      <c r="E205" s="992"/>
      <c r="F205" s="992"/>
      <c r="G205" s="992"/>
      <c r="H205" s="992"/>
      <c r="I205" s="992"/>
      <c r="J205" s="992"/>
      <c r="K205" s="992"/>
      <c r="L205" s="992"/>
      <c r="M205" s="992"/>
      <c r="N205" s="992"/>
      <c r="O205" s="992"/>
      <c r="P205" s="992"/>
      <c r="Q205" s="992"/>
      <c r="R205" s="957"/>
      <c r="S205" s="992"/>
      <c r="T205" s="674"/>
      <c r="U205" s="674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  <c r="AF205" s="729"/>
      <c r="AG205" s="729"/>
      <c r="AH205" s="729"/>
      <c r="AI205" s="729"/>
      <c r="AJ205" s="729"/>
    </row>
    <row r="206" spans="1:36">
      <c r="A206" s="682"/>
      <c r="B206" s="1010" t="s">
        <v>479</v>
      </c>
      <c r="C206" s="1010"/>
      <c r="D206" s="1010"/>
      <c r="E206" s="1010"/>
      <c r="F206" s="1010"/>
      <c r="G206" s="1010"/>
      <c r="H206" s="553"/>
      <c r="I206" s="553"/>
      <c r="J206" s="553"/>
      <c r="K206" s="553"/>
      <c r="L206" s="553"/>
      <c r="M206" s="553"/>
      <c r="N206" s="553"/>
      <c r="O206" s="553"/>
      <c r="P206" s="553"/>
      <c r="Q206" s="553"/>
      <c r="R206" s="553"/>
      <c r="S206" s="553"/>
      <c r="T206" s="682"/>
      <c r="U206" s="682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  <c r="AF206" s="729"/>
      <c r="AG206" s="729"/>
      <c r="AH206" s="729"/>
      <c r="AI206" s="729"/>
      <c r="AJ206" s="729"/>
    </row>
    <row r="207" spans="1:36">
      <c r="A207" s="682"/>
      <c r="B207" s="497" t="s">
        <v>480</v>
      </c>
      <c r="C207" s="682"/>
      <c r="D207" s="682"/>
      <c r="E207" s="553"/>
      <c r="F207" s="553"/>
      <c r="G207" s="553"/>
      <c r="H207" s="553"/>
      <c r="I207" s="553"/>
      <c r="J207" s="553"/>
      <c r="K207" s="553"/>
      <c r="L207" s="553"/>
      <c r="M207" s="553"/>
      <c r="N207" s="553"/>
      <c r="O207" s="553"/>
      <c r="P207" s="553"/>
      <c r="Q207" s="553"/>
      <c r="R207" s="553"/>
      <c r="S207" s="553"/>
      <c r="T207" s="682"/>
      <c r="U207" s="682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  <c r="AF207" s="729"/>
      <c r="AG207" s="729"/>
      <c r="AH207" s="729"/>
      <c r="AI207" s="729"/>
      <c r="AJ207" s="729"/>
    </row>
    <row r="208" spans="1:36">
      <c r="A208" s="674"/>
      <c r="B208" s="193"/>
      <c r="C208" s="972"/>
      <c r="D208" s="972"/>
      <c r="E208" s="982"/>
      <c r="F208" s="982"/>
      <c r="G208" s="982"/>
      <c r="H208" s="982"/>
      <c r="I208" s="982"/>
      <c r="J208" s="982"/>
      <c r="K208" s="982"/>
      <c r="L208" s="982"/>
      <c r="M208" s="982"/>
      <c r="N208" s="982"/>
      <c r="O208" s="982"/>
      <c r="P208" s="982"/>
      <c r="Q208" s="982"/>
      <c r="R208" s="957"/>
      <c r="S208" s="982"/>
      <c r="T208" s="674"/>
      <c r="U208" s="674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  <c r="AF208" s="729"/>
      <c r="AG208" s="729"/>
      <c r="AH208" s="729"/>
      <c r="AI208" s="729"/>
      <c r="AJ208" s="729"/>
    </row>
    <row r="209" spans="1:36">
      <c r="A209" s="674"/>
      <c r="B209" s="251" t="s">
        <v>481</v>
      </c>
      <c r="C209" s="674"/>
      <c r="D209" s="674"/>
      <c r="E209" s="402">
        <f t="shared" ref="E209:Q209" si="175">E76</f>
        <v>2025</v>
      </c>
      <c r="F209" s="170" t="str">
        <f t="shared" si="175"/>
        <v>Ene-26</v>
      </c>
      <c r="G209" s="170" t="str">
        <f t="shared" si="175"/>
        <v>Feb-26</v>
      </c>
      <c r="H209" s="170" t="str">
        <f t="shared" si="175"/>
        <v>Mar-26</v>
      </c>
      <c r="I209" s="170" t="str">
        <f t="shared" si="175"/>
        <v>Abr-26</v>
      </c>
      <c r="J209" s="170" t="str">
        <f t="shared" si="175"/>
        <v>May-26</v>
      </c>
      <c r="K209" s="170" t="str">
        <f t="shared" si="175"/>
        <v>Jun-26</v>
      </c>
      <c r="L209" s="170" t="str">
        <f t="shared" si="175"/>
        <v>Jul-26</v>
      </c>
      <c r="M209" s="170" t="str">
        <f t="shared" si="175"/>
        <v>Ago-26</v>
      </c>
      <c r="N209" s="170" t="str">
        <f t="shared" si="175"/>
        <v>Sep-26</v>
      </c>
      <c r="O209" s="170" t="str">
        <f t="shared" si="175"/>
        <v>Oct-26</v>
      </c>
      <c r="P209" s="170" t="str">
        <f t="shared" si="175"/>
        <v>Nov-26</v>
      </c>
      <c r="Q209" s="170" t="str">
        <f t="shared" si="175"/>
        <v>Dic-26</v>
      </c>
      <c r="R209" s="957"/>
      <c r="S209" s="957"/>
      <c r="T209" s="674"/>
      <c r="U209" s="674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  <c r="AF209" s="729"/>
      <c r="AG209" s="729"/>
      <c r="AH209" s="729"/>
      <c r="AI209" s="729"/>
      <c r="AJ209" s="729"/>
    </row>
    <row r="210" spans="1:36">
      <c r="A210" s="674"/>
      <c r="B210" s="691" t="s">
        <v>482</v>
      </c>
      <c r="C210" s="674"/>
      <c r="D210" s="674"/>
      <c r="E210" s="799">
        <f t="shared" ref="E210:Q210" si="176">E79</f>
        <v>1833296000</v>
      </c>
      <c r="F210" s="799">
        <f t="shared" si="176"/>
        <v>1590540829</v>
      </c>
      <c r="G210" s="799">
        <f t="shared" si="176"/>
        <v>1797557189</v>
      </c>
      <c r="H210" s="799">
        <f t="shared" si="176"/>
        <v>1690589814</v>
      </c>
      <c r="I210" s="799">
        <f t="shared" si="176"/>
        <v>1612589704</v>
      </c>
      <c r="J210" s="799">
        <f>J79</f>
        <v>1675346692</v>
      </c>
      <c r="K210" s="799">
        <f t="shared" si="176"/>
        <v>1799431102</v>
      </c>
      <c r="L210" s="799">
        <f t="shared" si="176"/>
        <v>1688457915</v>
      </c>
      <c r="M210" s="799">
        <f t="shared" si="176"/>
        <v>4406153000</v>
      </c>
      <c r="N210" s="799">
        <f t="shared" si="176"/>
        <v>4662116000</v>
      </c>
      <c r="O210" s="799">
        <f t="shared" si="176"/>
        <v>4918079000</v>
      </c>
      <c r="P210" s="799">
        <f t="shared" si="176"/>
        <v>5174042000</v>
      </c>
      <c r="Q210" s="799">
        <f t="shared" si="176"/>
        <v>5430005000</v>
      </c>
      <c r="R210" s="957"/>
      <c r="S210" s="1011"/>
      <c r="T210" s="674"/>
      <c r="U210" s="674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  <c r="AF210" s="729"/>
      <c r="AG210" s="729"/>
      <c r="AH210" s="729"/>
      <c r="AI210" s="729"/>
      <c r="AJ210" s="729"/>
    </row>
    <row r="211" spans="1:36">
      <c r="A211" s="674"/>
      <c r="B211" s="691" t="s">
        <v>483</v>
      </c>
      <c r="C211" s="674"/>
      <c r="D211" s="674"/>
      <c r="E211" s="799">
        <f t="shared" ref="E211:Q211" si="177">E89</f>
        <v>544703000</v>
      </c>
      <c r="F211" s="799">
        <f t="shared" si="177"/>
        <v>502128241</v>
      </c>
      <c r="G211" s="799">
        <f t="shared" si="177"/>
        <v>493782297</v>
      </c>
      <c r="H211" s="799">
        <f t="shared" si="177"/>
        <v>571037565</v>
      </c>
      <c r="I211" s="799">
        <f t="shared" si="177"/>
        <v>563841763</v>
      </c>
      <c r="J211" s="799">
        <f>J89</f>
        <v>502311050</v>
      </c>
      <c r="K211" s="799">
        <f t="shared" si="177"/>
        <v>483390906</v>
      </c>
      <c r="L211" s="799">
        <f t="shared" si="177"/>
        <v>403760304</v>
      </c>
      <c r="M211" s="799">
        <f t="shared" si="177"/>
        <v>611036504.72222209</v>
      </c>
      <c r="N211" s="799">
        <f t="shared" si="177"/>
        <v>611036504.72222209</v>
      </c>
      <c r="O211" s="799">
        <f t="shared" si="177"/>
        <v>611036504.72222209</v>
      </c>
      <c r="P211" s="799">
        <f t="shared" si="177"/>
        <v>628420380.32222211</v>
      </c>
      <c r="Q211" s="799">
        <f t="shared" si="177"/>
        <v>628420380.32222211</v>
      </c>
      <c r="R211" s="957"/>
      <c r="S211" s="957"/>
      <c r="T211" s="674"/>
      <c r="U211" s="674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  <c r="AF211" s="729"/>
      <c r="AG211" s="729"/>
      <c r="AH211" s="729"/>
      <c r="AI211" s="729"/>
      <c r="AJ211" s="729"/>
    </row>
    <row r="212" spans="1:36">
      <c r="A212" s="674"/>
      <c r="B212" s="691" t="s">
        <v>381</v>
      </c>
      <c r="C212" s="674"/>
      <c r="D212" s="674"/>
      <c r="E212" s="799">
        <f t="shared" ref="E212:Q212" si="178">E90</f>
        <v>40077000</v>
      </c>
      <c r="F212" s="799">
        <f t="shared" si="178"/>
        <v>14350080</v>
      </c>
      <c r="G212" s="799">
        <f t="shared" si="178"/>
        <v>1791700</v>
      </c>
      <c r="H212" s="799">
        <f t="shared" si="178"/>
        <v>25570584</v>
      </c>
      <c r="I212" s="799">
        <f t="shared" si="178"/>
        <v>24496645</v>
      </c>
      <c r="J212" s="799">
        <f>J90</f>
        <v>22513416</v>
      </c>
      <c r="K212" s="799">
        <f t="shared" si="178"/>
        <v>23325495</v>
      </c>
      <c r="L212" s="799">
        <f t="shared" si="178"/>
        <v>19229474</v>
      </c>
      <c r="M212" s="799">
        <f t="shared" si="178"/>
        <v>259322014.8153888</v>
      </c>
      <c r="N212" s="799">
        <f t="shared" si="178"/>
        <v>291296775.18750036</v>
      </c>
      <c r="O212" s="799">
        <f t="shared" si="178"/>
        <v>323271879.13674355</v>
      </c>
      <c r="P212" s="799">
        <f t="shared" si="178"/>
        <v>349363630.53683251</v>
      </c>
      <c r="Q212" s="799">
        <f t="shared" si="178"/>
        <v>381339404.55692005</v>
      </c>
      <c r="R212" s="957"/>
      <c r="S212" s="957"/>
      <c r="T212" s="674"/>
      <c r="U212" s="674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  <c r="AF212" s="729"/>
      <c r="AG212" s="729"/>
      <c r="AH212" s="729"/>
      <c r="AI212" s="729"/>
      <c r="AJ212" s="729"/>
    </row>
    <row r="213" spans="1:36">
      <c r="A213" s="674"/>
      <c r="B213" s="961" t="s">
        <v>484</v>
      </c>
      <c r="C213" s="674"/>
      <c r="D213" s="674"/>
      <c r="E213" s="799">
        <f t="shared" ref="E213:Q213" si="179">E210-E211-E212</f>
        <v>1248516000</v>
      </c>
      <c r="F213" s="799">
        <f t="shared" si="179"/>
        <v>1074062508</v>
      </c>
      <c r="G213" s="799">
        <f t="shared" si="179"/>
        <v>1301983192</v>
      </c>
      <c r="H213" s="799">
        <f t="shared" si="179"/>
        <v>1093981665</v>
      </c>
      <c r="I213" s="799">
        <f t="shared" si="179"/>
        <v>1024251296</v>
      </c>
      <c r="J213" s="799">
        <f>J210-J211-J212</f>
        <v>1150522226</v>
      </c>
      <c r="K213" s="799">
        <f t="shared" si="179"/>
        <v>1292714701</v>
      </c>
      <c r="L213" s="799">
        <f t="shared" si="179"/>
        <v>1265468137</v>
      </c>
      <c r="M213" s="799">
        <f t="shared" si="179"/>
        <v>3535794480.462389</v>
      </c>
      <c r="N213" s="799">
        <f t="shared" si="179"/>
        <v>3759782720.0902772</v>
      </c>
      <c r="O213" s="799">
        <f t="shared" si="179"/>
        <v>3983770616.1410341</v>
      </c>
      <c r="P213" s="799">
        <f t="shared" si="179"/>
        <v>4196257989.1409459</v>
      </c>
      <c r="Q213" s="799">
        <f t="shared" si="179"/>
        <v>4420245215.1208582</v>
      </c>
      <c r="R213" s="957"/>
      <c r="S213" s="957"/>
      <c r="T213" s="674"/>
      <c r="U213" s="674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  <c r="AF213" s="729"/>
      <c r="AG213" s="729"/>
      <c r="AH213" s="729"/>
      <c r="AI213" s="729"/>
      <c r="AJ213" s="729"/>
    </row>
    <row r="214" spans="1:36">
      <c r="A214" s="674"/>
      <c r="B214" s="691"/>
      <c r="C214" s="674"/>
      <c r="D214" s="674"/>
      <c r="E214" s="802"/>
      <c r="F214" s="802"/>
      <c r="G214" s="802"/>
      <c r="H214" s="802"/>
      <c r="I214" s="802"/>
      <c r="J214" s="802"/>
      <c r="K214" s="802"/>
      <c r="L214" s="802"/>
      <c r="M214" s="802"/>
      <c r="N214" s="802"/>
      <c r="O214" s="802"/>
      <c r="P214" s="802"/>
      <c r="Q214" s="802"/>
      <c r="R214" s="957"/>
      <c r="S214" s="957"/>
      <c r="T214" s="674"/>
      <c r="U214" s="674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  <c r="AF214" s="729"/>
      <c r="AG214" s="729"/>
      <c r="AH214" s="729"/>
      <c r="AI214" s="729"/>
      <c r="AJ214" s="729"/>
    </row>
    <row r="215" spans="1:36">
      <c r="A215" s="682"/>
      <c r="B215" s="993" t="s">
        <v>485</v>
      </c>
      <c r="C215" s="682"/>
      <c r="D215" s="682"/>
      <c r="E215" s="1012"/>
      <c r="F215" s="1012"/>
      <c r="G215" s="1012"/>
      <c r="H215" s="1012"/>
      <c r="I215" s="1012"/>
      <c r="J215" s="1012"/>
      <c r="K215" s="1012"/>
      <c r="L215" s="1012"/>
      <c r="M215" s="1012"/>
      <c r="N215" s="1012"/>
      <c r="O215" s="1012"/>
      <c r="P215" s="1012"/>
      <c r="Q215" s="1012"/>
      <c r="R215" s="553"/>
      <c r="S215" s="553"/>
      <c r="T215" s="682"/>
      <c r="U215" s="682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  <c r="AF215" s="729"/>
      <c r="AG215" s="729"/>
      <c r="AH215" s="729"/>
      <c r="AI215" s="729"/>
      <c r="AJ215" s="729"/>
    </row>
    <row r="216" spans="1:36">
      <c r="A216" s="674"/>
      <c r="B216" s="691" t="s">
        <v>486</v>
      </c>
      <c r="C216" s="674"/>
      <c r="D216" s="674"/>
      <c r="E216" s="1013"/>
      <c r="F216" s="799">
        <f>-(F210-E210)</f>
        <v>242755171</v>
      </c>
      <c r="G216" s="799">
        <f t="shared" ref="G216:Q216" si="180">-(G210-F210)</f>
        <v>-207016360</v>
      </c>
      <c r="H216" s="799">
        <f t="shared" si="180"/>
        <v>106967375</v>
      </c>
      <c r="I216" s="799">
        <f t="shared" si="180"/>
        <v>78000110</v>
      </c>
      <c r="J216" s="799">
        <f>-(J210-I210)</f>
        <v>-62756988</v>
      </c>
      <c r="K216" s="799">
        <f t="shared" si="180"/>
        <v>-124084410</v>
      </c>
      <c r="L216" s="799">
        <f t="shared" si="180"/>
        <v>110973187</v>
      </c>
      <c r="M216" s="799">
        <f t="shared" si="180"/>
        <v>-2717695085</v>
      </c>
      <c r="N216" s="799">
        <f t="shared" si="180"/>
        <v>-255963000</v>
      </c>
      <c r="O216" s="799">
        <f t="shared" si="180"/>
        <v>-255963000</v>
      </c>
      <c r="P216" s="799">
        <f t="shared" si="180"/>
        <v>-255963000</v>
      </c>
      <c r="Q216" s="799">
        <f t="shared" si="180"/>
        <v>-255963000</v>
      </c>
      <c r="R216" s="957"/>
      <c r="S216" s="957"/>
      <c r="T216" s="674"/>
      <c r="U216" s="674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  <c r="AF216" s="729"/>
      <c r="AG216" s="729"/>
      <c r="AH216" s="729"/>
      <c r="AI216" s="729"/>
      <c r="AJ216" s="729"/>
    </row>
    <row r="217" spans="1:36">
      <c r="A217" s="674"/>
      <c r="B217" s="691" t="s">
        <v>487</v>
      </c>
      <c r="C217" s="674"/>
      <c r="D217" s="674"/>
      <c r="E217" s="1013"/>
      <c r="F217" s="799">
        <f t="shared" ref="F217:Q217" si="181">F211-E211</f>
        <v>-42574759</v>
      </c>
      <c r="G217" s="799">
        <f t="shared" si="181"/>
        <v>-8345944</v>
      </c>
      <c r="H217" s="799">
        <f t="shared" si="181"/>
        <v>77255268</v>
      </c>
      <c r="I217" s="799">
        <f t="shared" si="181"/>
        <v>-7195802</v>
      </c>
      <c r="J217" s="799">
        <f>J211-I211</f>
        <v>-61530713</v>
      </c>
      <c r="K217" s="799">
        <f t="shared" si="181"/>
        <v>-18920144</v>
      </c>
      <c r="L217" s="799">
        <f t="shared" si="181"/>
        <v>-79630602</v>
      </c>
      <c r="M217" s="799">
        <f t="shared" si="181"/>
        <v>207276200.72222209</v>
      </c>
      <c r="N217" s="799">
        <f t="shared" si="181"/>
        <v>0</v>
      </c>
      <c r="O217" s="799">
        <f t="shared" si="181"/>
        <v>0</v>
      </c>
      <c r="P217" s="799">
        <f t="shared" si="181"/>
        <v>17383875.600000024</v>
      </c>
      <c r="Q217" s="799">
        <f t="shared" si="181"/>
        <v>0</v>
      </c>
      <c r="R217" s="957"/>
      <c r="S217" s="957"/>
      <c r="T217" s="674"/>
      <c r="U217" s="674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  <c r="AF217" s="729"/>
      <c r="AG217" s="729"/>
      <c r="AH217" s="729"/>
      <c r="AI217" s="729"/>
      <c r="AJ217" s="729"/>
    </row>
    <row r="218" spans="1:36">
      <c r="A218" s="674"/>
      <c r="B218" s="691" t="s">
        <v>488</v>
      </c>
      <c r="C218" s="674"/>
      <c r="D218" s="674"/>
      <c r="E218" s="1013"/>
      <c r="F218" s="799">
        <f t="shared" ref="F218:Q218" si="182">F212-E212</f>
        <v>-25726920</v>
      </c>
      <c r="G218" s="799">
        <f t="shared" si="182"/>
        <v>-12558380</v>
      </c>
      <c r="H218" s="799">
        <f t="shared" si="182"/>
        <v>23778884</v>
      </c>
      <c r="I218" s="799">
        <f t="shared" si="182"/>
        <v>-1073939</v>
      </c>
      <c r="J218" s="799">
        <f>J212-I212</f>
        <v>-1983229</v>
      </c>
      <c r="K218" s="799">
        <f t="shared" si="182"/>
        <v>812079</v>
      </c>
      <c r="L218" s="799">
        <f t="shared" si="182"/>
        <v>-4096021</v>
      </c>
      <c r="M218" s="799">
        <f t="shared" si="182"/>
        <v>240092540.8153888</v>
      </c>
      <c r="N218" s="799">
        <f t="shared" si="182"/>
        <v>31974760.372111559</v>
      </c>
      <c r="O218" s="799">
        <f t="shared" si="182"/>
        <v>31975103.949243188</v>
      </c>
      <c r="P218" s="799">
        <f t="shared" si="182"/>
        <v>26091751.400088966</v>
      </c>
      <c r="Q218" s="799">
        <f t="shared" si="182"/>
        <v>31975774.02008754</v>
      </c>
      <c r="R218" s="957"/>
      <c r="S218" s="957"/>
      <c r="T218" s="674"/>
      <c r="U218" s="674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  <c r="AF218" s="729"/>
      <c r="AG218" s="729"/>
      <c r="AH218" s="729"/>
      <c r="AI218" s="729"/>
      <c r="AJ218" s="729"/>
    </row>
    <row r="219" spans="1:36">
      <c r="A219" s="674"/>
      <c r="B219" s="252" t="s">
        <v>489</v>
      </c>
      <c r="C219" s="674"/>
      <c r="D219" s="674"/>
      <c r="E219" s="1013"/>
      <c r="F219" s="799">
        <f t="shared" ref="F219:Q219" si="183">SUM(F216:F218)</f>
        <v>174453492</v>
      </c>
      <c r="G219" s="799">
        <f t="shared" si="183"/>
        <v>-227920684</v>
      </c>
      <c r="H219" s="799">
        <f t="shared" si="183"/>
        <v>208001527</v>
      </c>
      <c r="I219" s="799">
        <f t="shared" si="183"/>
        <v>69730369</v>
      </c>
      <c r="J219" s="799">
        <f>SUM(J216:J218)</f>
        <v>-126270930</v>
      </c>
      <c r="K219" s="799">
        <f t="shared" si="183"/>
        <v>-142192475</v>
      </c>
      <c r="L219" s="799">
        <f t="shared" si="183"/>
        <v>27246564</v>
      </c>
      <c r="M219" s="799">
        <f t="shared" si="183"/>
        <v>-2270326343.462389</v>
      </c>
      <c r="N219" s="799">
        <f t="shared" si="183"/>
        <v>-223988239.62788844</v>
      </c>
      <c r="O219" s="799">
        <f t="shared" si="183"/>
        <v>-223987896.05075681</v>
      </c>
      <c r="P219" s="799">
        <f t="shared" si="183"/>
        <v>-212487372.99991101</v>
      </c>
      <c r="Q219" s="799">
        <f t="shared" si="183"/>
        <v>-223987225.97991246</v>
      </c>
      <c r="R219" s="957"/>
      <c r="S219" s="957"/>
      <c r="T219" s="674"/>
      <c r="U219" s="674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  <c r="AF219" s="729"/>
      <c r="AG219" s="729"/>
      <c r="AH219" s="729"/>
      <c r="AI219" s="729"/>
      <c r="AJ219" s="729"/>
    </row>
    <row r="220" spans="1:36">
      <c r="A220" s="674"/>
      <c r="B220" s="674"/>
      <c r="C220" s="674"/>
      <c r="D220" s="674"/>
      <c r="E220" s="1013"/>
      <c r="F220" s="1013"/>
      <c r="G220" s="1013"/>
      <c r="H220" s="1013"/>
      <c r="I220" s="1013"/>
      <c r="J220" s="1013"/>
      <c r="K220" s="1013"/>
      <c r="L220" s="1013"/>
      <c r="M220" s="1013"/>
      <c r="N220" s="1013"/>
      <c r="O220" s="1013"/>
      <c r="P220" s="1013"/>
      <c r="Q220" s="1013"/>
      <c r="R220" s="957"/>
      <c r="S220" s="957"/>
      <c r="T220" s="674"/>
      <c r="U220" s="674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  <c r="AF220" s="729"/>
      <c r="AG220" s="729"/>
      <c r="AH220" s="729"/>
      <c r="AI220" s="729"/>
      <c r="AJ220" s="729"/>
    </row>
    <row r="221" spans="1:36">
      <c r="A221" s="674"/>
      <c r="B221" s="691"/>
      <c r="C221" s="674"/>
      <c r="D221" s="674"/>
      <c r="E221" s="957"/>
      <c r="F221" s="957"/>
      <c r="G221" s="957"/>
      <c r="H221" s="957"/>
      <c r="I221" s="957"/>
      <c r="J221" s="957"/>
      <c r="K221" s="957"/>
      <c r="L221" s="957"/>
      <c r="M221" s="957"/>
      <c r="N221" s="957"/>
      <c r="O221" s="957"/>
      <c r="P221" s="957"/>
      <c r="Q221" s="957"/>
      <c r="R221" s="957"/>
      <c r="S221" s="957"/>
      <c r="T221" s="674"/>
      <c r="U221" s="674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  <c r="AF221" s="729"/>
      <c r="AG221" s="729"/>
      <c r="AH221" s="729"/>
      <c r="AI221" s="729"/>
      <c r="AJ221" s="729"/>
    </row>
    <row r="222" spans="1:36">
      <c r="A222" s="682"/>
      <c r="B222" s="993" t="s">
        <v>490</v>
      </c>
      <c r="C222" s="682"/>
      <c r="D222" s="682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682"/>
      <c r="U222" s="682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  <c r="AF222" s="729"/>
      <c r="AG222" s="729"/>
      <c r="AH222" s="729"/>
      <c r="AI222" s="729"/>
      <c r="AJ222" s="729"/>
    </row>
    <row r="223" spans="1:36">
      <c r="A223" s="674"/>
      <c r="B223" s="691" t="s">
        <v>491</v>
      </c>
      <c r="C223" s="674"/>
      <c r="D223" s="674"/>
      <c r="E223" s="957"/>
      <c r="F223" s="1014">
        <f>F219-(-(F79-E79)+(F89-E89)+(F90-E90))</f>
        <v>0</v>
      </c>
      <c r="G223" s="1014">
        <f>G219-(-(G79-F79)+(G89-F89)+(G90-F90))</f>
        <v>0</v>
      </c>
      <c r="H223" s="1014">
        <f>H219-(-(H79-G79)+(H89-G89)+(H90-G90))</f>
        <v>0</v>
      </c>
      <c r="I223" s="1014">
        <f>I219-(-(I79-H79)+(I89-H89)+(I90-H90))</f>
        <v>0</v>
      </c>
      <c r="J223" s="1014">
        <f t="shared" ref="J223:Q223" si="184">ROUND((J119-I119)+SUM(J164:J166),0)</f>
        <v>117229861</v>
      </c>
      <c r="K223" s="1014">
        <f t="shared" si="184"/>
        <v>-69399306</v>
      </c>
      <c r="L223" s="1014">
        <f t="shared" si="184"/>
        <v>32541410</v>
      </c>
      <c r="M223" s="1014">
        <f t="shared" si="184"/>
        <v>-80371965</v>
      </c>
      <c r="N223" s="1014">
        <f t="shared" si="184"/>
        <v>0</v>
      </c>
      <c r="O223" s="1014">
        <f t="shared" si="184"/>
        <v>0</v>
      </c>
      <c r="P223" s="1014">
        <f t="shared" si="184"/>
        <v>0</v>
      </c>
      <c r="Q223" s="1014">
        <f t="shared" si="184"/>
        <v>0</v>
      </c>
      <c r="R223" s="957"/>
      <c r="S223" s="957"/>
      <c r="T223" s="674"/>
      <c r="U223" s="674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  <c r="AF223" s="729"/>
      <c r="AG223" s="729"/>
      <c r="AH223" s="729"/>
      <c r="AI223" s="729"/>
      <c r="AJ223" s="729"/>
    </row>
    <row r="224" spans="1:36">
      <c r="A224" s="674"/>
      <c r="B224" s="691"/>
      <c r="C224" s="674"/>
      <c r="D224" s="674"/>
      <c r="E224" s="957"/>
      <c r="F224" s="1015"/>
      <c r="G224" s="1015"/>
      <c r="H224" s="1015"/>
      <c r="I224" s="1015"/>
      <c r="J224" s="1015"/>
      <c r="K224" s="1015"/>
      <c r="L224" s="1015"/>
      <c r="M224" s="1015"/>
      <c r="N224" s="1015"/>
      <c r="O224" s="1015"/>
      <c r="P224" s="1015"/>
      <c r="Q224" s="1015"/>
      <c r="R224" s="957"/>
      <c r="S224" s="957"/>
      <c r="T224" s="674"/>
      <c r="U224" s="674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  <c r="AF224" s="729"/>
      <c r="AG224" s="729"/>
      <c r="AH224" s="729"/>
      <c r="AI224" s="729"/>
      <c r="AJ224" s="729"/>
    </row>
    <row r="225" spans="1:36">
      <c r="A225" s="674"/>
      <c r="B225" s="193" t="s">
        <v>492</v>
      </c>
      <c r="C225" s="674"/>
      <c r="D225" s="674"/>
      <c r="E225" s="957"/>
      <c r="F225" s="1015"/>
      <c r="G225" s="1015"/>
      <c r="H225" s="1015"/>
      <c r="I225" s="1015"/>
      <c r="J225" s="1015"/>
      <c r="K225" s="1015"/>
      <c r="L225" s="1015"/>
      <c r="M225" s="1015"/>
      <c r="N225" s="1015"/>
      <c r="O225" s="1015"/>
      <c r="P225" s="1015"/>
      <c r="Q225" s="1015"/>
      <c r="R225" s="674"/>
      <c r="S225" s="1016" t="s">
        <v>493</v>
      </c>
      <c r="T225" s="674"/>
      <c r="U225" s="674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  <c r="AF225" s="729"/>
      <c r="AG225" s="729"/>
      <c r="AH225" s="729"/>
      <c r="AI225" s="729"/>
      <c r="AJ225" s="729"/>
    </row>
    <row r="226" spans="1:36">
      <c r="A226" s="674"/>
      <c r="B226" s="1017" t="s">
        <v>494</v>
      </c>
      <c r="C226" s="674"/>
      <c r="D226" s="674"/>
      <c r="E226" s="957"/>
      <c r="F226" s="1015"/>
      <c r="G226" s="1015"/>
      <c r="H226" s="1015"/>
      <c r="I226" s="1015"/>
      <c r="J226" s="1015"/>
      <c r="K226" s="1015"/>
      <c r="L226" s="1015"/>
      <c r="M226" s="1015"/>
      <c r="N226" s="1015"/>
      <c r="O226" s="1015"/>
      <c r="P226" s="1015"/>
      <c r="Q226" s="1015"/>
      <c r="R226" s="674"/>
      <c r="S226" s="1018" t="s">
        <v>495</v>
      </c>
      <c r="T226" s="674"/>
      <c r="U226" s="674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  <c r="AF226" s="729"/>
      <c r="AG226" s="729"/>
      <c r="AH226" s="729"/>
      <c r="AI226" s="729"/>
      <c r="AJ226" s="729"/>
    </row>
    <row r="227" spans="1:36">
      <c r="A227" s="674"/>
      <c r="B227" s="691"/>
      <c r="C227" s="674"/>
      <c r="D227" s="674"/>
      <c r="E227" s="957"/>
      <c r="F227" s="1015"/>
      <c r="G227" s="1015"/>
      <c r="H227" s="1015"/>
      <c r="I227" s="1015"/>
      <c r="J227" s="1015"/>
      <c r="K227" s="1015"/>
      <c r="L227" s="1015"/>
      <c r="M227" s="1015"/>
      <c r="N227" s="1015"/>
      <c r="O227" s="1015"/>
      <c r="P227" s="1015"/>
      <c r="Q227" s="1015"/>
      <c r="R227" s="674"/>
      <c r="S227" s="957"/>
      <c r="T227" s="674"/>
      <c r="U227" s="674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  <c r="AF227" s="729"/>
      <c r="AG227" s="729"/>
      <c r="AH227" s="729"/>
      <c r="AI227" s="729"/>
      <c r="AJ227" s="729"/>
    </row>
    <row r="228" spans="1:36">
      <c r="A228" s="674"/>
      <c r="B228" s="184" t="s">
        <v>496</v>
      </c>
      <c r="C228" s="674"/>
      <c r="D228" s="674"/>
      <c r="E228" s="957"/>
      <c r="F228" s="1019">
        <f>IF(F51=0,0,((F79+E79)/2)/F51*30)</f>
        <v>83.883618266130497</v>
      </c>
      <c r="G228" s="1019">
        <f t="shared" ref="G228:Q228" si="185">IF(G51=0,0,((G79+F79)/2)/G51*30)</f>
        <v>68.288405970412413</v>
      </c>
      <c r="H228" s="1019">
        <f t="shared" si="185"/>
        <v>66.479627634786041</v>
      </c>
      <c r="I228" s="1019">
        <f t="shared" si="185"/>
        <v>65.987250853266872</v>
      </c>
      <c r="J228" s="1019">
        <f t="shared" si="185"/>
        <v>59.671102274562443</v>
      </c>
      <c r="K228" s="1019">
        <f t="shared" si="185"/>
        <v>69.36115117059687</v>
      </c>
      <c r="L228" s="1019">
        <f t="shared" si="185"/>
        <v>76.951113824273293</v>
      </c>
      <c r="M228" s="1019">
        <f t="shared" si="185"/>
        <v>58.094591456538161</v>
      </c>
      <c r="N228" s="1019">
        <f t="shared" si="185"/>
        <v>81.6940844028763</v>
      </c>
      <c r="O228" s="1019">
        <f t="shared" si="185"/>
        <v>81.814096520206363</v>
      </c>
      <c r="P228" s="1019">
        <f t="shared" si="185"/>
        <v>81.922234492878104</v>
      </c>
      <c r="Q228" s="1019">
        <f t="shared" si="185"/>
        <v>82.020177513648704</v>
      </c>
      <c r="R228" s="674"/>
      <c r="S228" s="1020">
        <f>AVERAGE(F79:Q79)/SUM(F51:Q51)*365</f>
        <v>79.552998333665045</v>
      </c>
      <c r="T228" s="674"/>
      <c r="U228" s="674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  <c r="AF228" s="729"/>
      <c r="AG228" s="729"/>
      <c r="AH228" s="729"/>
      <c r="AI228" s="729"/>
      <c r="AJ228" s="729"/>
    </row>
    <row r="229" spans="1:36">
      <c r="A229" s="674"/>
      <c r="B229" s="184" t="s">
        <v>497</v>
      </c>
      <c r="C229" s="674"/>
      <c r="D229" s="674"/>
      <c r="E229" s="957"/>
      <c r="F229" s="1019">
        <f>IF(F52=0,0,((F88+E88)/2)/F52*30)</f>
        <v>9.614560886405167</v>
      </c>
      <c r="G229" s="1019">
        <f t="shared" ref="G229:Q229" si="186">IF(G52=0,0,((G88+F88)/2)/G52*30)</f>
        <v>7.6089761418314508</v>
      </c>
      <c r="H229" s="1019">
        <f t="shared" si="186"/>
        <v>6.7670344830580103</v>
      </c>
      <c r="I229" s="1019">
        <f t="shared" si="186"/>
        <v>8.5724442762023649</v>
      </c>
      <c r="J229" s="1019">
        <f t="shared" si="186"/>
        <v>8.9523556781668781</v>
      </c>
      <c r="K229" s="1019">
        <f t="shared" si="186"/>
        <v>7.8811540905730393</v>
      </c>
      <c r="L229" s="1019">
        <f t="shared" si="186"/>
        <v>8.7627549548838601</v>
      </c>
      <c r="M229" s="1019">
        <f t="shared" si="186"/>
        <v>120.402407432998</v>
      </c>
      <c r="N229" s="1019">
        <f t="shared" si="186"/>
        <v>231.90703200362574</v>
      </c>
      <c r="O229" s="1019">
        <f t="shared" si="186"/>
        <v>231.90703200362574</v>
      </c>
      <c r="P229" s="1019">
        <f t="shared" si="186"/>
        <v>225.49183109456371</v>
      </c>
      <c r="Q229" s="1019">
        <f t="shared" si="186"/>
        <v>225.49183109456371</v>
      </c>
      <c r="R229" s="674"/>
      <c r="S229" s="1020">
        <f>AVERAGE(F88:Q88)/SUM(F52:Q52)*365</f>
        <v>102.9698230599105</v>
      </c>
      <c r="T229" s="674"/>
      <c r="U229" s="674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  <c r="AF229" s="729"/>
      <c r="AG229" s="729"/>
      <c r="AH229" s="729"/>
      <c r="AI229" s="729"/>
      <c r="AJ229" s="729"/>
    </row>
    <row r="230" spans="1:36">
      <c r="A230" s="674"/>
      <c r="B230" s="195" t="s">
        <v>498</v>
      </c>
      <c r="C230" s="674"/>
      <c r="D230" s="674"/>
      <c r="E230" s="957"/>
      <c r="F230" s="1021">
        <f>F228-F229</f>
        <v>74.269057379725325</v>
      </c>
      <c r="G230" s="1021">
        <f t="shared" ref="G230:Q230" si="187">G228-G229</f>
        <v>60.679429828580965</v>
      </c>
      <c r="H230" s="1021">
        <f t="shared" si="187"/>
        <v>59.712593151728029</v>
      </c>
      <c r="I230" s="1021">
        <f t="shared" si="187"/>
        <v>57.41480657706451</v>
      </c>
      <c r="J230" s="1021">
        <f t="shared" si="187"/>
        <v>50.718746596395562</v>
      </c>
      <c r="K230" s="1021">
        <f t="shared" si="187"/>
        <v>61.479997080023828</v>
      </c>
      <c r="L230" s="1021">
        <f t="shared" si="187"/>
        <v>68.188358869389432</v>
      </c>
      <c r="M230" s="1021">
        <f t="shared" si="187"/>
        <v>-62.307815976459842</v>
      </c>
      <c r="N230" s="1021">
        <f t="shared" si="187"/>
        <v>-150.21294760074943</v>
      </c>
      <c r="O230" s="1021">
        <f t="shared" si="187"/>
        <v>-150.09293548341938</v>
      </c>
      <c r="P230" s="1021">
        <f t="shared" si="187"/>
        <v>-143.56959660168559</v>
      </c>
      <c r="Q230" s="1021">
        <f t="shared" si="187"/>
        <v>-143.47165358091502</v>
      </c>
      <c r="R230" s="674"/>
      <c r="S230" s="1020">
        <f>S228-S229</f>
        <v>-23.416824726245451</v>
      </c>
      <c r="T230" s="674"/>
      <c r="U230" s="674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  <c r="AF230" s="729"/>
      <c r="AG230" s="729"/>
      <c r="AH230" s="729"/>
      <c r="AI230" s="729"/>
      <c r="AJ230" s="729"/>
    </row>
    <row r="231" spans="1:36">
      <c r="A231" s="674"/>
      <c r="B231" s="691"/>
      <c r="C231" s="674"/>
      <c r="D231" s="674"/>
      <c r="E231" s="957"/>
      <c r="F231" s="1015"/>
      <c r="G231" s="1015"/>
      <c r="H231" s="1015"/>
      <c r="I231" s="1015"/>
      <c r="J231" s="1015"/>
      <c r="K231" s="1015"/>
      <c r="L231" s="1015"/>
      <c r="M231" s="1015"/>
      <c r="N231" s="1015"/>
      <c r="O231" s="1015"/>
      <c r="P231" s="1015"/>
      <c r="Q231" s="1015"/>
      <c r="R231" s="957"/>
      <c r="S231" s="957"/>
      <c r="T231" s="674"/>
      <c r="U231" s="674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  <c r="AF231" s="729"/>
      <c r="AG231" s="729"/>
      <c r="AH231" s="729"/>
      <c r="AI231" s="729"/>
      <c r="AJ231" s="729"/>
    </row>
    <row r="232" spans="1:36">
      <c r="A232" s="674"/>
      <c r="B232" s="674"/>
      <c r="C232" s="674"/>
      <c r="D232" s="674"/>
      <c r="E232" s="957"/>
      <c r="F232" s="1015"/>
      <c r="G232" s="1015"/>
      <c r="H232" s="1015"/>
      <c r="I232" s="1015"/>
      <c r="J232" s="1015"/>
      <c r="K232" s="1015"/>
      <c r="L232" s="1015"/>
      <c r="M232" s="1015"/>
      <c r="N232" s="1015"/>
      <c r="O232" s="1015"/>
      <c r="P232" s="1015"/>
      <c r="Q232" s="1015"/>
      <c r="R232" s="957"/>
      <c r="S232" s="957"/>
      <c r="T232" s="674"/>
      <c r="U232" s="674"/>
      <c r="V232" s="729"/>
      <c r="W232" s="729"/>
      <c r="X232" s="729"/>
      <c r="Y232" s="729"/>
      <c r="Z232" s="729"/>
      <c r="AA232" s="729"/>
      <c r="AB232" s="729"/>
      <c r="AC232" s="729"/>
      <c r="AD232" s="729"/>
      <c r="AE232" s="729"/>
      <c r="AF232" s="729"/>
      <c r="AG232" s="729"/>
      <c r="AH232" s="729"/>
      <c r="AI232" s="729"/>
      <c r="AJ232" s="729"/>
    </row>
    <row r="233" spans="1:36">
      <c r="A233" s="674"/>
      <c r="B233" s="674"/>
      <c r="C233" s="674"/>
      <c r="D233" s="674"/>
      <c r="E233" s="957"/>
      <c r="F233" s="1015"/>
      <c r="G233" s="1015"/>
      <c r="H233" s="1015"/>
      <c r="I233" s="1015"/>
      <c r="J233" s="1015"/>
      <c r="K233" s="1015"/>
      <c r="L233" s="1015"/>
      <c r="M233" s="1015"/>
      <c r="N233" s="1015"/>
      <c r="O233" s="1015"/>
      <c r="P233" s="1015"/>
      <c r="Q233" s="1015"/>
      <c r="R233" s="957"/>
      <c r="S233" s="957"/>
      <c r="T233" s="674"/>
      <c r="U233" s="674"/>
      <c r="V233" s="729"/>
      <c r="W233" s="729"/>
      <c r="X233" s="729"/>
      <c r="Y233" s="729"/>
      <c r="Z233" s="729"/>
      <c r="AA233" s="729"/>
      <c r="AB233" s="729"/>
      <c r="AC233" s="729"/>
      <c r="AD233" s="729"/>
      <c r="AE233" s="729"/>
      <c r="AF233" s="729"/>
      <c r="AG233" s="729"/>
      <c r="AH233" s="729"/>
      <c r="AI233" s="729"/>
      <c r="AJ233" s="729"/>
    </row>
    <row r="234" spans="1:36">
      <c r="A234" s="674"/>
      <c r="B234" s="674"/>
      <c r="C234" s="674"/>
      <c r="D234" s="674"/>
      <c r="E234" s="957"/>
      <c r="F234" s="1015"/>
      <c r="G234" s="1015"/>
      <c r="H234" s="1015"/>
      <c r="I234" s="1015"/>
      <c r="J234" s="1015"/>
      <c r="K234" s="1015"/>
      <c r="L234" s="1015"/>
      <c r="M234" s="1015"/>
      <c r="N234" s="1015"/>
      <c r="O234" s="1015"/>
      <c r="P234" s="1015"/>
      <c r="Q234" s="1015"/>
      <c r="R234" s="957"/>
      <c r="S234" s="957"/>
      <c r="T234" s="674"/>
      <c r="U234" s="674"/>
      <c r="V234" s="729"/>
      <c r="W234" s="729"/>
      <c r="X234" s="729"/>
      <c r="Y234" s="729"/>
      <c r="Z234" s="729"/>
      <c r="AA234" s="729"/>
      <c r="AB234" s="729"/>
      <c r="AC234" s="729"/>
      <c r="AD234" s="729"/>
      <c r="AE234" s="729"/>
      <c r="AF234" s="729"/>
      <c r="AG234" s="729"/>
      <c r="AH234" s="729"/>
      <c r="AI234" s="729"/>
      <c r="AJ234" s="729"/>
    </row>
    <row r="235" spans="1:36">
      <c r="A235" s="674"/>
      <c r="B235" s="184"/>
      <c r="C235" s="1020"/>
      <c r="D235" s="674"/>
      <c r="E235" s="957"/>
      <c r="F235" s="1015"/>
      <c r="G235" s="1015"/>
      <c r="H235" s="1015"/>
      <c r="I235" s="1015"/>
      <c r="J235" s="1015"/>
      <c r="K235" s="1015"/>
      <c r="L235" s="1015"/>
      <c r="M235" s="1015"/>
      <c r="N235" s="1015"/>
      <c r="O235" s="1015"/>
      <c r="P235" s="1015"/>
      <c r="Q235" s="1015"/>
      <c r="R235" s="957"/>
      <c r="S235" s="957"/>
      <c r="T235" s="674"/>
      <c r="U235" s="674"/>
      <c r="V235" s="729"/>
      <c r="W235" s="729"/>
      <c r="X235" s="729"/>
      <c r="Y235" s="729"/>
      <c r="Z235" s="729"/>
      <c r="AA235" s="729"/>
      <c r="AB235" s="729"/>
      <c r="AC235" s="729"/>
      <c r="AD235" s="729"/>
      <c r="AE235" s="729"/>
      <c r="AF235" s="729"/>
      <c r="AG235" s="729"/>
      <c r="AH235" s="729"/>
      <c r="AI235" s="729"/>
      <c r="AJ235" s="729"/>
    </row>
    <row r="236" spans="1:36" ht="15" thickBot="1">
      <c r="A236" s="674"/>
      <c r="B236" s="184"/>
      <c r="C236" s="1020"/>
      <c r="D236" s="674"/>
      <c r="E236" s="957"/>
      <c r="F236" s="1015"/>
      <c r="G236" s="1015"/>
      <c r="H236" s="1015"/>
      <c r="I236" s="1015"/>
      <c r="J236" s="1015"/>
      <c r="K236" s="1015"/>
      <c r="L236" s="1015"/>
      <c r="M236" s="1015"/>
      <c r="N236" s="1015"/>
      <c r="O236" s="1015"/>
      <c r="P236" s="1015"/>
      <c r="Q236" s="1015"/>
      <c r="R236" s="957"/>
      <c r="S236" s="957"/>
      <c r="T236" s="674"/>
      <c r="U236" s="674"/>
      <c r="V236" s="729"/>
      <c r="W236" s="729"/>
      <c r="X236" s="729"/>
      <c r="Y236" s="729"/>
      <c r="Z236" s="729"/>
      <c r="AA236" s="729"/>
      <c r="AB236" s="729"/>
      <c r="AC236" s="729"/>
      <c r="AD236" s="729"/>
      <c r="AE236" s="729"/>
      <c r="AF236" s="729"/>
      <c r="AG236" s="729"/>
      <c r="AH236" s="729"/>
      <c r="AI236" s="729"/>
      <c r="AJ236" s="729"/>
    </row>
    <row r="237" spans="1:36" ht="15.6" thickTop="1" thickBot="1">
      <c r="A237" s="464"/>
      <c r="B237" s="557" t="s">
        <v>499</v>
      </c>
      <c r="C237" s="558"/>
      <c r="D237" s="558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41"/>
      <c r="S237" s="559"/>
      <c r="T237" s="464"/>
      <c r="U237" s="464"/>
      <c r="V237" s="729"/>
      <c r="W237" s="729"/>
      <c r="X237" s="729"/>
      <c r="Y237" s="729"/>
      <c r="Z237" s="729"/>
      <c r="AA237" s="729"/>
      <c r="AB237" s="729"/>
      <c r="AC237" s="729"/>
      <c r="AD237" s="729"/>
      <c r="AE237" s="729"/>
      <c r="AF237" s="729"/>
      <c r="AG237" s="729"/>
      <c r="AH237" s="729"/>
      <c r="AI237" s="729"/>
      <c r="AJ237" s="729"/>
    </row>
    <row r="238" spans="1:36">
      <c r="A238" s="682"/>
      <c r="B238" s="497" t="s">
        <v>500</v>
      </c>
      <c r="C238" s="682"/>
      <c r="D238" s="682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53"/>
      <c r="P238" s="553"/>
      <c r="Q238" s="553"/>
      <c r="R238" s="553"/>
      <c r="S238" s="553"/>
      <c r="T238" s="682"/>
      <c r="U238" s="682"/>
      <c r="V238" s="729"/>
      <c r="W238" s="729"/>
      <c r="X238" s="729"/>
      <c r="Y238" s="729"/>
      <c r="Z238" s="729"/>
      <c r="AA238" s="729"/>
      <c r="AB238" s="729"/>
      <c r="AC238" s="729"/>
      <c r="AD238" s="729"/>
      <c r="AE238" s="729"/>
      <c r="AF238" s="729"/>
      <c r="AG238" s="729"/>
      <c r="AH238" s="729"/>
      <c r="AI238" s="729"/>
      <c r="AJ238" s="729"/>
    </row>
    <row r="239" spans="1:36" ht="15" thickBot="1">
      <c r="A239" s="674"/>
      <c r="B239" s="691"/>
      <c r="C239" s="674"/>
      <c r="D239" s="674"/>
      <c r="E239" s="957"/>
      <c r="F239" s="957"/>
      <c r="G239" s="957"/>
      <c r="H239" s="957"/>
      <c r="I239" s="957"/>
      <c r="J239" s="957"/>
      <c r="K239" s="957"/>
      <c r="L239" s="957"/>
      <c r="M239" s="957"/>
      <c r="N239" s="957"/>
      <c r="O239" s="957"/>
      <c r="P239" s="957"/>
      <c r="Q239" s="957"/>
      <c r="R239" s="957"/>
      <c r="S239" s="957"/>
      <c r="T239" s="674"/>
      <c r="U239" s="674"/>
      <c r="V239" s="729"/>
      <c r="W239" s="729"/>
      <c r="X239" s="729"/>
      <c r="Y239" s="729"/>
      <c r="Z239" s="729"/>
      <c r="AA239" s="729"/>
      <c r="AB239" s="729"/>
      <c r="AC239" s="729"/>
      <c r="AD239" s="729"/>
      <c r="AE239" s="729"/>
      <c r="AF239" s="729"/>
      <c r="AG239" s="729"/>
      <c r="AH239" s="729"/>
      <c r="AI239" s="729"/>
      <c r="AJ239" s="729"/>
    </row>
    <row r="240" spans="1:36">
      <c r="A240" s="464"/>
      <c r="B240" s="560" t="s">
        <v>501</v>
      </c>
      <c r="C240" s="561"/>
      <c r="D240" s="561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2"/>
      <c r="P240" s="562"/>
      <c r="Q240" s="562"/>
      <c r="R240" s="541"/>
      <c r="S240" s="562"/>
      <c r="T240" s="464"/>
      <c r="U240" s="464"/>
      <c r="V240" s="729"/>
      <c r="W240" s="729"/>
      <c r="X240" s="729"/>
      <c r="Y240" s="729"/>
      <c r="Z240" s="729"/>
      <c r="AA240" s="729"/>
      <c r="AB240" s="729"/>
      <c r="AC240" s="729"/>
      <c r="AD240" s="729"/>
      <c r="AE240" s="729"/>
      <c r="AF240" s="729"/>
      <c r="AG240" s="729"/>
      <c r="AH240" s="729"/>
      <c r="AI240" s="729"/>
      <c r="AJ240" s="729"/>
    </row>
    <row r="241" spans="1:36">
      <c r="A241" s="674"/>
      <c r="B241" s="691"/>
      <c r="C241" s="674"/>
      <c r="D241" s="674"/>
      <c r="E241" s="957"/>
      <c r="F241" s="957"/>
      <c r="G241" s="957"/>
      <c r="H241" s="957"/>
      <c r="I241" s="957"/>
      <c r="J241" s="957"/>
      <c r="K241" s="957"/>
      <c r="L241" s="957"/>
      <c r="M241" s="957"/>
      <c r="N241" s="957"/>
      <c r="O241" s="957"/>
      <c r="P241" s="957"/>
      <c r="Q241" s="957"/>
      <c r="R241" s="957"/>
      <c r="S241" s="957"/>
      <c r="T241" s="674"/>
      <c r="U241" s="674"/>
      <c r="V241" s="729"/>
      <c r="W241" s="729"/>
      <c r="X241" s="729"/>
      <c r="Y241" s="729"/>
      <c r="Z241" s="729"/>
      <c r="AA241" s="729"/>
      <c r="AB241" s="729"/>
      <c r="AC241" s="729"/>
      <c r="AD241" s="729"/>
      <c r="AE241" s="729"/>
      <c r="AF241" s="729"/>
      <c r="AG241" s="729"/>
      <c r="AH241" s="729"/>
      <c r="AI241" s="729"/>
      <c r="AJ241" s="729"/>
    </row>
    <row r="242" spans="1:36">
      <c r="A242" s="674"/>
      <c r="B242" s="691" t="s">
        <v>502</v>
      </c>
      <c r="C242" s="674"/>
      <c r="D242" s="674"/>
      <c r="E242" s="212">
        <f t="shared" ref="E242:Q242" si="188">E6</f>
        <v>3690</v>
      </c>
      <c r="F242" s="212">
        <f t="shared" si="188"/>
        <v>3690</v>
      </c>
      <c r="G242" s="212">
        <f t="shared" si="188"/>
        <v>3690</v>
      </c>
      <c r="H242" s="212">
        <f t="shared" si="188"/>
        <v>3690</v>
      </c>
      <c r="I242" s="212">
        <f t="shared" si="188"/>
        <v>3690</v>
      </c>
      <c r="J242" s="212">
        <f t="shared" si="188"/>
        <v>3690</v>
      </c>
      <c r="K242" s="212">
        <f t="shared" si="188"/>
        <v>3690</v>
      </c>
      <c r="L242" s="212">
        <f t="shared" si="188"/>
        <v>3690</v>
      </c>
      <c r="M242" s="212">
        <f t="shared" si="188"/>
        <v>3690</v>
      </c>
      <c r="N242" s="212">
        <f t="shared" si="188"/>
        <v>3690</v>
      </c>
      <c r="O242" s="212">
        <f t="shared" si="188"/>
        <v>3690</v>
      </c>
      <c r="P242" s="212">
        <f t="shared" si="188"/>
        <v>3690</v>
      </c>
      <c r="Q242" s="212">
        <f t="shared" si="188"/>
        <v>3690</v>
      </c>
      <c r="R242" s="957"/>
      <c r="S242" s="959"/>
      <c r="T242" s="674"/>
      <c r="U242" s="674"/>
      <c r="V242" s="729"/>
      <c r="W242" s="729"/>
      <c r="X242" s="729"/>
      <c r="Y242" s="729"/>
      <c r="Z242" s="729"/>
      <c r="AA242" s="729"/>
      <c r="AB242" s="729"/>
      <c r="AC242" s="729"/>
      <c r="AD242" s="729"/>
      <c r="AE242" s="729"/>
      <c r="AF242" s="729"/>
      <c r="AG242" s="729"/>
      <c r="AH242" s="729"/>
      <c r="AI242" s="729"/>
      <c r="AJ242" s="729"/>
    </row>
    <row r="243" spans="1:36">
      <c r="A243" s="674"/>
      <c r="B243" s="691" t="s">
        <v>503</v>
      </c>
      <c r="C243" s="674"/>
      <c r="D243" s="674"/>
      <c r="E243" s="242">
        <f t="shared" ref="E243:Q243" si="189">E7</f>
        <v>0.35</v>
      </c>
      <c r="F243" s="242">
        <f t="shared" si="189"/>
        <v>0.35</v>
      </c>
      <c r="G243" s="242">
        <f t="shared" si="189"/>
        <v>0.35</v>
      </c>
      <c r="H243" s="242">
        <f t="shared" si="189"/>
        <v>0.35</v>
      </c>
      <c r="I243" s="242">
        <f t="shared" si="189"/>
        <v>0.35</v>
      </c>
      <c r="J243" s="242">
        <f t="shared" si="189"/>
        <v>0.35</v>
      </c>
      <c r="K243" s="242">
        <f t="shared" si="189"/>
        <v>0.35</v>
      </c>
      <c r="L243" s="242">
        <f t="shared" si="189"/>
        <v>0.35</v>
      </c>
      <c r="M243" s="242">
        <f t="shared" si="189"/>
        <v>0.35</v>
      </c>
      <c r="N243" s="242">
        <f t="shared" si="189"/>
        <v>0.35</v>
      </c>
      <c r="O243" s="242">
        <f t="shared" si="189"/>
        <v>0.35</v>
      </c>
      <c r="P243" s="242">
        <f t="shared" si="189"/>
        <v>0.35</v>
      </c>
      <c r="Q243" s="242">
        <f t="shared" si="189"/>
        <v>0.35</v>
      </c>
      <c r="R243" s="957"/>
      <c r="S243" s="1022"/>
      <c r="T243" s="674"/>
      <c r="U243" s="674"/>
      <c r="V243" s="729"/>
      <c r="W243" s="729"/>
      <c r="X243" s="729"/>
      <c r="Y243" s="729"/>
      <c r="Z243" s="729"/>
      <c r="AA243" s="729"/>
      <c r="AB243" s="729"/>
      <c r="AC243" s="729"/>
      <c r="AD243" s="729"/>
      <c r="AE243" s="729"/>
      <c r="AF243" s="729"/>
      <c r="AG243" s="729"/>
      <c r="AH243" s="729"/>
      <c r="AI243" s="729"/>
      <c r="AJ243" s="729"/>
    </row>
    <row r="244" spans="1:36">
      <c r="A244" s="674"/>
      <c r="B244" s="961"/>
      <c r="C244" s="674"/>
      <c r="D244" s="674"/>
      <c r="E244" s="957"/>
      <c r="F244" s="957"/>
      <c r="G244" s="957"/>
      <c r="H244" s="957"/>
      <c r="I244" s="957"/>
      <c r="J244" s="957"/>
      <c r="K244" s="957"/>
      <c r="L244" s="957"/>
      <c r="M244" s="957"/>
      <c r="N244" s="957"/>
      <c r="O244" s="957"/>
      <c r="P244" s="957"/>
      <c r="Q244" s="957"/>
      <c r="R244" s="957"/>
      <c r="S244" s="957"/>
      <c r="T244" s="674"/>
      <c r="U244" s="674"/>
      <c r="V244" s="729"/>
      <c r="W244" s="729"/>
      <c r="X244" s="729"/>
      <c r="Y244" s="729"/>
      <c r="Z244" s="729"/>
      <c r="AA244" s="729"/>
      <c r="AB244" s="729"/>
      <c r="AC244" s="729"/>
      <c r="AD244" s="729"/>
      <c r="AE244" s="729"/>
      <c r="AF244" s="729"/>
      <c r="AG244" s="729"/>
      <c r="AH244" s="729"/>
      <c r="AI244" s="729"/>
      <c r="AJ244" s="729"/>
    </row>
    <row r="245" spans="1:36">
      <c r="A245" s="674"/>
      <c r="B245" s="962" t="s">
        <v>504</v>
      </c>
      <c r="C245" s="674"/>
      <c r="D245" s="674"/>
      <c r="E245" s="957"/>
      <c r="F245" s="957"/>
      <c r="G245" s="957"/>
      <c r="H245" s="957"/>
      <c r="I245" s="957"/>
      <c r="J245" s="957"/>
      <c r="K245" s="957"/>
      <c r="L245" s="957"/>
      <c r="M245" s="957"/>
      <c r="N245" s="957"/>
      <c r="O245" s="957"/>
      <c r="P245" s="957"/>
      <c r="Q245" s="957"/>
      <c r="R245" s="957"/>
      <c r="S245" s="958" t="s">
        <v>342</v>
      </c>
      <c r="T245" s="674"/>
      <c r="U245" s="674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  <c r="AF245" s="729"/>
      <c r="AG245" s="729"/>
      <c r="AH245" s="729"/>
      <c r="AI245" s="729"/>
      <c r="AJ245" s="729"/>
    </row>
    <row r="246" spans="1:36">
      <c r="A246" s="674"/>
      <c r="B246" s="691" t="s">
        <v>505</v>
      </c>
      <c r="C246" s="674"/>
      <c r="D246" s="674"/>
      <c r="E246" s="957"/>
      <c r="F246" s="212">
        <f t="shared" ref="F246:Q246" si="190">F10/F6</f>
        <v>165920.7861788618</v>
      </c>
      <c r="G246" s="212">
        <f t="shared" si="190"/>
        <v>201685.13197831978</v>
      </c>
      <c r="H246" s="212">
        <f t="shared" si="190"/>
        <v>213290.2945799458</v>
      </c>
      <c r="I246" s="212">
        <f t="shared" si="190"/>
        <v>203487.17127371274</v>
      </c>
      <c r="J246" s="212">
        <f t="shared" si="190"/>
        <v>223987.73604336043</v>
      </c>
      <c r="K246" s="212">
        <f t="shared" si="190"/>
        <v>203645.88455284553</v>
      </c>
      <c r="L246" s="212">
        <f t="shared" si="190"/>
        <v>184252.18211382115</v>
      </c>
      <c r="M246" s="212">
        <f t="shared" si="190"/>
        <v>263499.7528994272</v>
      </c>
      <c r="N246" s="212">
        <f t="shared" si="190"/>
        <v>315037.47473193135</v>
      </c>
      <c r="O246" s="212">
        <f t="shared" si="190"/>
        <v>309453.36941719457</v>
      </c>
      <c r="P246" s="212">
        <f t="shared" si="190"/>
        <v>313484.60124900017</v>
      </c>
      <c r="Q246" s="212">
        <f t="shared" si="190"/>
        <v>337219.6485132213</v>
      </c>
      <c r="R246" s="957"/>
      <c r="S246" s="212">
        <f t="shared" ref="S246:S252" si="191">SUM(F246:Q246)</f>
        <v>2934964.0335316421</v>
      </c>
      <c r="T246" s="674"/>
      <c r="U246" s="674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  <c r="AF246" s="729"/>
      <c r="AG246" s="729"/>
      <c r="AH246" s="729"/>
      <c r="AI246" s="729"/>
      <c r="AJ246" s="729"/>
    </row>
    <row r="247" spans="1:36">
      <c r="A247" s="674"/>
      <c r="B247" s="691" t="s">
        <v>506</v>
      </c>
      <c r="C247" s="674"/>
      <c r="D247" s="674"/>
      <c r="E247" s="957"/>
      <c r="F247" s="212">
        <f t="shared" ref="F247:Q247" si="192">F11/F6</f>
        <v>64643.846612466128</v>
      </c>
      <c r="G247" s="212">
        <f t="shared" si="192"/>
        <v>93037.612737127376</v>
      </c>
      <c r="H247" s="212">
        <f t="shared" si="192"/>
        <v>123479.45826558265</v>
      </c>
      <c r="I247" s="212">
        <f t="shared" si="192"/>
        <v>102784.17181571816</v>
      </c>
      <c r="J247" s="212">
        <f t="shared" si="192"/>
        <v>96333.475067750682</v>
      </c>
      <c r="K247" s="212">
        <f t="shared" si="192"/>
        <v>94438.375609756098</v>
      </c>
      <c r="L247" s="212">
        <f t="shared" si="192"/>
        <v>87240.606504065043</v>
      </c>
      <c r="M247" s="212">
        <f t="shared" si="192"/>
        <v>95534.162714543796</v>
      </c>
      <c r="N247" s="212">
        <f t="shared" si="192"/>
        <v>95534.162714543796</v>
      </c>
      <c r="O247" s="212">
        <f t="shared" si="192"/>
        <v>95534.162714543796</v>
      </c>
      <c r="P247" s="212">
        <f t="shared" si="192"/>
        <v>98252.091982836486</v>
      </c>
      <c r="Q247" s="212">
        <f t="shared" si="192"/>
        <v>98252.091982836486</v>
      </c>
      <c r="R247" s="957"/>
      <c r="S247" s="212">
        <f t="shared" si="191"/>
        <v>1145064.2187217704</v>
      </c>
      <c r="T247" s="674"/>
      <c r="U247" s="674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  <c r="AF247" s="729"/>
      <c r="AG247" s="729"/>
      <c r="AH247" s="729"/>
      <c r="AI247" s="729"/>
      <c r="AJ247" s="729"/>
    </row>
    <row r="248" spans="1:36">
      <c r="A248" s="674"/>
      <c r="B248" s="691" t="s">
        <v>507</v>
      </c>
      <c r="C248" s="674"/>
      <c r="D248" s="674"/>
      <c r="E248" s="957"/>
      <c r="F248" s="212">
        <f t="shared" ref="F248:Q248" si="193">F12/F6</f>
        <v>26754.047425474255</v>
      </c>
      <c r="G248" s="212">
        <f t="shared" si="193"/>
        <v>28626.957181571815</v>
      </c>
      <c r="H248" s="212">
        <f t="shared" si="193"/>
        <v>38431.39972899729</v>
      </c>
      <c r="I248" s="212">
        <f t="shared" si="193"/>
        <v>30970.430081300812</v>
      </c>
      <c r="J248" s="212">
        <f t="shared" si="193"/>
        <v>31655.507859078592</v>
      </c>
      <c r="K248" s="212">
        <f t="shared" si="193"/>
        <v>30430.540108401085</v>
      </c>
      <c r="L248" s="212">
        <f t="shared" si="193"/>
        <v>29250.065582655825</v>
      </c>
      <c r="M248" s="212">
        <f t="shared" si="193"/>
        <v>36693.761427280937</v>
      </c>
      <c r="N248" s="212">
        <f t="shared" si="193"/>
        <v>36693.761427280937</v>
      </c>
      <c r="O248" s="212">
        <f t="shared" si="193"/>
        <v>36693.761427280937</v>
      </c>
      <c r="P248" s="212">
        <f t="shared" si="193"/>
        <v>36693.761427280937</v>
      </c>
      <c r="Q248" s="212">
        <f t="shared" si="193"/>
        <v>36693.761427280937</v>
      </c>
      <c r="R248" s="957"/>
      <c r="S248" s="212">
        <f t="shared" si="191"/>
        <v>399587.75510388444</v>
      </c>
      <c r="T248" s="674"/>
      <c r="U248" s="674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  <c r="AF248" s="729"/>
      <c r="AG248" s="729"/>
      <c r="AH248" s="729"/>
      <c r="AI248" s="729"/>
      <c r="AJ248" s="729"/>
    </row>
    <row r="249" spans="1:36">
      <c r="A249" s="674"/>
      <c r="B249" s="691" t="s">
        <v>508</v>
      </c>
      <c r="C249" s="674"/>
      <c r="D249" s="674"/>
      <c r="E249" s="957"/>
      <c r="F249" s="212">
        <f t="shared" ref="F249:Q249" si="194">F13/F6</f>
        <v>35664.026829268296</v>
      </c>
      <c r="G249" s="212">
        <f t="shared" si="194"/>
        <v>47054.797831978321</v>
      </c>
      <c r="H249" s="212">
        <f t="shared" si="194"/>
        <v>37836.253658536589</v>
      </c>
      <c r="I249" s="212">
        <f t="shared" si="194"/>
        <v>35254.855013550135</v>
      </c>
      <c r="J249" s="212">
        <f t="shared" si="194"/>
        <v>32583.526558265581</v>
      </c>
      <c r="K249" s="212">
        <f t="shared" si="194"/>
        <v>39784.135501355013</v>
      </c>
      <c r="L249" s="212">
        <f t="shared" si="194"/>
        <v>31913.614092140921</v>
      </c>
      <c r="M249" s="212">
        <f t="shared" si="194"/>
        <v>62569.927439024388</v>
      </c>
      <c r="N249" s="212">
        <f t="shared" si="194"/>
        <v>62569.927439024388</v>
      </c>
      <c r="O249" s="212">
        <f t="shared" si="194"/>
        <v>62569.927439024388</v>
      </c>
      <c r="P249" s="212">
        <f t="shared" si="194"/>
        <v>64407.701151761517</v>
      </c>
      <c r="Q249" s="212">
        <f t="shared" si="194"/>
        <v>64407.701151761517</v>
      </c>
      <c r="R249" s="957"/>
      <c r="S249" s="212">
        <f t="shared" si="191"/>
        <v>576616.394105691</v>
      </c>
      <c r="T249" s="674"/>
      <c r="U249" s="674"/>
      <c r="V249" s="729"/>
      <c r="W249" s="729"/>
      <c r="X249" s="729"/>
      <c r="Y249" s="729"/>
      <c r="Z249" s="729"/>
      <c r="AA249" s="729"/>
      <c r="AB249" s="729"/>
      <c r="AC249" s="729"/>
      <c r="AD249" s="729"/>
      <c r="AE249" s="729"/>
      <c r="AF249" s="729"/>
      <c r="AG249" s="729"/>
      <c r="AH249" s="729"/>
      <c r="AI249" s="729"/>
      <c r="AJ249" s="729"/>
    </row>
    <row r="250" spans="1:36">
      <c r="A250" s="674"/>
      <c r="B250" s="691" t="s">
        <v>509</v>
      </c>
      <c r="C250" s="674"/>
      <c r="D250" s="674"/>
      <c r="E250" s="1023"/>
      <c r="F250" s="212">
        <f t="shared" ref="F250:Q250" si="195">F14/F6</f>
        <v>19894.268834688348</v>
      </c>
      <c r="G250" s="212">
        <f t="shared" si="195"/>
        <v>20463.31653116531</v>
      </c>
      <c r="H250" s="212">
        <f t="shared" si="195"/>
        <v>19571.040108401085</v>
      </c>
      <c r="I250" s="212">
        <f t="shared" si="195"/>
        <v>33166.534959349592</v>
      </c>
      <c r="J250" s="212">
        <f t="shared" si="195"/>
        <v>32789.352574525743</v>
      </c>
      <c r="K250" s="212">
        <f t="shared" si="195"/>
        <v>29514.379403794039</v>
      </c>
      <c r="L250" s="212">
        <f t="shared" si="195"/>
        <v>27896.036314363144</v>
      </c>
      <c r="M250" s="212">
        <f t="shared" si="195"/>
        <v>30630.146522131887</v>
      </c>
      <c r="N250" s="212">
        <f t="shared" si="195"/>
        <v>30630.146522131887</v>
      </c>
      <c r="O250" s="212">
        <f t="shared" si="195"/>
        <v>30630.146522131887</v>
      </c>
      <c r="P250" s="212">
        <f t="shared" si="195"/>
        <v>30630.146522131887</v>
      </c>
      <c r="Q250" s="212">
        <f t="shared" si="195"/>
        <v>30630.146522131887</v>
      </c>
      <c r="R250" s="957"/>
      <c r="S250" s="212">
        <f t="shared" si="191"/>
        <v>336445.66133694665</v>
      </c>
      <c r="T250" s="674"/>
      <c r="U250" s="674"/>
      <c r="V250" s="729"/>
      <c r="W250" s="729"/>
      <c r="X250" s="729"/>
      <c r="Y250" s="729"/>
      <c r="Z250" s="729"/>
      <c r="AA250" s="729"/>
      <c r="AB250" s="729"/>
      <c r="AC250" s="729"/>
      <c r="AD250" s="729"/>
      <c r="AE250" s="729"/>
      <c r="AF250" s="729"/>
      <c r="AG250" s="729"/>
      <c r="AH250" s="729"/>
      <c r="AI250" s="729"/>
      <c r="AJ250" s="729"/>
    </row>
    <row r="251" spans="1:36">
      <c r="A251" s="674"/>
      <c r="B251" s="691" t="s">
        <v>510</v>
      </c>
      <c r="C251" s="674"/>
      <c r="D251" s="674"/>
      <c r="E251" s="1023"/>
      <c r="F251" s="212">
        <f t="shared" ref="F251:Q251" si="196">F15/F6</f>
        <v>161.97479674796747</v>
      </c>
      <c r="G251" s="212">
        <f t="shared" si="196"/>
        <v>3655.549051490515</v>
      </c>
      <c r="H251" s="212">
        <f t="shared" si="196"/>
        <v>-2763.5934959349593</v>
      </c>
      <c r="I251" s="212">
        <f t="shared" si="196"/>
        <v>245.67615176151762</v>
      </c>
      <c r="J251" s="212">
        <f t="shared" si="196"/>
        <v>370.28157181571817</v>
      </c>
      <c r="K251" s="212">
        <f t="shared" si="196"/>
        <v>1062.3981029810298</v>
      </c>
      <c r="L251" s="212">
        <f t="shared" si="196"/>
        <v>194.66422764227642</v>
      </c>
      <c r="M251" s="212">
        <f t="shared" si="196"/>
        <v>3172.5579042457089</v>
      </c>
      <c r="N251" s="212">
        <f t="shared" si="196"/>
        <v>3172.5579042457089</v>
      </c>
      <c r="O251" s="212">
        <f t="shared" si="196"/>
        <v>3172.5579042457089</v>
      </c>
      <c r="P251" s="212">
        <f t="shared" si="196"/>
        <v>3172.5579042457089</v>
      </c>
      <c r="Q251" s="212">
        <f t="shared" si="196"/>
        <v>3172.5579042457089</v>
      </c>
      <c r="R251" s="957"/>
      <c r="S251" s="212">
        <f t="shared" si="191"/>
        <v>18789.739927732608</v>
      </c>
      <c r="T251" s="674"/>
      <c r="U251" s="674"/>
      <c r="V251" s="729"/>
      <c r="W251" s="729"/>
      <c r="X251" s="729"/>
      <c r="Y251" s="729"/>
      <c r="Z251" s="729"/>
      <c r="AA251" s="729"/>
      <c r="AB251" s="729"/>
      <c r="AC251" s="729"/>
      <c r="AD251" s="729"/>
      <c r="AE251" s="729"/>
      <c r="AF251" s="729"/>
      <c r="AG251" s="729"/>
      <c r="AH251" s="729"/>
      <c r="AI251" s="729"/>
      <c r="AJ251" s="729"/>
    </row>
    <row r="252" spans="1:36">
      <c r="A252" s="674"/>
      <c r="B252" s="691" t="s">
        <v>511</v>
      </c>
      <c r="C252" s="674"/>
      <c r="D252" s="674"/>
      <c r="E252" s="1023"/>
      <c r="F252" s="212">
        <f t="shared" ref="F252:Q252" si="197">F16/F6</f>
        <v>1921.829539295393</v>
      </c>
      <c r="G252" s="212">
        <f t="shared" si="197"/>
        <v>1510.5943089430893</v>
      </c>
      <c r="H252" s="212">
        <f t="shared" si="197"/>
        <v>1489.8520325203251</v>
      </c>
      <c r="I252" s="212">
        <f t="shared" si="197"/>
        <v>1365.4726287262872</v>
      </c>
      <c r="J252" s="212">
        <f t="shared" si="197"/>
        <v>1626.2455284552846</v>
      </c>
      <c r="K252" s="212">
        <f t="shared" si="197"/>
        <v>1504.6325203252034</v>
      </c>
      <c r="L252" s="212">
        <f t="shared" si="197"/>
        <v>1450.8457994579946</v>
      </c>
      <c r="M252" s="212">
        <f t="shared" si="197"/>
        <v>2184.6701219512197</v>
      </c>
      <c r="N252" s="212">
        <f t="shared" si="197"/>
        <v>2184.6701219512197</v>
      </c>
      <c r="O252" s="212">
        <f t="shared" si="197"/>
        <v>2184.6701219512197</v>
      </c>
      <c r="P252" s="212">
        <f t="shared" si="197"/>
        <v>2184.6701219512197</v>
      </c>
      <c r="Q252" s="212">
        <f t="shared" si="197"/>
        <v>2184.6701219512197</v>
      </c>
      <c r="R252" s="957"/>
      <c r="S252" s="212">
        <f t="shared" si="191"/>
        <v>21792.822967479675</v>
      </c>
      <c r="T252" s="674"/>
      <c r="U252" s="674"/>
      <c r="V252" s="729"/>
      <c r="W252" s="729"/>
      <c r="X252" s="729"/>
      <c r="Y252" s="729"/>
      <c r="Z252" s="729"/>
      <c r="AA252" s="729"/>
      <c r="AB252" s="729"/>
      <c r="AC252" s="729"/>
      <c r="AD252" s="729"/>
      <c r="AE252" s="729"/>
      <c r="AF252" s="729"/>
      <c r="AG252" s="729"/>
      <c r="AH252" s="729"/>
      <c r="AI252" s="729"/>
      <c r="AJ252" s="729"/>
    </row>
    <row r="253" spans="1:36" ht="15" thickBot="1">
      <c r="A253" s="674"/>
      <c r="B253" s="691"/>
      <c r="C253" s="674"/>
      <c r="D253" s="674"/>
      <c r="E253" s="957"/>
      <c r="F253" s="957"/>
      <c r="G253" s="957"/>
      <c r="H253" s="957"/>
      <c r="I253" s="957"/>
      <c r="J253" s="957"/>
      <c r="K253" s="957"/>
      <c r="L253" s="957"/>
      <c r="M253" s="957"/>
      <c r="N253" s="957"/>
      <c r="O253" s="957"/>
      <c r="P253" s="957"/>
      <c r="Q253" s="957"/>
      <c r="R253" s="957"/>
      <c r="S253" s="957"/>
      <c r="T253" s="674"/>
      <c r="U253" s="674"/>
      <c r="V253" s="729"/>
      <c r="W253" s="729"/>
      <c r="X253" s="729"/>
      <c r="Y253" s="729"/>
      <c r="Z253" s="729"/>
      <c r="AA253" s="729"/>
      <c r="AB253" s="729"/>
      <c r="AC253" s="729"/>
      <c r="AD253" s="729"/>
      <c r="AE253" s="729"/>
      <c r="AF253" s="729"/>
      <c r="AG253" s="729"/>
      <c r="AH253" s="729"/>
      <c r="AI253" s="729"/>
      <c r="AJ253" s="729"/>
    </row>
    <row r="254" spans="1:36">
      <c r="A254" s="682"/>
      <c r="B254" s="551" t="s">
        <v>512</v>
      </c>
      <c r="C254" s="977"/>
      <c r="D254" s="977"/>
      <c r="E254" s="1024"/>
      <c r="F254" s="1024"/>
      <c r="G254" s="1024"/>
      <c r="H254" s="1024"/>
      <c r="I254" s="1024"/>
      <c r="J254" s="1024"/>
      <c r="K254" s="1024"/>
      <c r="L254" s="1024"/>
      <c r="M254" s="1024"/>
      <c r="N254" s="1024"/>
      <c r="O254" s="1024"/>
      <c r="P254" s="1024"/>
      <c r="Q254" s="1024"/>
      <c r="R254" s="553"/>
      <c r="S254" s="1024"/>
      <c r="T254" s="682"/>
      <c r="U254" s="682"/>
      <c r="V254" s="729"/>
      <c r="W254" s="729"/>
      <c r="X254" s="729"/>
      <c r="Y254" s="729"/>
      <c r="Z254" s="729"/>
      <c r="AA254" s="729"/>
      <c r="AB254" s="729"/>
      <c r="AC254" s="729"/>
      <c r="AD254" s="729"/>
      <c r="AE254" s="729"/>
      <c r="AF254" s="729"/>
      <c r="AG254" s="729"/>
      <c r="AH254" s="729"/>
      <c r="AI254" s="729"/>
      <c r="AJ254" s="729"/>
    </row>
    <row r="255" spans="1:36">
      <c r="A255" s="674"/>
      <c r="B255" s="691" t="s">
        <v>513</v>
      </c>
      <c r="C255" s="674"/>
      <c r="D255" s="674"/>
      <c r="E255" s="212">
        <f>E27</f>
        <v>84</v>
      </c>
      <c r="F255" s="1022"/>
      <c r="G255" s="1022"/>
      <c r="H255" s="1022"/>
      <c r="I255" s="1022"/>
      <c r="J255" s="1022"/>
      <c r="K255" s="1022"/>
      <c r="L255" s="1022"/>
      <c r="M255" s="1022"/>
      <c r="N255" s="1022"/>
      <c r="O255" s="1022"/>
      <c r="P255" s="1022"/>
      <c r="Q255" s="1022"/>
      <c r="R255" s="957"/>
      <c r="S255" s="1022"/>
      <c r="T255" s="674"/>
      <c r="U255" s="674"/>
      <c r="V255" s="729"/>
      <c r="W255" s="729"/>
      <c r="X255" s="729"/>
      <c r="Y255" s="729"/>
      <c r="Z255" s="729"/>
      <c r="AA255" s="729"/>
      <c r="AB255" s="729"/>
      <c r="AC255" s="729"/>
      <c r="AD255" s="729"/>
      <c r="AE255" s="729"/>
      <c r="AF255" s="729"/>
      <c r="AG255" s="729"/>
      <c r="AH255" s="729"/>
      <c r="AI255" s="729"/>
      <c r="AJ255" s="729"/>
    </row>
    <row r="256" spans="1:36">
      <c r="A256" s="674"/>
      <c r="B256" s="691" t="s">
        <v>514</v>
      </c>
      <c r="C256" s="674"/>
      <c r="D256" s="674"/>
      <c r="E256" s="212">
        <f>E28</f>
        <v>52</v>
      </c>
      <c r="F256" s="1022"/>
      <c r="G256" s="1022"/>
      <c r="H256" s="1022"/>
      <c r="I256" s="1022"/>
      <c r="J256" s="1022"/>
      <c r="K256" s="1022"/>
      <c r="L256" s="1022"/>
      <c r="M256" s="1022"/>
      <c r="N256" s="1022"/>
      <c r="O256" s="1022"/>
      <c r="P256" s="1022"/>
      <c r="Q256" s="1022"/>
      <c r="R256" s="957"/>
      <c r="S256" s="1022"/>
      <c r="T256" s="674"/>
      <c r="U256" s="674"/>
      <c r="V256" s="729"/>
      <c r="W256" s="729"/>
      <c r="X256" s="729"/>
      <c r="Y256" s="729"/>
      <c r="Z256" s="729"/>
      <c r="AA256" s="729"/>
      <c r="AB256" s="729"/>
      <c r="AC256" s="729"/>
      <c r="AD256" s="729"/>
      <c r="AE256" s="729"/>
      <c r="AF256" s="729"/>
      <c r="AG256" s="729"/>
      <c r="AH256" s="729"/>
      <c r="AI256" s="729"/>
      <c r="AJ256" s="729"/>
    </row>
    <row r="257" spans="1:36">
      <c r="A257" s="674"/>
      <c r="B257" s="691" t="s">
        <v>515</v>
      </c>
      <c r="C257" s="674"/>
      <c r="D257" s="674"/>
      <c r="E257" s="212">
        <f>E29</f>
        <v>60</v>
      </c>
      <c r="F257" s="1022"/>
      <c r="G257" s="1022"/>
      <c r="H257" s="1022"/>
      <c r="I257" s="1022"/>
      <c r="J257" s="1022"/>
      <c r="K257" s="1022"/>
      <c r="L257" s="1022"/>
      <c r="M257" s="1022"/>
      <c r="N257" s="1022"/>
      <c r="O257" s="1022"/>
      <c r="P257" s="1022"/>
      <c r="Q257" s="1022"/>
      <c r="R257" s="957"/>
      <c r="S257" s="1022"/>
      <c r="T257" s="674"/>
      <c r="U257" s="674"/>
      <c r="V257" s="729"/>
      <c r="W257" s="729"/>
      <c r="X257" s="729"/>
      <c r="Y257" s="729"/>
      <c r="Z257" s="729"/>
      <c r="AA257" s="729"/>
      <c r="AB257" s="729"/>
      <c r="AC257" s="729"/>
      <c r="AD257" s="729"/>
      <c r="AE257" s="729"/>
      <c r="AF257" s="729"/>
      <c r="AG257" s="729"/>
      <c r="AH257" s="729"/>
      <c r="AI257" s="729"/>
      <c r="AJ257" s="729"/>
    </row>
    <row r="258" spans="1:36">
      <c r="A258" s="674"/>
      <c r="B258" s="691" t="s">
        <v>516</v>
      </c>
      <c r="C258" s="674"/>
      <c r="D258" s="674"/>
      <c r="E258" s="212">
        <f>E30</f>
        <v>7360092</v>
      </c>
      <c r="F258" s="1022"/>
      <c r="G258" s="1022"/>
      <c r="H258" s="1022"/>
      <c r="I258" s="1022"/>
      <c r="J258" s="1022"/>
      <c r="K258" s="1022"/>
      <c r="L258" s="1022"/>
      <c r="M258" s="1022"/>
      <c r="N258" s="1022"/>
      <c r="O258" s="1022"/>
      <c r="P258" s="1022"/>
      <c r="Q258" s="1022"/>
      <c r="R258" s="957"/>
      <c r="S258" s="1022"/>
      <c r="T258" s="674"/>
      <c r="U258" s="674"/>
      <c r="V258" s="729"/>
      <c r="W258" s="729"/>
      <c r="X258" s="729"/>
      <c r="Y258" s="729"/>
      <c r="Z258" s="729"/>
      <c r="AA258" s="729"/>
      <c r="AB258" s="729"/>
      <c r="AC258" s="729"/>
      <c r="AD258" s="729"/>
      <c r="AE258" s="729"/>
      <c r="AF258" s="729"/>
      <c r="AG258" s="729"/>
      <c r="AH258" s="729"/>
      <c r="AI258" s="729"/>
      <c r="AJ258" s="729"/>
    </row>
    <row r="259" spans="1:36">
      <c r="A259" s="674"/>
      <c r="B259" s="691" t="s">
        <v>517</v>
      </c>
      <c r="C259" s="674"/>
      <c r="D259" s="674"/>
      <c r="E259" s="242">
        <f>E31</f>
        <v>1</v>
      </c>
      <c r="F259" s="1022"/>
      <c r="G259" s="1022"/>
      <c r="H259" s="1022"/>
      <c r="I259" s="1022"/>
      <c r="J259" s="1022"/>
      <c r="K259" s="1022"/>
      <c r="L259" s="1022"/>
      <c r="M259" s="1022"/>
      <c r="N259" s="1022"/>
      <c r="O259" s="1022"/>
      <c r="P259" s="1022"/>
      <c r="Q259" s="1022"/>
      <c r="R259" s="957"/>
      <c r="S259" s="1022"/>
      <c r="T259" s="674"/>
      <c r="U259" s="674"/>
      <c r="V259" s="729"/>
      <c r="W259" s="729"/>
      <c r="X259" s="729"/>
      <c r="Y259" s="729"/>
      <c r="Z259" s="729"/>
      <c r="AA259" s="729"/>
      <c r="AB259" s="729"/>
      <c r="AC259" s="729"/>
      <c r="AD259" s="729"/>
      <c r="AE259" s="729"/>
      <c r="AF259" s="729"/>
      <c r="AG259" s="729"/>
      <c r="AH259" s="729"/>
      <c r="AI259" s="729"/>
      <c r="AJ259" s="729"/>
    </row>
    <row r="260" spans="1:36" ht="15" thickBot="1">
      <c r="A260" s="674"/>
      <c r="B260" s="691"/>
      <c r="C260" s="674"/>
      <c r="D260" s="674"/>
      <c r="E260" s="957"/>
      <c r="F260" s="957"/>
      <c r="G260" s="957"/>
      <c r="H260" s="957"/>
      <c r="I260" s="957"/>
      <c r="J260" s="957"/>
      <c r="K260" s="957"/>
      <c r="L260" s="957"/>
      <c r="M260" s="957"/>
      <c r="N260" s="957"/>
      <c r="O260" s="957"/>
      <c r="P260" s="957"/>
      <c r="Q260" s="957"/>
      <c r="R260" s="957"/>
      <c r="S260" s="957"/>
      <c r="T260" s="674"/>
      <c r="U260" s="674"/>
      <c r="V260" s="729"/>
      <c r="W260" s="729"/>
      <c r="X260" s="729"/>
      <c r="Y260" s="729"/>
      <c r="Z260" s="729"/>
      <c r="AA260" s="729"/>
      <c r="AB260" s="729"/>
      <c r="AC260" s="729"/>
      <c r="AD260" s="729"/>
      <c r="AE260" s="729"/>
      <c r="AF260" s="729"/>
      <c r="AG260" s="729"/>
      <c r="AH260" s="729"/>
      <c r="AI260" s="729"/>
      <c r="AJ260" s="729"/>
    </row>
    <row r="261" spans="1:36">
      <c r="A261" s="682"/>
      <c r="B261" s="551" t="s">
        <v>518</v>
      </c>
      <c r="C261" s="977"/>
      <c r="D261" s="977"/>
      <c r="E261" s="978"/>
      <c r="F261" s="978"/>
      <c r="G261" s="978"/>
      <c r="H261" s="978"/>
      <c r="I261" s="978"/>
      <c r="J261" s="978"/>
      <c r="K261" s="978"/>
      <c r="L261" s="978"/>
      <c r="M261" s="978"/>
      <c r="N261" s="978"/>
      <c r="O261" s="978"/>
      <c r="P261" s="978"/>
      <c r="Q261" s="978"/>
      <c r="R261" s="553"/>
      <c r="S261" s="978"/>
      <c r="T261" s="682"/>
      <c r="U261" s="682"/>
      <c r="V261" s="729"/>
      <c r="W261" s="729"/>
      <c r="X261" s="729"/>
      <c r="Y261" s="729"/>
      <c r="Z261" s="729"/>
      <c r="AA261" s="729"/>
      <c r="AB261" s="729"/>
      <c r="AC261" s="729"/>
      <c r="AD261" s="729"/>
      <c r="AE261" s="729"/>
      <c r="AF261" s="729"/>
      <c r="AG261" s="729"/>
      <c r="AH261" s="729"/>
      <c r="AI261" s="729"/>
      <c r="AJ261" s="729"/>
    </row>
    <row r="262" spans="1:36">
      <c r="A262" s="674"/>
      <c r="B262" s="691" t="s">
        <v>519</v>
      </c>
      <c r="C262" s="674"/>
      <c r="D262" s="674"/>
      <c r="E262" s="212">
        <f>E34/F6</f>
        <v>62726.0162601626</v>
      </c>
      <c r="F262" s="1023"/>
      <c r="G262" s="1023"/>
      <c r="H262" s="1023"/>
      <c r="I262" s="1023"/>
      <c r="J262" s="1023"/>
      <c r="K262" s="1023"/>
      <c r="L262" s="1023"/>
      <c r="M262" s="1023"/>
      <c r="N262" s="1023"/>
      <c r="O262" s="1023"/>
      <c r="P262" s="1023"/>
      <c r="Q262" s="1023"/>
      <c r="R262" s="957"/>
      <c r="S262" s="1023"/>
      <c r="T262" s="674"/>
      <c r="U262" s="674"/>
      <c r="V262" s="729"/>
      <c r="W262" s="729"/>
      <c r="X262" s="729"/>
      <c r="Y262" s="729"/>
      <c r="Z262" s="729"/>
      <c r="AA262" s="729"/>
      <c r="AB262" s="729"/>
      <c r="AC262" s="729"/>
      <c r="AD262" s="729"/>
      <c r="AE262" s="729"/>
      <c r="AF262" s="729"/>
      <c r="AG262" s="729"/>
      <c r="AH262" s="729"/>
      <c r="AI262" s="729"/>
      <c r="AJ262" s="729"/>
    </row>
    <row r="263" spans="1:36">
      <c r="A263" s="674"/>
      <c r="B263" s="691" t="s">
        <v>520</v>
      </c>
      <c r="C263" s="674"/>
      <c r="D263" s="674"/>
      <c r="E263" s="212">
        <f>E35/F6</f>
        <v>496828.18428184284</v>
      </c>
      <c r="F263" s="1023"/>
      <c r="G263" s="1023"/>
      <c r="H263" s="1023"/>
      <c r="I263" s="1023"/>
      <c r="J263" s="1023"/>
      <c r="K263" s="1023"/>
      <c r="L263" s="1023"/>
      <c r="M263" s="1023"/>
      <c r="N263" s="1023"/>
      <c r="O263" s="1023"/>
      <c r="P263" s="1023"/>
      <c r="Q263" s="1023"/>
      <c r="R263" s="957"/>
      <c r="S263" s="1023"/>
      <c r="T263" s="674"/>
      <c r="U263" s="674"/>
      <c r="V263" s="729"/>
      <c r="W263" s="729"/>
      <c r="X263" s="729"/>
      <c r="Y263" s="729"/>
      <c r="Z263" s="729"/>
      <c r="AA263" s="729"/>
      <c r="AB263" s="729"/>
      <c r="AC263" s="729"/>
      <c r="AD263" s="729"/>
      <c r="AE263" s="729"/>
      <c r="AF263" s="729"/>
      <c r="AG263" s="729"/>
      <c r="AH263" s="729"/>
      <c r="AI263" s="729"/>
      <c r="AJ263" s="729"/>
    </row>
    <row r="264" spans="1:36">
      <c r="A264" s="674"/>
      <c r="B264" s="691" t="s">
        <v>521</v>
      </c>
      <c r="C264" s="674"/>
      <c r="D264" s="674"/>
      <c r="E264" s="212">
        <f>E36/F6</f>
        <v>24939.837398373984</v>
      </c>
      <c r="F264" s="1023"/>
      <c r="G264" s="1023"/>
      <c r="H264" s="1023"/>
      <c r="I264" s="1023"/>
      <c r="J264" s="1023"/>
      <c r="K264" s="1023"/>
      <c r="L264" s="1023"/>
      <c r="M264" s="1023"/>
      <c r="N264" s="1023"/>
      <c r="O264" s="1023"/>
      <c r="P264" s="1023"/>
      <c r="Q264" s="1023"/>
      <c r="R264" s="957"/>
      <c r="S264" s="1023"/>
      <c r="T264" s="674"/>
      <c r="U264" s="674"/>
      <c r="V264" s="729"/>
      <c r="W264" s="729"/>
      <c r="X264" s="729"/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</row>
    <row r="265" spans="1:36">
      <c r="A265" s="674"/>
      <c r="B265" s="691" t="s">
        <v>522</v>
      </c>
      <c r="C265" s="674"/>
      <c r="D265" s="674"/>
      <c r="E265" s="212">
        <f>E37/F6</f>
        <v>894830.62330623309</v>
      </c>
      <c r="F265" s="1023"/>
      <c r="G265" s="1023"/>
      <c r="H265" s="1023"/>
      <c r="I265" s="1023"/>
      <c r="J265" s="1023"/>
      <c r="K265" s="1023"/>
      <c r="L265" s="1023"/>
      <c r="M265" s="1023"/>
      <c r="N265" s="1023"/>
      <c r="O265" s="1023"/>
      <c r="P265" s="1023"/>
      <c r="Q265" s="1023"/>
      <c r="R265" s="957"/>
      <c r="S265" s="1023"/>
      <c r="T265" s="674"/>
      <c r="U265" s="674"/>
      <c r="V265" s="729"/>
      <c r="W265" s="729"/>
      <c r="X265" s="729"/>
      <c r="Y265" s="729"/>
      <c r="Z265" s="729"/>
      <c r="AA265" s="729"/>
      <c r="AB265" s="729"/>
      <c r="AC265" s="729"/>
      <c r="AD265" s="729"/>
      <c r="AE265" s="729"/>
      <c r="AF265" s="729"/>
      <c r="AG265" s="729"/>
      <c r="AH265" s="729"/>
      <c r="AI265" s="729"/>
      <c r="AJ265" s="729"/>
    </row>
    <row r="266" spans="1:36">
      <c r="A266" s="674"/>
      <c r="B266" s="691" t="s">
        <v>523</v>
      </c>
      <c r="C266" s="674"/>
      <c r="D266" s="674"/>
      <c r="E266" s="212">
        <f>E38/F6</f>
        <v>56697.018970189703</v>
      </c>
      <c r="F266" s="1023"/>
      <c r="G266" s="1023"/>
      <c r="H266" s="1023"/>
      <c r="I266" s="1023"/>
      <c r="J266" s="1023"/>
      <c r="K266" s="1023"/>
      <c r="L266" s="1023"/>
      <c r="M266" s="1023"/>
      <c r="N266" s="1023"/>
      <c r="O266" s="1023"/>
      <c r="P266" s="1023"/>
      <c r="Q266" s="1023"/>
      <c r="R266" s="957"/>
      <c r="S266" s="1023"/>
      <c r="T266" s="674"/>
      <c r="U266" s="674"/>
      <c r="V266" s="729"/>
      <c r="W266" s="729"/>
      <c r="X266" s="729"/>
      <c r="Y266" s="729"/>
      <c r="Z266" s="729"/>
      <c r="AA266" s="729"/>
      <c r="AB266" s="729"/>
      <c r="AC266" s="729"/>
      <c r="AD266" s="729"/>
      <c r="AE266" s="729"/>
      <c r="AF266" s="729"/>
      <c r="AG266" s="729"/>
      <c r="AH266" s="729"/>
      <c r="AI266" s="729"/>
      <c r="AJ266" s="729"/>
    </row>
    <row r="267" spans="1:36">
      <c r="A267" s="674"/>
      <c r="B267" s="691" t="s">
        <v>378</v>
      </c>
      <c r="C267" s="674"/>
      <c r="D267" s="674"/>
      <c r="E267" s="212">
        <f>E39/F6</f>
        <v>111111.11111111111</v>
      </c>
      <c r="F267" s="1023"/>
      <c r="G267" s="1023"/>
      <c r="H267" s="1023"/>
      <c r="I267" s="1023"/>
      <c r="J267" s="1023"/>
      <c r="K267" s="1023"/>
      <c r="L267" s="1023"/>
      <c r="M267" s="1023"/>
      <c r="N267" s="1023"/>
      <c r="O267" s="1023"/>
      <c r="P267" s="1023"/>
      <c r="Q267" s="1023"/>
      <c r="R267" s="957"/>
      <c r="S267" s="1023"/>
      <c r="T267" s="674"/>
      <c r="U267" s="674"/>
      <c r="V267" s="729"/>
      <c r="W267" s="729"/>
      <c r="X267" s="729"/>
      <c r="Y267" s="729"/>
      <c r="Z267" s="729"/>
      <c r="AA267" s="729"/>
      <c r="AB267" s="729"/>
      <c r="AC267" s="729"/>
      <c r="AD267" s="729"/>
      <c r="AE267" s="729"/>
      <c r="AF267" s="729"/>
      <c r="AG267" s="729"/>
      <c r="AH267" s="729"/>
      <c r="AI267" s="729"/>
      <c r="AJ267" s="729"/>
    </row>
    <row r="268" spans="1:36">
      <c r="A268" s="674"/>
      <c r="B268" s="691" t="s">
        <v>524</v>
      </c>
      <c r="C268" s="674"/>
      <c r="D268" s="674"/>
      <c r="E268" s="212">
        <f>E40/F6</f>
        <v>147615.98915989159</v>
      </c>
      <c r="F268" s="1023"/>
      <c r="G268" s="1023"/>
      <c r="H268" s="1023"/>
      <c r="I268" s="1023"/>
      <c r="J268" s="1023"/>
      <c r="K268" s="1023"/>
      <c r="L268" s="1023"/>
      <c r="M268" s="1023"/>
      <c r="N268" s="1023"/>
      <c r="O268" s="1023"/>
      <c r="P268" s="1023"/>
      <c r="Q268" s="1023"/>
      <c r="R268" s="957"/>
      <c r="S268" s="1023"/>
      <c r="T268" s="674"/>
      <c r="U268" s="674"/>
      <c r="V268" s="729"/>
      <c r="W268" s="729"/>
      <c r="X268" s="729"/>
      <c r="Y268" s="729"/>
      <c r="Z268" s="729"/>
      <c r="AA268" s="729"/>
      <c r="AB268" s="729"/>
      <c r="AC268" s="729"/>
      <c r="AD268" s="729"/>
      <c r="AE268" s="729"/>
      <c r="AF268" s="729"/>
      <c r="AG268" s="729"/>
      <c r="AH268" s="729"/>
      <c r="AI268" s="729"/>
      <c r="AJ268" s="729"/>
    </row>
    <row r="269" spans="1:36">
      <c r="A269" s="674"/>
      <c r="B269" s="691" t="s">
        <v>525</v>
      </c>
      <c r="C269" s="674"/>
      <c r="D269" s="674"/>
      <c r="E269" s="212">
        <f>E41/F6</f>
        <v>719490.24390243902</v>
      </c>
      <c r="F269" s="1023"/>
      <c r="G269" s="1023"/>
      <c r="H269" s="1023"/>
      <c r="I269" s="1023"/>
      <c r="J269" s="1023"/>
      <c r="K269" s="1023"/>
      <c r="L269" s="1023"/>
      <c r="M269" s="1023"/>
      <c r="N269" s="1023"/>
      <c r="O269" s="1023"/>
      <c r="P269" s="1023"/>
      <c r="Q269" s="1023"/>
      <c r="R269" s="957"/>
      <c r="S269" s="1023"/>
      <c r="T269" s="674"/>
      <c r="U269" s="674"/>
      <c r="V269" s="729"/>
      <c r="W269" s="729"/>
      <c r="X269" s="729"/>
      <c r="Y269" s="729"/>
      <c r="Z269" s="729"/>
      <c r="AA269" s="729"/>
      <c r="AB269" s="729"/>
      <c r="AC269" s="729"/>
      <c r="AD269" s="729"/>
      <c r="AE269" s="729"/>
      <c r="AF269" s="729"/>
      <c r="AG269" s="729"/>
      <c r="AH269" s="729"/>
      <c r="AI269" s="729"/>
      <c r="AJ269" s="729"/>
    </row>
    <row r="270" spans="1:36">
      <c r="A270" s="674"/>
      <c r="B270" s="691" t="s">
        <v>526</v>
      </c>
      <c r="C270" s="674"/>
      <c r="D270" s="674"/>
      <c r="E270" s="212">
        <f>E42/F6</f>
        <v>10860.975609756097</v>
      </c>
      <c r="F270" s="1023"/>
      <c r="G270" s="1023"/>
      <c r="H270" s="1023"/>
      <c r="I270" s="1023"/>
      <c r="J270" s="1023"/>
      <c r="K270" s="1023"/>
      <c r="L270" s="1023"/>
      <c r="M270" s="1023"/>
      <c r="N270" s="1023"/>
      <c r="O270" s="1023"/>
      <c r="P270" s="1023"/>
      <c r="Q270" s="1023"/>
      <c r="R270" s="957"/>
      <c r="S270" s="1023"/>
      <c r="T270" s="674"/>
      <c r="U270" s="674"/>
      <c r="V270" s="729"/>
      <c r="W270" s="729"/>
      <c r="X270" s="729"/>
      <c r="Y270" s="729"/>
      <c r="Z270" s="729"/>
      <c r="AA270" s="729"/>
      <c r="AB270" s="729"/>
      <c r="AC270" s="729"/>
      <c r="AD270" s="729"/>
      <c r="AE270" s="729"/>
      <c r="AF270" s="729"/>
      <c r="AG270" s="729"/>
      <c r="AH270" s="729"/>
      <c r="AI270" s="729"/>
      <c r="AJ270" s="729"/>
    </row>
    <row r="271" spans="1:36">
      <c r="A271" s="674"/>
      <c r="B271" s="691" t="s">
        <v>527</v>
      </c>
      <c r="C271" s="674"/>
      <c r="D271" s="674"/>
      <c r="E271" s="212">
        <f>E43/F6</f>
        <v>90292.140921409213</v>
      </c>
      <c r="F271" s="1023"/>
      <c r="G271" s="1023"/>
      <c r="H271" s="1023"/>
      <c r="I271" s="1023"/>
      <c r="J271" s="1023"/>
      <c r="K271" s="1023"/>
      <c r="L271" s="1023"/>
      <c r="M271" s="1023"/>
      <c r="N271" s="1023"/>
      <c r="O271" s="1023"/>
      <c r="P271" s="1023"/>
      <c r="Q271" s="1023"/>
      <c r="R271" s="957"/>
      <c r="S271" s="1023"/>
      <c r="T271" s="674"/>
      <c r="U271" s="674"/>
      <c r="V271" s="729"/>
      <c r="W271" s="729"/>
      <c r="X271" s="729"/>
      <c r="Y271" s="729"/>
      <c r="Z271" s="729"/>
      <c r="AA271" s="729"/>
      <c r="AB271" s="729"/>
      <c r="AC271" s="729"/>
      <c r="AD271" s="729"/>
      <c r="AE271" s="729"/>
      <c r="AF271" s="729"/>
      <c r="AG271" s="729"/>
      <c r="AH271" s="729"/>
      <c r="AI271" s="729"/>
      <c r="AJ271" s="729"/>
    </row>
    <row r="272" spans="1:36">
      <c r="A272" s="674"/>
      <c r="B272" s="691" t="s">
        <v>528</v>
      </c>
      <c r="C272" s="674"/>
      <c r="D272" s="674"/>
      <c r="E272" s="212">
        <f>E44/F6</f>
        <v>21710.298102981029</v>
      </c>
      <c r="F272" s="1023"/>
      <c r="G272" s="1023"/>
      <c r="H272" s="1023"/>
      <c r="I272" s="1023"/>
      <c r="J272" s="1023"/>
      <c r="K272" s="1023"/>
      <c r="L272" s="1023"/>
      <c r="M272" s="1023"/>
      <c r="N272" s="1023"/>
      <c r="O272" s="1023"/>
      <c r="P272" s="1023"/>
      <c r="Q272" s="1023"/>
      <c r="R272" s="957"/>
      <c r="S272" s="1023"/>
      <c r="T272" s="674"/>
      <c r="U272" s="674"/>
      <c r="V272" s="729"/>
      <c r="W272" s="729"/>
      <c r="X272" s="729"/>
      <c r="Y272" s="729"/>
      <c r="Z272" s="729"/>
      <c r="AA272" s="729"/>
      <c r="AB272" s="729"/>
      <c r="AC272" s="729"/>
      <c r="AD272" s="729"/>
      <c r="AE272" s="729"/>
      <c r="AF272" s="729"/>
      <c r="AG272" s="729"/>
      <c r="AH272" s="729"/>
      <c r="AI272" s="729"/>
      <c r="AJ272" s="729"/>
    </row>
    <row r="273" spans="1:36">
      <c r="A273" s="674"/>
      <c r="B273" s="691" t="s">
        <v>529</v>
      </c>
      <c r="C273" s="674"/>
      <c r="D273" s="674"/>
      <c r="E273" s="212">
        <f>E45/F6</f>
        <v>328005.14905149053</v>
      </c>
      <c r="F273" s="1023"/>
      <c r="G273" s="1023"/>
      <c r="H273" s="1023"/>
      <c r="I273" s="1023"/>
      <c r="J273" s="1023"/>
      <c r="K273" s="1023"/>
      <c r="L273" s="1023"/>
      <c r="M273" s="1023"/>
      <c r="N273" s="1023"/>
      <c r="O273" s="1023"/>
      <c r="P273" s="1023"/>
      <c r="Q273" s="1023"/>
      <c r="R273" s="957"/>
      <c r="S273" s="1023"/>
      <c r="T273" s="674"/>
      <c r="U273" s="674"/>
      <c r="V273" s="729"/>
      <c r="W273" s="729"/>
      <c r="X273" s="729"/>
      <c r="Y273" s="729"/>
      <c r="Z273" s="729"/>
      <c r="AA273" s="729"/>
      <c r="AB273" s="729"/>
      <c r="AC273" s="729"/>
      <c r="AD273" s="729"/>
      <c r="AE273" s="729"/>
      <c r="AF273" s="729"/>
      <c r="AG273" s="729"/>
      <c r="AH273" s="729"/>
      <c r="AI273" s="729"/>
      <c r="AJ273" s="729"/>
    </row>
    <row r="274" spans="1:36">
      <c r="A274" s="674"/>
      <c r="B274" s="691" t="s">
        <v>530</v>
      </c>
      <c r="C274" s="674"/>
      <c r="D274" s="674"/>
      <c r="E274" s="212">
        <f>E46/F6</f>
        <v>329157.99457994581</v>
      </c>
      <c r="F274" s="1023"/>
      <c r="G274" s="1023"/>
      <c r="H274" s="1023"/>
      <c r="I274" s="1023"/>
      <c r="J274" s="1023"/>
      <c r="K274" s="1023"/>
      <c r="L274" s="1023"/>
      <c r="M274" s="1023"/>
      <c r="N274" s="1023"/>
      <c r="O274" s="1023"/>
      <c r="P274" s="1023"/>
      <c r="Q274" s="1023"/>
      <c r="R274" s="957"/>
      <c r="S274" s="1023"/>
      <c r="T274" s="674"/>
      <c r="U274" s="674"/>
      <c r="V274" s="729"/>
      <c r="W274" s="729"/>
      <c r="X274" s="729"/>
      <c r="Y274" s="729"/>
      <c r="Z274" s="729"/>
      <c r="AA274" s="729"/>
      <c r="AB274" s="729"/>
      <c r="AC274" s="729"/>
      <c r="AD274" s="729"/>
      <c r="AE274" s="729"/>
      <c r="AF274" s="729"/>
      <c r="AG274" s="729"/>
      <c r="AH274" s="729"/>
      <c r="AI274" s="729"/>
      <c r="AJ274" s="729"/>
    </row>
    <row r="275" spans="1:36">
      <c r="A275" s="674"/>
      <c r="B275" s="691"/>
      <c r="C275" s="674"/>
      <c r="D275" s="674"/>
      <c r="E275" s="957"/>
      <c r="F275" s="957"/>
      <c r="G275" s="957"/>
      <c r="H275" s="957"/>
      <c r="I275" s="957"/>
      <c r="J275" s="957"/>
      <c r="K275" s="957"/>
      <c r="L275" s="957"/>
      <c r="M275" s="957"/>
      <c r="N275" s="957"/>
      <c r="O275" s="957"/>
      <c r="P275" s="957"/>
      <c r="Q275" s="957"/>
      <c r="R275" s="957"/>
      <c r="S275" s="957"/>
      <c r="T275" s="674"/>
      <c r="U275" s="674"/>
      <c r="V275" s="729"/>
      <c r="W275" s="729"/>
      <c r="X275" s="729"/>
      <c r="Y275" s="729"/>
      <c r="Z275" s="729"/>
      <c r="AA275" s="729"/>
      <c r="AB275" s="729"/>
      <c r="AC275" s="729"/>
      <c r="AD275" s="729"/>
      <c r="AE275" s="729"/>
      <c r="AF275" s="729"/>
      <c r="AG275" s="729"/>
      <c r="AH275" s="729"/>
      <c r="AI275" s="729"/>
      <c r="AJ275" s="729"/>
    </row>
    <row r="276" spans="1:36" ht="15" thickBot="1">
      <c r="A276" s="674"/>
      <c r="B276" s="691"/>
      <c r="C276" s="674"/>
      <c r="D276" s="674"/>
      <c r="E276" s="957"/>
      <c r="F276" s="957"/>
      <c r="G276" s="957"/>
      <c r="H276" s="957"/>
      <c r="I276" s="957"/>
      <c r="J276" s="957"/>
      <c r="K276" s="957"/>
      <c r="L276" s="957"/>
      <c r="M276" s="957"/>
      <c r="N276" s="957"/>
      <c r="O276" s="957"/>
      <c r="P276" s="957"/>
      <c r="Q276" s="957"/>
      <c r="R276" s="957"/>
      <c r="S276" s="957"/>
      <c r="T276" s="674"/>
      <c r="U276" s="674"/>
      <c r="V276" s="729"/>
      <c r="W276" s="729"/>
      <c r="X276" s="729"/>
      <c r="Y276" s="729"/>
      <c r="Z276" s="729"/>
      <c r="AA276" s="729"/>
      <c r="AB276" s="729"/>
      <c r="AC276" s="729"/>
      <c r="AD276" s="729"/>
      <c r="AE276" s="729"/>
      <c r="AF276" s="729"/>
      <c r="AG276" s="729"/>
      <c r="AH276" s="729"/>
      <c r="AI276" s="729"/>
      <c r="AJ276" s="729"/>
    </row>
    <row r="277" spans="1:36">
      <c r="A277" s="682"/>
      <c r="B277" s="551" t="s">
        <v>531</v>
      </c>
      <c r="C277" s="977"/>
      <c r="D277" s="977"/>
      <c r="E277" s="552"/>
      <c r="F277" s="552"/>
      <c r="G277" s="552"/>
      <c r="H277" s="552"/>
      <c r="I277" s="552"/>
      <c r="J277" s="552"/>
      <c r="K277" s="552"/>
      <c r="L277" s="552"/>
      <c r="M277" s="552"/>
      <c r="N277" s="552"/>
      <c r="O277" s="552"/>
      <c r="P277" s="552"/>
      <c r="Q277" s="552"/>
      <c r="R277" s="553"/>
      <c r="S277" s="552"/>
      <c r="T277" s="682"/>
      <c r="U277" s="682"/>
      <c r="V277" s="729"/>
      <c r="W277" s="729"/>
      <c r="X277" s="729"/>
      <c r="Y277" s="729"/>
      <c r="Z277" s="729"/>
      <c r="AA277" s="729"/>
      <c r="AB277" s="729"/>
      <c r="AC277" s="729"/>
      <c r="AD277" s="729"/>
      <c r="AE277" s="729"/>
      <c r="AF277" s="729"/>
      <c r="AG277" s="729"/>
      <c r="AH277" s="729"/>
      <c r="AI277" s="729"/>
      <c r="AJ277" s="729"/>
    </row>
    <row r="278" spans="1:36" s="1" customFormat="1" ht="15">
      <c r="A278" s="674"/>
      <c r="B278" s="207"/>
      <c r="C278" s="207"/>
      <c r="D278" s="207"/>
      <c r="E278" s="210"/>
      <c r="F278" s="210"/>
      <c r="G278" s="210"/>
      <c r="H278" s="210"/>
      <c r="I278" s="210"/>
      <c r="J278" s="210"/>
      <c r="K278" s="210"/>
      <c r="L278" s="210"/>
      <c r="M278" s="210"/>
      <c r="N278" s="210"/>
      <c r="O278" s="210"/>
      <c r="P278" s="210"/>
      <c r="Q278" s="210"/>
      <c r="R278" s="957"/>
      <c r="S278" s="210"/>
      <c r="T278" s="674"/>
      <c r="U278" s="674"/>
      <c r="V278" s="1035"/>
      <c r="W278" s="1035"/>
      <c r="X278" s="1035"/>
      <c r="Y278" s="1035"/>
      <c r="Z278" s="1035"/>
      <c r="AA278" s="1035"/>
      <c r="AB278" s="1035"/>
      <c r="AC278" s="1035"/>
      <c r="AD278" s="1035"/>
      <c r="AE278" s="1035"/>
      <c r="AF278" s="1035"/>
      <c r="AG278" s="1035"/>
      <c r="AH278" s="1035"/>
      <c r="AI278" s="1035"/>
      <c r="AJ278" s="1035"/>
    </row>
    <row r="279" spans="1:36" ht="30" customHeight="1">
      <c r="A279" s="467"/>
      <c r="B279" s="461"/>
      <c r="C279" s="461"/>
      <c r="D279" s="461"/>
      <c r="E279" s="540">
        <v>2025</v>
      </c>
      <c r="F279" s="538" t="s">
        <v>209</v>
      </c>
      <c r="G279" s="538" t="s">
        <v>324</v>
      </c>
      <c r="H279" s="538" t="s">
        <v>325</v>
      </c>
      <c r="I279" s="538" t="s">
        <v>326</v>
      </c>
      <c r="J279" s="538" t="s">
        <v>327</v>
      </c>
      <c r="K279" s="538" t="s">
        <v>328</v>
      </c>
      <c r="L279" s="538" t="s">
        <v>329</v>
      </c>
      <c r="M279" s="538" t="s">
        <v>330</v>
      </c>
      <c r="N279" s="538" t="s">
        <v>331</v>
      </c>
      <c r="O279" s="538" t="s">
        <v>332</v>
      </c>
      <c r="P279" s="538" t="s">
        <v>333</v>
      </c>
      <c r="Q279" s="538" t="s">
        <v>334</v>
      </c>
      <c r="R279" s="461"/>
      <c r="S279" s="538" t="s">
        <v>16</v>
      </c>
      <c r="T279" s="461"/>
      <c r="U279" s="461"/>
      <c r="V279" s="729"/>
      <c r="W279" s="729"/>
      <c r="X279" s="729"/>
      <c r="Y279" s="729"/>
      <c r="Z279" s="729"/>
      <c r="AA279" s="729"/>
      <c r="AB279" s="729"/>
      <c r="AC279" s="729"/>
      <c r="AD279" s="729"/>
      <c r="AE279" s="729"/>
      <c r="AF279" s="729"/>
      <c r="AG279" s="729"/>
      <c r="AH279" s="729"/>
      <c r="AI279" s="729"/>
      <c r="AJ279" s="729"/>
    </row>
    <row r="280" spans="1:36">
      <c r="A280" s="674"/>
      <c r="B280" s="184"/>
      <c r="C280" s="215"/>
      <c r="D280" s="215"/>
      <c r="E280" s="215"/>
      <c r="F280" s="215"/>
      <c r="G280" s="215"/>
      <c r="H280" s="215"/>
      <c r="I280" s="215"/>
      <c r="J280" s="215"/>
      <c r="K280" s="215"/>
      <c r="L280" s="215"/>
      <c r="M280" s="215"/>
      <c r="N280" s="215"/>
      <c r="O280" s="215"/>
      <c r="P280" s="215"/>
      <c r="Q280" s="215"/>
      <c r="R280" s="957"/>
      <c r="S280" s="215"/>
      <c r="T280" s="674"/>
      <c r="U280" s="674"/>
      <c r="V280" s="729"/>
      <c r="W280" s="729"/>
      <c r="X280" s="729"/>
      <c r="Y280" s="729"/>
      <c r="Z280" s="729"/>
      <c r="AA280" s="729"/>
      <c r="AB280" s="729"/>
      <c r="AC280" s="729"/>
      <c r="AD280" s="729"/>
      <c r="AE280" s="729"/>
      <c r="AF280" s="729"/>
      <c r="AG280" s="729"/>
      <c r="AH280" s="729"/>
      <c r="AI280" s="729"/>
      <c r="AJ280" s="729"/>
    </row>
    <row r="281" spans="1:36">
      <c r="A281" s="674" t="str">
        <f>B51</f>
        <v>Ingresos Operacionales</v>
      </c>
      <c r="B281" s="184" t="str">
        <f>IF($C$19="USD",U281,A281)</f>
        <v>Revenue</v>
      </c>
      <c r="C281" s="215"/>
      <c r="D281" s="215"/>
      <c r="E281" s="91"/>
      <c r="F281" s="212">
        <f>F51/IF($C$19="USD",F$6,1)</f>
        <v>165920.7861788618</v>
      </c>
      <c r="G281" s="212">
        <f t="shared" ref="G281:Q281" si="198">G51/IF($C$19="USD",G$6,1)</f>
        <v>201685.13197831978</v>
      </c>
      <c r="H281" s="212">
        <f t="shared" si="198"/>
        <v>213290.2945799458</v>
      </c>
      <c r="I281" s="212">
        <f t="shared" si="198"/>
        <v>203487.17127371274</v>
      </c>
      <c r="J281" s="212">
        <f t="shared" si="198"/>
        <v>223987.73604336043</v>
      </c>
      <c r="K281" s="212">
        <f t="shared" si="198"/>
        <v>203645.88455284553</v>
      </c>
      <c r="L281" s="212">
        <f t="shared" si="198"/>
        <v>184252.18211382115</v>
      </c>
      <c r="M281" s="212">
        <f t="shared" si="198"/>
        <v>426456.92992644216</v>
      </c>
      <c r="N281" s="212">
        <f t="shared" si="198"/>
        <v>451230.73945025163</v>
      </c>
      <c r="O281" s="212">
        <f t="shared" si="198"/>
        <v>476004.54897406121</v>
      </c>
      <c r="P281" s="212">
        <f t="shared" si="198"/>
        <v>500778.35849787074</v>
      </c>
      <c r="Q281" s="212">
        <f t="shared" si="198"/>
        <v>525552.16802168021</v>
      </c>
      <c r="R281" s="957"/>
      <c r="S281" s="212">
        <f>SUM(F281:Q281)</f>
        <v>3776291.9315911736</v>
      </c>
      <c r="T281" s="866">
        <f>S281/$S$281</f>
        <v>1</v>
      </c>
      <c r="U281" s="674" t="s">
        <v>532</v>
      </c>
      <c r="V281" s="729"/>
      <c r="W281" s="729"/>
      <c r="X281" s="729"/>
      <c r="Y281" s="729"/>
      <c r="Z281" s="729"/>
      <c r="AA281" s="729"/>
      <c r="AB281" s="729"/>
      <c r="AC281" s="729"/>
      <c r="AD281" s="729"/>
      <c r="AE281" s="729"/>
      <c r="AF281" s="729"/>
      <c r="AG281" s="729"/>
      <c r="AH281" s="729"/>
      <c r="AI281" s="729"/>
      <c r="AJ281" s="729"/>
    </row>
    <row r="282" spans="1:36">
      <c r="A282" s="674" t="str">
        <f>B52</f>
        <v>Costo de Ventas</v>
      </c>
      <c r="B282" s="184" t="str">
        <f>IF($C$19="USD",U282,A282)</f>
        <v>Cost of Goods Sold</v>
      </c>
      <c r="C282" s="215"/>
      <c r="D282" s="215"/>
      <c r="E282" s="91"/>
      <c r="F282" s="212">
        <f>F52/IF($C$19="USD",F$6,1)</f>
        <v>64643.846612466128</v>
      </c>
      <c r="G282" s="212">
        <f t="shared" ref="G282:Q282" si="199">G52/IF($C$19="USD",G$6,1)</f>
        <v>93037.612737127376</v>
      </c>
      <c r="H282" s="212">
        <f t="shared" si="199"/>
        <v>123479.45826558265</v>
      </c>
      <c r="I282" s="212">
        <f t="shared" si="199"/>
        <v>102784.17181571816</v>
      </c>
      <c r="J282" s="212">
        <f t="shared" si="199"/>
        <v>96333.475067750682</v>
      </c>
      <c r="K282" s="212">
        <f t="shared" si="199"/>
        <v>94438.375609756098</v>
      </c>
      <c r="L282" s="212">
        <f t="shared" si="199"/>
        <v>87240.606504065043</v>
      </c>
      <c r="M282" s="212">
        <f t="shared" si="199"/>
        <v>95534.162714543796</v>
      </c>
      <c r="N282" s="212">
        <f t="shared" si="199"/>
        <v>95534.162714543796</v>
      </c>
      <c r="O282" s="212">
        <f t="shared" si="199"/>
        <v>95534.162714543796</v>
      </c>
      <c r="P282" s="212">
        <f t="shared" si="199"/>
        <v>98252.091982836486</v>
      </c>
      <c r="Q282" s="212">
        <f t="shared" si="199"/>
        <v>98252.091982836486</v>
      </c>
      <c r="R282" s="957"/>
      <c r="S282" s="212">
        <f>SUM(F282:Q282)</f>
        <v>1145064.2187217704</v>
      </c>
      <c r="T282" s="866">
        <f t="shared" ref="T282:T300" si="200">S282/$S$281</f>
        <v>0.30322449626909209</v>
      </c>
      <c r="U282" s="674" t="s">
        <v>533</v>
      </c>
      <c r="V282" s="729"/>
      <c r="W282" s="729"/>
      <c r="X282" s="729"/>
      <c r="Y282" s="729"/>
      <c r="Z282" s="729"/>
      <c r="AA282" s="729"/>
      <c r="AB282" s="729"/>
      <c r="AC282" s="729"/>
      <c r="AD282" s="729"/>
      <c r="AE282" s="729"/>
      <c r="AF282" s="729"/>
      <c r="AG282" s="729"/>
      <c r="AH282" s="729"/>
      <c r="AI282" s="729"/>
      <c r="AJ282" s="729"/>
    </row>
    <row r="283" spans="1:36">
      <c r="A283" s="674" t="str">
        <f>B53</f>
        <v>Utilidad Bruta</v>
      </c>
      <c r="B283" s="217" t="str">
        <f>IF($C$19="USD",U283,A283)</f>
        <v>Gross Profit</v>
      </c>
      <c r="C283" s="218"/>
      <c r="D283" s="218"/>
      <c r="E283" s="92"/>
      <c r="F283" s="219">
        <f>F53/IF($C$19="USD",F$6,1)</f>
        <v>101276.93956639567</v>
      </c>
      <c r="G283" s="219">
        <f t="shared" ref="G283:Q283" si="201">G53/IF($C$19="USD",G$6,1)</f>
        <v>108647.51924119241</v>
      </c>
      <c r="H283" s="219">
        <f t="shared" si="201"/>
        <v>89810.836314363143</v>
      </c>
      <c r="I283" s="219">
        <f t="shared" si="201"/>
        <v>100702.99945799458</v>
      </c>
      <c r="J283" s="219">
        <f t="shared" si="201"/>
        <v>127654.26097560975</v>
      </c>
      <c r="K283" s="219">
        <f t="shared" si="201"/>
        <v>109207.50894308943</v>
      </c>
      <c r="L283" s="219">
        <f t="shared" si="201"/>
        <v>97011.575609756095</v>
      </c>
      <c r="M283" s="219">
        <f t="shared" si="201"/>
        <v>330922.76721189829</v>
      </c>
      <c r="N283" s="219">
        <f t="shared" si="201"/>
        <v>355696.57673570781</v>
      </c>
      <c r="O283" s="219">
        <f t="shared" si="201"/>
        <v>380470.38625951746</v>
      </c>
      <c r="P283" s="219">
        <f t="shared" si="201"/>
        <v>402526.26651503425</v>
      </c>
      <c r="Q283" s="219">
        <f t="shared" si="201"/>
        <v>427300.07603884378</v>
      </c>
      <c r="R283" s="957"/>
      <c r="S283" s="219">
        <f>SUM(F283:Q283)</f>
        <v>2631227.712869403</v>
      </c>
      <c r="T283" s="866">
        <f t="shared" si="200"/>
        <v>0.6967755037309078</v>
      </c>
      <c r="U283" s="674" t="s">
        <v>534</v>
      </c>
      <c r="V283" s="729"/>
      <c r="W283" s="729"/>
      <c r="X283" s="729"/>
      <c r="Y283" s="729"/>
      <c r="Z283" s="729"/>
      <c r="AA283" s="729"/>
      <c r="AB283" s="729"/>
      <c r="AC283" s="729"/>
      <c r="AD283" s="729"/>
      <c r="AE283" s="729"/>
      <c r="AF283" s="729"/>
      <c r="AG283" s="729"/>
      <c r="AH283" s="729"/>
      <c r="AI283" s="729"/>
      <c r="AJ283" s="729"/>
    </row>
    <row r="284" spans="1:36">
      <c r="A284" s="674" t="str">
        <f>B54</f>
        <v xml:space="preserve">  Margen Bruto %</v>
      </c>
      <c r="B284" s="220" t="str">
        <f>IF($C$19="USD",U284,A284)</f>
        <v xml:space="preserve">  Gross Margin %</v>
      </c>
      <c r="C284" s="221"/>
      <c r="D284" s="221"/>
      <c r="E284" s="84"/>
      <c r="F284" s="383">
        <f t="shared" ref="F284:Q284" si="202">F54</f>
        <v>0.6103933202029288</v>
      </c>
      <c r="G284" s="383">
        <f t="shared" si="202"/>
        <v>0.53869870414082643</v>
      </c>
      <c r="H284" s="383">
        <f t="shared" si="202"/>
        <v>0.42107324429007298</v>
      </c>
      <c r="I284" s="383">
        <f t="shared" si="202"/>
        <v>0.49488623202952642</v>
      </c>
      <c r="J284" s="383">
        <f t="shared" si="202"/>
        <v>0.56991629644802488</v>
      </c>
      <c r="K284" s="383">
        <f t="shared" si="202"/>
        <v>0.53626180162138459</v>
      </c>
      <c r="L284" s="383">
        <f t="shared" si="202"/>
        <v>0.52651520593567536</v>
      </c>
      <c r="M284" s="383">
        <f t="shared" si="202"/>
        <v>0.7759816853462268</v>
      </c>
      <c r="N284" s="383">
        <f t="shared" si="202"/>
        <v>0.78828090738911971</v>
      </c>
      <c r="O284" s="383">
        <f t="shared" si="202"/>
        <v>0.79929989551475966</v>
      </c>
      <c r="P284" s="383">
        <f t="shared" si="202"/>
        <v>0.80380124197548719</v>
      </c>
      <c r="Q284" s="383">
        <f t="shared" si="202"/>
        <v>0.81304978275956175</v>
      </c>
      <c r="R284" s="957"/>
      <c r="S284" s="383">
        <f>IF(S281=0,0,S283/S281)</f>
        <v>0.6967755037309078</v>
      </c>
      <c r="T284" s="866">
        <f t="shared" si="200"/>
        <v>1.8451314579307838E-7</v>
      </c>
      <c r="U284" s="674" t="s">
        <v>535</v>
      </c>
      <c r="V284" s="729"/>
      <c r="W284" s="729"/>
      <c r="X284" s="729"/>
      <c r="Y284" s="729"/>
      <c r="Z284" s="729"/>
      <c r="AA284" s="729"/>
      <c r="AB284" s="729"/>
      <c r="AC284" s="729"/>
      <c r="AD284" s="729"/>
      <c r="AE284" s="729"/>
      <c r="AF284" s="729"/>
      <c r="AG284" s="729"/>
      <c r="AH284" s="729"/>
      <c r="AI284" s="729"/>
      <c r="AJ284" s="729"/>
    </row>
    <row r="285" spans="1:36">
      <c r="A285" s="674"/>
      <c r="B285" s="184"/>
      <c r="C285" s="215"/>
      <c r="D285" s="215"/>
      <c r="E285" s="215"/>
      <c r="F285" s="215"/>
      <c r="G285" s="215"/>
      <c r="H285" s="215"/>
      <c r="I285" s="215"/>
      <c r="J285" s="215"/>
      <c r="K285" s="215"/>
      <c r="L285" s="215"/>
      <c r="M285" s="215"/>
      <c r="N285" s="215"/>
      <c r="O285" s="215"/>
      <c r="P285" s="215"/>
      <c r="Q285" s="215"/>
      <c r="R285" s="957"/>
      <c r="S285" s="215"/>
      <c r="T285" s="866">
        <f t="shared" si="200"/>
        <v>0</v>
      </c>
      <c r="U285" s="674"/>
      <c r="V285" s="729"/>
      <c r="W285" s="729"/>
      <c r="X285" s="729"/>
      <c r="Y285" s="729"/>
      <c r="Z285" s="729"/>
      <c r="AA285" s="729"/>
      <c r="AB285" s="729"/>
      <c r="AC285" s="729"/>
      <c r="AD285" s="729"/>
      <c r="AE285" s="729"/>
      <c r="AF285" s="729"/>
      <c r="AG285" s="729"/>
      <c r="AH285" s="729"/>
      <c r="AI285" s="729"/>
      <c r="AJ285" s="729"/>
    </row>
    <row r="286" spans="1:36">
      <c r="A286" s="674" t="str">
        <f t="shared" ref="A286:A292" si="203">B56</f>
        <v>Gastos Administrativos</v>
      </c>
      <c r="B286" s="184" t="str">
        <f t="shared" ref="B286:B292" si="204">IF($C$19="USD",U286,A286)</f>
        <v>Operating Admin Expenses</v>
      </c>
      <c r="C286" s="215"/>
      <c r="D286" s="215"/>
      <c r="E286" s="91"/>
      <c r="F286" s="212">
        <f t="shared" ref="F286:F291" si="205">F56/IF($C$19="USD",F$6,1)</f>
        <v>26754.047425474255</v>
      </c>
      <c r="G286" s="212">
        <f t="shared" ref="G286:Q286" si="206">G56/IF($C$19="USD",G$6,1)</f>
        <v>28626.957181571815</v>
      </c>
      <c r="H286" s="212">
        <f t="shared" si="206"/>
        <v>38431.39972899729</v>
      </c>
      <c r="I286" s="212">
        <f t="shared" si="206"/>
        <v>30970.430081300812</v>
      </c>
      <c r="J286" s="212">
        <f t="shared" si="206"/>
        <v>31655.507859078592</v>
      </c>
      <c r="K286" s="212">
        <f t="shared" si="206"/>
        <v>30430.540108401085</v>
      </c>
      <c r="L286" s="212">
        <f t="shared" si="206"/>
        <v>29250.065582655825</v>
      </c>
      <c r="M286" s="212">
        <f t="shared" si="206"/>
        <v>36693.761427280937</v>
      </c>
      <c r="N286" s="212">
        <f t="shared" si="206"/>
        <v>36693.761427280937</v>
      </c>
      <c r="O286" s="212">
        <f t="shared" si="206"/>
        <v>36693.761427280937</v>
      </c>
      <c r="P286" s="212">
        <f t="shared" si="206"/>
        <v>36693.761427280937</v>
      </c>
      <c r="Q286" s="212">
        <f t="shared" si="206"/>
        <v>36693.761427280937</v>
      </c>
      <c r="R286" s="957"/>
      <c r="S286" s="212">
        <f t="shared" ref="S286:S291" si="207">SUM(F286:Q286)</f>
        <v>399587.75510388444</v>
      </c>
      <c r="T286" s="866">
        <f t="shared" si="200"/>
        <v>0.10581484756543032</v>
      </c>
      <c r="U286" s="674" t="s">
        <v>536</v>
      </c>
      <c r="V286" s="729"/>
      <c r="W286" s="729"/>
      <c r="X286" s="729"/>
      <c r="Y286" s="729"/>
      <c r="Z286" s="729"/>
      <c r="AA286" s="729"/>
      <c r="AB286" s="729"/>
      <c r="AC286" s="729"/>
      <c r="AD286" s="729"/>
      <c r="AE286" s="729"/>
      <c r="AF286" s="729"/>
      <c r="AG286" s="729"/>
      <c r="AH286" s="729"/>
      <c r="AI286" s="729"/>
      <c r="AJ286" s="729"/>
    </row>
    <row r="287" spans="1:36">
      <c r="A287" s="674" t="str">
        <f t="shared" si="203"/>
        <v>Gastos de Ventas</v>
      </c>
      <c r="B287" s="217" t="str">
        <f t="shared" si="204"/>
        <v>Operating Sales Expenses</v>
      </c>
      <c r="C287" s="218"/>
      <c r="D287" s="218"/>
      <c r="E287" s="92"/>
      <c r="F287" s="219">
        <f t="shared" si="205"/>
        <v>35664.026829268296</v>
      </c>
      <c r="G287" s="219">
        <f t="shared" ref="G287:Q287" si="208">G57/IF($C$19="USD",G$6,1)</f>
        <v>47054.797831978321</v>
      </c>
      <c r="H287" s="219">
        <f t="shared" si="208"/>
        <v>37836.253658536589</v>
      </c>
      <c r="I287" s="219">
        <f t="shared" si="208"/>
        <v>35254.855013550135</v>
      </c>
      <c r="J287" s="219">
        <f t="shared" si="208"/>
        <v>32583.526558265581</v>
      </c>
      <c r="K287" s="219">
        <f t="shared" si="208"/>
        <v>39784.135501355013</v>
      </c>
      <c r="L287" s="219">
        <f t="shared" si="208"/>
        <v>31913.614092140921</v>
      </c>
      <c r="M287" s="219">
        <f t="shared" si="208"/>
        <v>62569.927439024388</v>
      </c>
      <c r="N287" s="219">
        <f t="shared" si="208"/>
        <v>62569.927439024388</v>
      </c>
      <c r="O287" s="219">
        <f t="shared" si="208"/>
        <v>62569.927439024388</v>
      </c>
      <c r="P287" s="219">
        <f t="shared" si="208"/>
        <v>64407.701151761517</v>
      </c>
      <c r="Q287" s="219">
        <f t="shared" si="208"/>
        <v>64407.701151761517</v>
      </c>
      <c r="R287" s="957"/>
      <c r="S287" s="219">
        <f t="shared" si="207"/>
        <v>576616.394105691</v>
      </c>
      <c r="T287" s="866">
        <f t="shared" si="200"/>
        <v>0.15269380772230939</v>
      </c>
      <c r="U287" s="674" t="s">
        <v>537</v>
      </c>
      <c r="V287" s="729"/>
      <c r="W287" s="729"/>
      <c r="X287" s="729"/>
      <c r="Y287" s="729"/>
      <c r="Z287" s="729"/>
      <c r="AA287" s="729"/>
      <c r="AB287" s="729"/>
      <c r="AC287" s="729"/>
      <c r="AD287" s="729"/>
      <c r="AE287" s="729"/>
      <c r="AF287" s="729"/>
      <c r="AG287" s="729"/>
      <c r="AH287" s="729"/>
      <c r="AI287" s="729"/>
      <c r="AJ287" s="729"/>
    </row>
    <row r="288" spans="1:36">
      <c r="A288" s="674" t="str">
        <f t="shared" si="203"/>
        <v>Gastos Operativos/Proyectos</v>
      </c>
      <c r="B288" s="184" t="str">
        <f t="shared" si="204"/>
        <v>Operating Project Expenses</v>
      </c>
      <c r="C288" s="215"/>
      <c r="D288" s="215"/>
      <c r="E288" s="91"/>
      <c r="F288" s="212">
        <f t="shared" si="205"/>
        <v>19894.268834688348</v>
      </c>
      <c r="G288" s="212">
        <f t="shared" ref="G288:Q288" si="209">G58/IF($C$19="USD",G$6,1)</f>
        <v>20463.31653116531</v>
      </c>
      <c r="H288" s="212">
        <f t="shared" si="209"/>
        <v>19571.040108401085</v>
      </c>
      <c r="I288" s="212">
        <f t="shared" si="209"/>
        <v>33166.534959349592</v>
      </c>
      <c r="J288" s="212">
        <f t="shared" si="209"/>
        <v>32789.352574525743</v>
      </c>
      <c r="K288" s="212">
        <f t="shared" si="209"/>
        <v>29514.379403794039</v>
      </c>
      <c r="L288" s="212">
        <f t="shared" si="209"/>
        <v>27896.036314363144</v>
      </c>
      <c r="M288" s="212">
        <f t="shared" si="209"/>
        <v>30630.146522131887</v>
      </c>
      <c r="N288" s="212">
        <f t="shared" si="209"/>
        <v>30630.146522131887</v>
      </c>
      <c r="O288" s="212">
        <f t="shared" si="209"/>
        <v>30630.146522131887</v>
      </c>
      <c r="P288" s="212">
        <f t="shared" si="209"/>
        <v>30630.146522131887</v>
      </c>
      <c r="Q288" s="212">
        <f t="shared" si="209"/>
        <v>30630.146522131887</v>
      </c>
      <c r="R288" s="957"/>
      <c r="S288" s="212">
        <f t="shared" si="207"/>
        <v>336445.66133694665</v>
      </c>
      <c r="T288" s="866">
        <f t="shared" si="200"/>
        <v>8.9094187481205234E-2</v>
      </c>
      <c r="U288" s="674" t="s">
        <v>538</v>
      </c>
      <c r="V288" s="729"/>
      <c r="W288" s="729"/>
      <c r="X288" s="729"/>
      <c r="Y288" s="729"/>
      <c r="Z288" s="729"/>
      <c r="AA288" s="729"/>
      <c r="AB288" s="729"/>
      <c r="AC288" s="729"/>
      <c r="AD288" s="729"/>
      <c r="AE288" s="729"/>
      <c r="AF288" s="729"/>
      <c r="AG288" s="729"/>
      <c r="AH288" s="729"/>
      <c r="AI288" s="729"/>
      <c r="AJ288" s="729"/>
    </row>
    <row r="289" spans="1:36" s="1" customFormat="1" ht="15">
      <c r="A289" s="674" t="str">
        <f t="shared" si="203"/>
        <v>EBITDA</v>
      </c>
      <c r="B289" s="184" t="str">
        <f t="shared" si="204"/>
        <v>EBITDA</v>
      </c>
      <c r="C289" s="215"/>
      <c r="D289" s="215"/>
      <c r="E289" s="212">
        <f t="shared" ref="E289" si="210">E59/E6</f>
        <v>0</v>
      </c>
      <c r="F289" s="212">
        <f t="shared" si="205"/>
        <v>18964.596476964769</v>
      </c>
      <c r="G289" s="212">
        <f t="shared" ref="G289:Q289" si="211">G59/IF($C$19="USD",G$6,1)</f>
        <v>12502.447696476966</v>
      </c>
      <c r="H289" s="212">
        <f t="shared" si="211"/>
        <v>-6027.857181571816</v>
      </c>
      <c r="I289" s="212">
        <f t="shared" si="211"/>
        <v>1311.1794037940379</v>
      </c>
      <c r="J289" s="212">
        <f t="shared" si="211"/>
        <v>30625.873983739839</v>
      </c>
      <c r="K289" s="212">
        <f t="shared" si="211"/>
        <v>9478.4539295392951</v>
      </c>
      <c r="L289" s="212">
        <f t="shared" si="211"/>
        <v>7951.8596205962058</v>
      </c>
      <c r="M289" s="212">
        <f t="shared" si="211"/>
        <v>201028.93182346105</v>
      </c>
      <c r="N289" s="212">
        <f t="shared" si="211"/>
        <v>225802.74134727058</v>
      </c>
      <c r="O289" s="212">
        <f t="shared" si="211"/>
        <v>250576.5508710802</v>
      </c>
      <c r="P289" s="212">
        <f t="shared" si="211"/>
        <v>270794.65741385991</v>
      </c>
      <c r="Q289" s="212">
        <f t="shared" si="211"/>
        <v>295568.46693766938</v>
      </c>
      <c r="R289" s="957"/>
      <c r="S289" s="212">
        <f t="shared" si="207"/>
        <v>1318577.9023228802</v>
      </c>
      <c r="T289" s="866">
        <f t="shared" si="200"/>
        <v>0.34917266096196276</v>
      </c>
      <c r="U289" s="674" t="s">
        <v>278</v>
      </c>
      <c r="V289" s="1035"/>
      <c r="W289" s="1035"/>
      <c r="X289" s="1035"/>
      <c r="Y289" s="1035"/>
      <c r="Z289" s="1035"/>
      <c r="AA289" s="1035"/>
      <c r="AB289" s="1035"/>
      <c r="AC289" s="1035"/>
      <c r="AD289" s="1035"/>
      <c r="AE289" s="1035"/>
      <c r="AF289" s="1035"/>
      <c r="AG289" s="1035"/>
      <c r="AH289" s="1035"/>
      <c r="AI289" s="1035"/>
      <c r="AJ289" s="1035"/>
    </row>
    <row r="290" spans="1:36" s="1" customFormat="1" ht="15">
      <c r="A290" s="674" t="str">
        <f t="shared" si="203"/>
        <v>(-) Depreciación y Amortización</v>
      </c>
      <c r="B290" s="184" t="str">
        <f t="shared" si="204"/>
        <v>(-) Depreciation &amp; Amortization</v>
      </c>
      <c r="C290" s="215"/>
      <c r="D290" s="215"/>
      <c r="E290" s="212">
        <f t="shared" ref="E290" si="212">E60/E6</f>
        <v>0</v>
      </c>
      <c r="F290" s="212">
        <f t="shared" si="205"/>
        <v>0</v>
      </c>
      <c r="G290" s="212">
        <f t="shared" ref="G290:Q290" si="213">G60/IF($C$19="USD",G$6,1)</f>
        <v>0</v>
      </c>
      <c r="H290" s="212">
        <f t="shared" si="213"/>
        <v>0</v>
      </c>
      <c r="I290" s="212">
        <f t="shared" si="213"/>
        <v>0</v>
      </c>
      <c r="J290" s="212">
        <f t="shared" si="213"/>
        <v>0</v>
      </c>
      <c r="K290" s="212">
        <f t="shared" si="213"/>
        <v>0</v>
      </c>
      <c r="L290" s="212">
        <f t="shared" si="213"/>
        <v>0</v>
      </c>
      <c r="M290" s="212">
        <f t="shared" si="213"/>
        <v>1036.8985882264378</v>
      </c>
      <c r="N290" s="212">
        <f t="shared" si="213"/>
        <v>1052.8603597234769</v>
      </c>
      <c r="O290" s="212">
        <f t="shared" si="213"/>
        <v>1068.5561016955653</v>
      </c>
      <c r="P290" s="212">
        <f t="shared" si="213"/>
        <v>1083.9902479681189</v>
      </c>
      <c r="Q290" s="212">
        <f t="shared" si="213"/>
        <v>1099.1671584694632</v>
      </c>
      <c r="R290" s="957"/>
      <c r="S290" s="212">
        <f t="shared" si="207"/>
        <v>5341.4724560830618</v>
      </c>
      <c r="T290" s="866">
        <f t="shared" si="200"/>
        <v>1.4144755100626942E-3</v>
      </c>
      <c r="U290" s="674" t="s">
        <v>539</v>
      </c>
      <c r="V290" s="1035"/>
      <c r="W290" s="1035"/>
      <c r="X290" s="1035"/>
      <c r="Y290" s="1035"/>
      <c r="Z290" s="1035"/>
      <c r="AA290" s="1035"/>
      <c r="AB290" s="1035"/>
      <c r="AC290" s="1035"/>
      <c r="AD290" s="1035"/>
      <c r="AE290" s="1035"/>
      <c r="AF290" s="1035"/>
      <c r="AG290" s="1035"/>
      <c r="AH290" s="1035"/>
      <c r="AI290" s="1035"/>
      <c r="AJ290" s="1035"/>
    </row>
    <row r="291" spans="1:36" s="1" customFormat="1" ht="15">
      <c r="A291" s="674" t="str">
        <f t="shared" si="203"/>
        <v>EBIT (Utilidad Operativa)</v>
      </c>
      <c r="B291" s="217" t="str">
        <f t="shared" si="204"/>
        <v>EBIT (Operating Income)</v>
      </c>
      <c r="C291" s="218"/>
      <c r="D291" s="218"/>
      <c r="E291" s="92"/>
      <c r="F291" s="219">
        <f t="shared" si="205"/>
        <v>18964.596476964769</v>
      </c>
      <c r="G291" s="219">
        <f t="shared" ref="G291:Q291" si="214">G61/IF($C$19="USD",G$6,1)</f>
        <v>12502.447696476966</v>
      </c>
      <c r="H291" s="219">
        <f t="shared" si="214"/>
        <v>-6027.857181571816</v>
      </c>
      <c r="I291" s="219">
        <f t="shared" si="214"/>
        <v>1311.1794037940379</v>
      </c>
      <c r="J291" s="219">
        <f t="shared" si="214"/>
        <v>30625.873983739839</v>
      </c>
      <c r="K291" s="219">
        <f t="shared" si="214"/>
        <v>9478.4539295392951</v>
      </c>
      <c r="L291" s="219">
        <f t="shared" si="214"/>
        <v>7951.8596205962058</v>
      </c>
      <c r="M291" s="219">
        <f t="shared" si="214"/>
        <v>199992.03323523462</v>
      </c>
      <c r="N291" s="219">
        <f t="shared" si="214"/>
        <v>224749.88098754708</v>
      </c>
      <c r="O291" s="219">
        <f t="shared" si="214"/>
        <v>249507.99476938465</v>
      </c>
      <c r="P291" s="219">
        <f t="shared" si="214"/>
        <v>269710.66716589179</v>
      </c>
      <c r="Q291" s="219">
        <f t="shared" si="214"/>
        <v>294469.29977919988</v>
      </c>
      <c r="R291" s="957"/>
      <c r="S291" s="219">
        <f t="shared" si="207"/>
        <v>1313236.4298667973</v>
      </c>
      <c r="T291" s="866">
        <f t="shared" si="200"/>
        <v>0.34775818545190007</v>
      </c>
      <c r="U291" s="674" t="s">
        <v>540</v>
      </c>
      <c r="V291" s="1035"/>
      <c r="W291" s="1035"/>
      <c r="X291" s="1035"/>
      <c r="Y291" s="1035"/>
      <c r="Z291" s="1035"/>
      <c r="AA291" s="1035"/>
      <c r="AB291" s="1035"/>
      <c r="AC291" s="1035"/>
      <c r="AD291" s="1035"/>
      <c r="AE291" s="1035"/>
      <c r="AF291" s="1035"/>
      <c r="AG291" s="1035"/>
      <c r="AH291" s="1035"/>
      <c r="AI291" s="1035"/>
      <c r="AJ291" s="1035"/>
    </row>
    <row r="292" spans="1:36">
      <c r="A292" s="674" t="str">
        <f t="shared" si="203"/>
        <v xml:space="preserve">  Margen EBIT %</v>
      </c>
      <c r="B292" s="220" t="str">
        <f t="shared" si="204"/>
        <v xml:space="preserve">  EBIT Margin %</v>
      </c>
      <c r="C292" s="221"/>
      <c r="D292" s="221"/>
      <c r="E292" s="84"/>
      <c r="F292" s="383">
        <f t="shared" ref="F292:Q292" si="215">F62</f>
        <v>0.11429909967109864</v>
      </c>
      <c r="G292" s="383">
        <f t="shared" si="215"/>
        <v>6.1989932395318657E-2</v>
      </c>
      <c r="H292" s="383">
        <f t="shared" si="215"/>
        <v>-2.8261282087134278E-2</v>
      </c>
      <c r="I292" s="383">
        <f t="shared" si="215"/>
        <v>6.4435482373989888E-3</v>
      </c>
      <c r="J292" s="383">
        <f t="shared" si="215"/>
        <v>0.13673013766169395</v>
      </c>
      <c r="K292" s="383">
        <f t="shared" si="215"/>
        <v>4.6543802986009589E-2</v>
      </c>
      <c r="L292" s="383">
        <f t="shared" si="215"/>
        <v>4.3157478676067854E-2</v>
      </c>
      <c r="M292" s="383">
        <f t="shared" si="215"/>
        <v>0.4689618557018887</v>
      </c>
      <c r="N292" s="383">
        <f t="shared" si="215"/>
        <v>0.4980819375501031</v>
      </c>
      <c r="O292" s="383">
        <f t="shared" si="215"/>
        <v>0.52417145026691969</v>
      </c>
      <c r="P292" s="383">
        <f t="shared" si="215"/>
        <v>0.5385829131572557</v>
      </c>
      <c r="Q292" s="383">
        <f t="shared" si="215"/>
        <v>0.56030460475058375</v>
      </c>
      <c r="R292" s="957"/>
      <c r="S292" s="383">
        <f>IF(S281=0,0,S291/S281)</f>
        <v>0.34775818545190007</v>
      </c>
      <c r="T292" s="866">
        <f t="shared" si="200"/>
        <v>9.2089857392293592E-8</v>
      </c>
      <c r="U292" s="674" t="s">
        <v>541</v>
      </c>
      <c r="V292" s="729"/>
      <c r="W292" s="729"/>
      <c r="X292" s="729"/>
      <c r="Y292" s="729"/>
      <c r="Z292" s="729"/>
      <c r="AA292" s="729"/>
      <c r="AB292" s="729"/>
      <c r="AC292" s="729"/>
      <c r="AD292" s="729"/>
      <c r="AE292" s="729"/>
      <c r="AF292" s="729"/>
      <c r="AG292" s="729"/>
      <c r="AH292" s="729"/>
      <c r="AI292" s="729"/>
      <c r="AJ292" s="729"/>
    </row>
    <row r="293" spans="1:36">
      <c r="A293" s="674"/>
      <c r="B293" s="184"/>
      <c r="C293" s="215"/>
      <c r="D293" s="215"/>
      <c r="E293" s="215"/>
      <c r="F293" s="215"/>
      <c r="G293" s="215"/>
      <c r="H293" s="215"/>
      <c r="I293" s="215"/>
      <c r="J293" s="215"/>
      <c r="K293" s="215"/>
      <c r="L293" s="215"/>
      <c r="M293" s="215"/>
      <c r="N293" s="215"/>
      <c r="O293" s="215"/>
      <c r="P293" s="215"/>
      <c r="Q293" s="215"/>
      <c r="R293" s="957"/>
      <c r="S293" s="215"/>
      <c r="T293" s="866">
        <f t="shared" si="200"/>
        <v>0</v>
      </c>
      <c r="U293" s="674"/>
      <c r="V293" s="729"/>
      <c r="W293" s="729"/>
      <c r="X293" s="729"/>
      <c r="Y293" s="729"/>
      <c r="Z293" s="729"/>
      <c r="AA293" s="729"/>
      <c r="AB293" s="729"/>
      <c r="AC293" s="729"/>
      <c r="AD293" s="729"/>
      <c r="AE293" s="729"/>
      <c r="AF293" s="729"/>
      <c r="AG293" s="729"/>
      <c r="AH293" s="729"/>
      <c r="AI293" s="729"/>
      <c r="AJ293" s="729"/>
    </row>
    <row r="294" spans="1:36">
      <c r="A294" s="674" t="str">
        <f>B64</f>
        <v>Ingresos No Operacionales</v>
      </c>
      <c r="B294" s="184" t="str">
        <f>IF($C$19="USD",U294,A294)</f>
        <v>Non-Operating Income</v>
      </c>
      <c r="C294" s="215"/>
      <c r="D294" s="215"/>
      <c r="E294" s="91"/>
      <c r="F294" s="212">
        <f>F64/IF($C$19="USD",F$6,1)</f>
        <v>161.97479674796747</v>
      </c>
      <c r="G294" s="212">
        <f t="shared" ref="G294:Q294" si="216">G64/IF($C$19="USD",G$6,1)</f>
        <v>3655.549051490515</v>
      </c>
      <c r="H294" s="212">
        <f t="shared" si="216"/>
        <v>-2763.5934959349593</v>
      </c>
      <c r="I294" s="212">
        <f t="shared" si="216"/>
        <v>245.67615176151762</v>
      </c>
      <c r="J294" s="212">
        <f t="shared" si="216"/>
        <v>370.28157181571817</v>
      </c>
      <c r="K294" s="212">
        <f t="shared" si="216"/>
        <v>1062.3981029810298</v>
      </c>
      <c r="L294" s="212">
        <f t="shared" si="216"/>
        <v>194.66422764227642</v>
      </c>
      <c r="M294" s="212">
        <f t="shared" si="216"/>
        <v>3172.5579042457089</v>
      </c>
      <c r="N294" s="212">
        <f t="shared" si="216"/>
        <v>3172.5579042457089</v>
      </c>
      <c r="O294" s="212">
        <f t="shared" si="216"/>
        <v>3172.5579042457089</v>
      </c>
      <c r="P294" s="212">
        <f t="shared" si="216"/>
        <v>3172.5579042457089</v>
      </c>
      <c r="Q294" s="212">
        <f t="shared" si="216"/>
        <v>3172.5579042457089</v>
      </c>
      <c r="R294" s="957"/>
      <c r="S294" s="212">
        <f>SUM(F294:Q294)</f>
        <v>18789.739927732608</v>
      </c>
      <c r="T294" s="866">
        <f t="shared" si="200"/>
        <v>4.9757116949947743E-3</v>
      </c>
      <c r="U294" s="674" t="s">
        <v>542</v>
      </c>
      <c r="V294" s="729"/>
      <c r="W294" s="729"/>
      <c r="X294" s="729"/>
      <c r="Y294" s="729"/>
      <c r="Z294" s="729"/>
      <c r="AA294" s="729"/>
      <c r="AB294" s="729"/>
      <c r="AC294" s="729"/>
      <c r="AD294" s="729"/>
      <c r="AE294" s="729"/>
      <c r="AF294" s="729"/>
      <c r="AG294" s="729"/>
      <c r="AH294" s="729"/>
      <c r="AI294" s="729"/>
      <c r="AJ294" s="729"/>
    </row>
    <row r="295" spans="1:36">
      <c r="A295" s="674" t="str">
        <f>B65</f>
        <v>Gastos No Operacionales</v>
      </c>
      <c r="B295" s="184" t="str">
        <f>IF($C$19="USD",U295,A295)</f>
        <v>Non-Operating Expenses</v>
      </c>
      <c r="C295" s="215"/>
      <c r="D295" s="215"/>
      <c r="E295" s="91"/>
      <c r="F295" s="212">
        <f>F65/IF($C$19="USD",F$6,1)</f>
        <v>1921.829539295393</v>
      </c>
      <c r="G295" s="212">
        <f t="shared" ref="G295:Q295" si="217">G65/IF($C$19="USD",G$6,1)</f>
        <v>1510.5943089430893</v>
      </c>
      <c r="H295" s="212">
        <f t="shared" si="217"/>
        <v>1489.8520325203251</v>
      </c>
      <c r="I295" s="212">
        <f t="shared" si="217"/>
        <v>1365.4726287262872</v>
      </c>
      <c r="J295" s="212">
        <f t="shared" si="217"/>
        <v>1626.2455284552846</v>
      </c>
      <c r="K295" s="212">
        <f t="shared" si="217"/>
        <v>1504.6325203252034</v>
      </c>
      <c r="L295" s="212">
        <f t="shared" si="217"/>
        <v>1450.8457994579946</v>
      </c>
      <c r="M295" s="212">
        <f t="shared" si="217"/>
        <v>2373.2517547425473</v>
      </c>
      <c r="N295" s="212">
        <f t="shared" si="217"/>
        <v>2373.2517547425473</v>
      </c>
      <c r="O295" s="212">
        <f t="shared" si="217"/>
        <v>2373.2517547425473</v>
      </c>
      <c r="P295" s="212">
        <f t="shared" si="217"/>
        <v>2373.2517547425473</v>
      </c>
      <c r="Q295" s="212">
        <f t="shared" si="217"/>
        <v>2373.2517547425473</v>
      </c>
      <c r="R295" s="957"/>
      <c r="S295" s="212">
        <f>SUM(F295:Q295)</f>
        <v>22735.731131436318</v>
      </c>
      <c r="T295" s="866">
        <f t="shared" si="200"/>
        <v>6.0206497652464117E-3</v>
      </c>
      <c r="U295" s="674" t="s">
        <v>543</v>
      </c>
      <c r="V295" s="729"/>
      <c r="W295" s="729"/>
      <c r="X295" s="729"/>
      <c r="Y295" s="729"/>
      <c r="Z295" s="729"/>
      <c r="AA295" s="729"/>
      <c r="AB295" s="729"/>
      <c r="AC295" s="729"/>
      <c r="AD295" s="729"/>
      <c r="AE295" s="729"/>
      <c r="AF295" s="729"/>
      <c r="AG295" s="729"/>
      <c r="AH295" s="729"/>
      <c r="AI295" s="729"/>
      <c r="AJ295" s="729"/>
    </row>
    <row r="296" spans="1:36">
      <c r="A296" s="674"/>
      <c r="B296" s="184"/>
      <c r="C296" s="215"/>
      <c r="D296" s="215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57"/>
      <c r="S296" s="91"/>
      <c r="T296" s="866">
        <f t="shared" si="200"/>
        <v>0</v>
      </c>
      <c r="U296" s="674"/>
      <c r="V296" s="729"/>
      <c r="W296" s="729"/>
      <c r="X296" s="729"/>
      <c r="Y296" s="729"/>
      <c r="Z296" s="729"/>
      <c r="AA296" s="729"/>
      <c r="AB296" s="729"/>
      <c r="AC296" s="729"/>
      <c r="AD296" s="729"/>
      <c r="AE296" s="729"/>
      <c r="AF296" s="729"/>
      <c r="AG296" s="729"/>
      <c r="AH296" s="729"/>
      <c r="AI296" s="729"/>
      <c r="AJ296" s="729"/>
    </row>
    <row r="297" spans="1:36">
      <c r="A297" s="674" t="str">
        <f>B67</f>
        <v>Utilidad Antes de Impuestos (UAI)</v>
      </c>
      <c r="B297" s="217" t="str">
        <f>IF($C$19="USD",U297,A297)</f>
        <v>Earnings Before Taxes (EBT)</v>
      </c>
      <c r="C297" s="218"/>
      <c r="D297" s="218"/>
      <c r="E297" s="92"/>
      <c r="F297" s="219">
        <f>F67/IF($C$19="USD",F$6,1)</f>
        <v>17204.741734417345</v>
      </c>
      <c r="G297" s="219">
        <f t="shared" ref="G297:Q297" si="218">G67/IF($C$19="USD",G$6,1)</f>
        <v>14647.40243902439</v>
      </c>
      <c r="H297" s="219">
        <f t="shared" si="218"/>
        <v>-10281.302710027101</v>
      </c>
      <c r="I297" s="219">
        <f t="shared" si="218"/>
        <v>191.38292682926829</v>
      </c>
      <c r="J297" s="219">
        <f t="shared" si="218"/>
        <v>29369.910027100272</v>
      </c>
      <c r="K297" s="219">
        <f t="shared" si="218"/>
        <v>9036.2195121951227</v>
      </c>
      <c r="L297" s="219">
        <f t="shared" si="218"/>
        <v>6695.6780487804881</v>
      </c>
      <c r="M297" s="219">
        <f t="shared" si="218"/>
        <v>200791.33938473777</v>
      </c>
      <c r="N297" s="219">
        <f t="shared" si="218"/>
        <v>225549.18713705023</v>
      </c>
      <c r="O297" s="219">
        <f t="shared" si="218"/>
        <v>250307.30091888778</v>
      </c>
      <c r="P297" s="219">
        <f t="shared" si="218"/>
        <v>270509.97331539495</v>
      </c>
      <c r="Q297" s="219">
        <f t="shared" si="218"/>
        <v>295268.60592870309</v>
      </c>
      <c r="R297" s="957"/>
      <c r="S297" s="219">
        <f>SUM(F297:Q297)</f>
        <v>1309290.4386630938</v>
      </c>
      <c r="T297" s="866">
        <f t="shared" si="200"/>
        <v>0.34671324738164849</v>
      </c>
      <c r="U297" s="674" t="s">
        <v>544</v>
      </c>
      <c r="V297" s="729"/>
      <c r="W297" s="729"/>
      <c r="X297" s="729"/>
      <c r="Y297" s="729"/>
      <c r="Z297" s="729"/>
      <c r="AA297" s="729"/>
      <c r="AB297" s="729"/>
      <c r="AC297" s="729"/>
      <c r="AD297" s="729"/>
      <c r="AE297" s="729"/>
      <c r="AF297" s="729"/>
      <c r="AG297" s="729"/>
      <c r="AH297" s="729"/>
      <c r="AI297" s="729"/>
      <c r="AJ297" s="729"/>
    </row>
    <row r="298" spans="1:36">
      <c r="A298" s="674"/>
      <c r="B298" s="184"/>
      <c r="C298" s="215"/>
      <c r="D298" s="215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57"/>
      <c r="S298" s="91"/>
      <c r="T298" s="866">
        <f t="shared" si="200"/>
        <v>0</v>
      </c>
      <c r="U298" s="674"/>
      <c r="V298" s="729"/>
      <c r="W298" s="729"/>
      <c r="X298" s="729"/>
      <c r="Y298" s="729"/>
      <c r="Z298" s="729"/>
      <c r="AA298" s="729"/>
      <c r="AB298" s="729"/>
      <c r="AC298" s="729"/>
      <c r="AD298" s="729"/>
      <c r="AE298" s="729"/>
      <c r="AF298" s="729"/>
      <c r="AG298" s="729"/>
      <c r="AH298" s="729"/>
      <c r="AI298" s="729"/>
      <c r="AJ298" s="729"/>
    </row>
    <row r="299" spans="1:36">
      <c r="A299" s="674" t="str">
        <f>B69</f>
        <v>Impuesto de Renta</v>
      </c>
      <c r="B299" s="229" t="str">
        <f>IF($C$19="USD",U299,A299)</f>
        <v>Income Tax</v>
      </c>
      <c r="C299" s="230"/>
      <c r="D299" s="230"/>
      <c r="E299" s="93"/>
      <c r="F299" s="231">
        <f>F69/IF($C$19="USD",F$6,1)</f>
        <v>0</v>
      </c>
      <c r="G299" s="231">
        <f t="shared" ref="G299:Q299" si="219">G69/IF($C$19="USD",G$6,1)</f>
        <v>0</v>
      </c>
      <c r="H299" s="231">
        <f t="shared" si="219"/>
        <v>0</v>
      </c>
      <c r="I299" s="231">
        <f t="shared" si="219"/>
        <v>0</v>
      </c>
      <c r="J299" s="231">
        <f t="shared" si="219"/>
        <v>0</v>
      </c>
      <c r="K299" s="231">
        <f t="shared" si="219"/>
        <v>0</v>
      </c>
      <c r="L299" s="231">
        <f t="shared" si="219"/>
        <v>0</v>
      </c>
      <c r="M299" s="231">
        <f t="shared" si="219"/>
        <v>70276.968784658209</v>
      </c>
      <c r="N299" s="231">
        <f t="shared" si="219"/>
        <v>78942.215497967583</v>
      </c>
      <c r="O299" s="231">
        <f t="shared" si="219"/>
        <v>87607.555321610722</v>
      </c>
      <c r="P299" s="231">
        <f t="shared" si="219"/>
        <v>94678.490660388212</v>
      </c>
      <c r="Q299" s="231">
        <f t="shared" si="219"/>
        <v>103344.01207504608</v>
      </c>
      <c r="R299" s="957"/>
      <c r="S299" s="231">
        <f>SUM(F299:Q299)</f>
        <v>434849.24233967077</v>
      </c>
      <c r="T299" s="866">
        <f t="shared" si="200"/>
        <v>0.11515244324779818</v>
      </c>
      <c r="U299" s="674" t="s">
        <v>545</v>
      </c>
      <c r="V299" s="729"/>
      <c r="W299" s="729"/>
      <c r="X299" s="729"/>
      <c r="Y299" s="729"/>
      <c r="Z299" s="729"/>
      <c r="AA299" s="729"/>
      <c r="AB299" s="729"/>
      <c r="AC299" s="729"/>
      <c r="AD299" s="729"/>
      <c r="AE299" s="729"/>
      <c r="AF299" s="729"/>
      <c r="AG299" s="729"/>
      <c r="AH299" s="729"/>
      <c r="AI299" s="729"/>
      <c r="AJ299" s="729"/>
    </row>
    <row r="300" spans="1:36">
      <c r="A300" s="674" t="str">
        <f>B70</f>
        <v>Utilidad Neta</v>
      </c>
      <c r="B300" s="195" t="str">
        <f>IF($C$19="USD",U300,A300)</f>
        <v>Net Income</v>
      </c>
      <c r="C300" s="224"/>
      <c r="D300" s="224"/>
      <c r="E300" s="94"/>
      <c r="F300" s="226">
        <f>F70/IF($C$19="USD",F$6,1)</f>
        <v>17204.741734417345</v>
      </c>
      <c r="G300" s="226">
        <f t="shared" ref="G300:Q300" si="220">G70/IF($C$19="USD",G$6,1)</f>
        <v>14647.40243902439</v>
      </c>
      <c r="H300" s="226">
        <f t="shared" si="220"/>
        <v>-10281.302710027101</v>
      </c>
      <c r="I300" s="226">
        <f t="shared" si="220"/>
        <v>191.38292682926829</v>
      </c>
      <c r="J300" s="226">
        <f t="shared" si="220"/>
        <v>29369.910027100272</v>
      </c>
      <c r="K300" s="226">
        <f t="shared" si="220"/>
        <v>9036.2195121951227</v>
      </c>
      <c r="L300" s="226">
        <f t="shared" si="220"/>
        <v>6695.6780487804881</v>
      </c>
      <c r="M300" s="226">
        <f t="shared" si="220"/>
        <v>130514.37060007955</v>
      </c>
      <c r="N300" s="226">
        <f t="shared" si="220"/>
        <v>146606.97163908265</v>
      </c>
      <c r="O300" s="226">
        <f t="shared" si="220"/>
        <v>162699.74559727707</v>
      </c>
      <c r="P300" s="226">
        <f t="shared" si="220"/>
        <v>175831.48265500669</v>
      </c>
      <c r="Q300" s="226">
        <f t="shared" si="220"/>
        <v>191924.59385365705</v>
      </c>
      <c r="R300" s="957"/>
      <c r="S300" s="226">
        <f>SUM(F300:Q300)</f>
        <v>874441.19632342283</v>
      </c>
      <c r="T300" s="866">
        <f t="shared" si="200"/>
        <v>0.23156080413385027</v>
      </c>
      <c r="U300" s="674" t="s">
        <v>546</v>
      </c>
      <c r="V300" s="729"/>
      <c r="W300" s="729"/>
      <c r="X300" s="729"/>
      <c r="Y300" s="729"/>
      <c r="Z300" s="729"/>
      <c r="AA300" s="729"/>
      <c r="AB300" s="729"/>
      <c r="AC300" s="729"/>
      <c r="AD300" s="729"/>
      <c r="AE300" s="729"/>
      <c r="AF300" s="729"/>
      <c r="AG300" s="729"/>
      <c r="AH300" s="729"/>
      <c r="AI300" s="729"/>
      <c r="AJ300" s="729"/>
    </row>
    <row r="301" spans="1:36">
      <c r="A301" s="674" t="str">
        <f>B71</f>
        <v xml:space="preserve">  Margen Neto %</v>
      </c>
      <c r="B301" s="220" t="str">
        <f>IF($C$19="USD",U301,A301)</f>
        <v xml:space="preserve">  Net Margin %</v>
      </c>
      <c r="C301" s="1003"/>
      <c r="D301" s="1003"/>
      <c r="E301" s="84"/>
      <c r="F301" s="383">
        <f t="shared" ref="F301:Q301" si="221">F71</f>
        <v>0.10369250369794365</v>
      </c>
      <c r="G301" s="383">
        <f t="shared" si="221"/>
        <v>7.2625097821285692E-2</v>
      </c>
      <c r="H301" s="383">
        <f t="shared" si="221"/>
        <v>-4.820333119364438E-2</v>
      </c>
      <c r="I301" s="383">
        <f t="shared" si="221"/>
        <v>9.4051593341890386E-4</v>
      </c>
      <c r="J301" s="383">
        <f t="shared" si="221"/>
        <v>0.13112284871442573</v>
      </c>
      <c r="K301" s="383">
        <f t="shared" si="221"/>
        <v>4.4372217646511038E-2</v>
      </c>
      <c r="L301" s="383">
        <f t="shared" si="221"/>
        <v>3.6339748989481474E-2</v>
      </c>
      <c r="M301" s="383">
        <f t="shared" si="221"/>
        <v>0.30604349804467113</v>
      </c>
      <c r="N301" s="383">
        <f t="shared" si="221"/>
        <v>0.32490466367096016</v>
      </c>
      <c r="O301" s="383">
        <f t="shared" si="221"/>
        <v>0.34180292173246229</v>
      </c>
      <c r="P301" s="383">
        <f t="shared" si="221"/>
        <v>0.35111637647926497</v>
      </c>
      <c r="Q301" s="383">
        <f t="shared" si="221"/>
        <v>0.36518657049044789</v>
      </c>
      <c r="R301" s="957"/>
      <c r="S301" s="383">
        <f>IF(S281=0,0,S300/S281)</f>
        <v>0.23156080413385027</v>
      </c>
      <c r="T301" s="674"/>
      <c r="U301" s="674" t="s">
        <v>547</v>
      </c>
      <c r="V301" s="729"/>
      <c r="W301" s="729"/>
      <c r="X301" s="729"/>
      <c r="Y301" s="729"/>
      <c r="Z301" s="729"/>
      <c r="AA301" s="729"/>
      <c r="AB301" s="729"/>
      <c r="AC301" s="729"/>
      <c r="AD301" s="729"/>
      <c r="AE301" s="729"/>
      <c r="AF301" s="729"/>
      <c r="AG301" s="729"/>
      <c r="AH301" s="729"/>
      <c r="AI301" s="729"/>
      <c r="AJ301" s="729"/>
    </row>
    <row r="302" spans="1:36">
      <c r="A302" s="674"/>
      <c r="B302" s="691"/>
      <c r="C302" s="674"/>
      <c r="D302" s="674"/>
      <c r="E302" s="957"/>
      <c r="F302" s="957"/>
      <c r="G302" s="957"/>
      <c r="H302" s="957"/>
      <c r="I302" s="957"/>
      <c r="J302" s="957"/>
      <c r="K302" s="957"/>
      <c r="L302" s="957"/>
      <c r="M302" s="957"/>
      <c r="N302" s="957"/>
      <c r="O302" s="957"/>
      <c r="P302" s="957"/>
      <c r="Q302" s="957"/>
      <c r="R302" s="957"/>
      <c r="S302" s="957"/>
      <c r="T302" s="674"/>
      <c r="U302" s="674"/>
      <c r="V302" s="729"/>
      <c r="W302" s="729"/>
      <c r="X302" s="729"/>
      <c r="Y302" s="729"/>
      <c r="Z302" s="729"/>
      <c r="AA302" s="729"/>
      <c r="AB302" s="729"/>
      <c r="AC302" s="729"/>
      <c r="AD302" s="729"/>
      <c r="AE302" s="729"/>
      <c r="AF302" s="729"/>
      <c r="AG302" s="729"/>
      <c r="AH302" s="729"/>
      <c r="AI302" s="729"/>
      <c r="AJ302" s="729"/>
    </row>
    <row r="303" spans="1:36" ht="15" thickBot="1">
      <c r="A303" s="674"/>
      <c r="B303" s="691"/>
      <c r="C303" s="674"/>
      <c r="D303" s="674"/>
      <c r="E303" s="957"/>
      <c r="F303" s="957"/>
      <c r="G303" s="957"/>
      <c r="H303" s="957"/>
      <c r="I303" s="957"/>
      <c r="J303" s="957"/>
      <c r="K303" s="957"/>
      <c r="L303" s="957"/>
      <c r="M303" s="957"/>
      <c r="N303" s="957"/>
      <c r="O303" s="957"/>
      <c r="P303" s="957"/>
      <c r="Q303" s="957"/>
      <c r="R303" s="957"/>
      <c r="S303" s="957"/>
      <c r="T303" s="674"/>
      <c r="U303" s="674"/>
      <c r="V303" s="729"/>
      <c r="W303" s="729"/>
      <c r="X303" s="729"/>
      <c r="Y303" s="729"/>
      <c r="Z303" s="729"/>
      <c r="AA303" s="729"/>
      <c r="AB303" s="729"/>
      <c r="AC303" s="729"/>
      <c r="AD303" s="729"/>
      <c r="AE303" s="729"/>
      <c r="AF303" s="729"/>
      <c r="AG303" s="729"/>
      <c r="AH303" s="729"/>
      <c r="AI303" s="729"/>
      <c r="AJ303" s="729"/>
    </row>
    <row r="304" spans="1:36">
      <c r="A304" s="682"/>
      <c r="B304" s="551" t="s">
        <v>548</v>
      </c>
      <c r="C304" s="551"/>
      <c r="D304" s="551"/>
      <c r="E304" s="552"/>
      <c r="F304" s="552"/>
      <c r="G304" s="552"/>
      <c r="H304" s="552"/>
      <c r="I304" s="552"/>
      <c r="J304" s="552"/>
      <c r="K304" s="552"/>
      <c r="L304" s="552"/>
      <c r="M304" s="552"/>
      <c r="N304" s="552"/>
      <c r="O304" s="552"/>
      <c r="P304" s="552"/>
      <c r="Q304" s="552"/>
      <c r="R304" s="553"/>
      <c r="S304" s="552"/>
      <c r="T304" s="682"/>
      <c r="U304" s="682"/>
      <c r="V304" s="729"/>
      <c r="W304" s="729"/>
      <c r="X304" s="729"/>
      <c r="Y304" s="729"/>
      <c r="Z304" s="729"/>
      <c r="AA304" s="729"/>
      <c r="AB304" s="729"/>
      <c r="AC304" s="729"/>
      <c r="AD304" s="729"/>
      <c r="AE304" s="729"/>
      <c r="AF304" s="729"/>
      <c r="AG304" s="729"/>
      <c r="AH304" s="729"/>
      <c r="AI304" s="729"/>
      <c r="AJ304" s="729"/>
    </row>
    <row r="305" spans="1:36">
      <c r="A305" s="674"/>
      <c r="B305" s="184"/>
      <c r="C305" s="215"/>
      <c r="D305" s="215"/>
      <c r="E305" s="215"/>
      <c r="F305" s="215"/>
      <c r="G305" s="215"/>
      <c r="H305" s="215"/>
      <c r="I305" s="215"/>
      <c r="J305" s="215"/>
      <c r="K305" s="215"/>
      <c r="L305" s="215"/>
      <c r="M305" s="215"/>
      <c r="N305" s="215"/>
      <c r="O305" s="215"/>
      <c r="P305" s="215"/>
      <c r="Q305" s="215"/>
      <c r="R305" s="957"/>
      <c r="S305" s="215"/>
      <c r="T305" s="674"/>
      <c r="U305" s="674"/>
      <c r="V305" s="729"/>
      <c r="W305" s="729"/>
      <c r="X305" s="729"/>
      <c r="Y305" s="729"/>
      <c r="Z305" s="729"/>
      <c r="AA305" s="729"/>
      <c r="AB305" s="729"/>
      <c r="AC305" s="729"/>
      <c r="AD305" s="729"/>
      <c r="AE305" s="729"/>
      <c r="AF305" s="729"/>
      <c r="AG305" s="729"/>
      <c r="AH305" s="729"/>
      <c r="AI305" s="729"/>
      <c r="AJ305" s="729"/>
    </row>
    <row r="306" spans="1:36" ht="30" customHeight="1">
      <c r="A306" s="467"/>
      <c r="B306" s="461"/>
      <c r="C306" s="461"/>
      <c r="D306" s="461"/>
      <c r="E306" s="540">
        <v>2025</v>
      </c>
      <c r="F306" s="538" t="s">
        <v>209</v>
      </c>
      <c r="G306" s="538" t="s">
        <v>324</v>
      </c>
      <c r="H306" s="538" t="s">
        <v>325</v>
      </c>
      <c r="I306" s="538" t="s">
        <v>326</v>
      </c>
      <c r="J306" s="538" t="s">
        <v>327</v>
      </c>
      <c r="K306" s="538" t="s">
        <v>328</v>
      </c>
      <c r="L306" s="538" t="s">
        <v>329</v>
      </c>
      <c r="M306" s="538" t="s">
        <v>330</v>
      </c>
      <c r="N306" s="538" t="s">
        <v>331</v>
      </c>
      <c r="O306" s="538" t="s">
        <v>332</v>
      </c>
      <c r="P306" s="538" t="s">
        <v>333</v>
      </c>
      <c r="Q306" s="538" t="s">
        <v>334</v>
      </c>
      <c r="R306" s="461"/>
      <c r="S306" s="538" t="s">
        <v>16</v>
      </c>
      <c r="T306" s="461"/>
      <c r="U306" s="461"/>
      <c r="V306" s="729"/>
      <c r="W306" s="729"/>
      <c r="X306" s="729"/>
      <c r="Y306" s="729"/>
      <c r="Z306" s="729"/>
      <c r="AA306" s="729"/>
      <c r="AB306" s="729"/>
      <c r="AC306" s="729"/>
      <c r="AD306" s="729"/>
      <c r="AE306" s="729"/>
      <c r="AF306" s="729"/>
      <c r="AG306" s="729"/>
      <c r="AH306" s="729"/>
      <c r="AI306" s="729"/>
      <c r="AJ306" s="729"/>
    </row>
    <row r="307" spans="1:36">
      <c r="A307" s="627"/>
      <c r="B307" s="636" t="s">
        <v>549</v>
      </c>
      <c r="C307" s="644"/>
      <c r="D307" s="644"/>
      <c r="E307" s="644"/>
      <c r="F307" s="644"/>
      <c r="G307" s="644"/>
      <c r="H307" s="644"/>
      <c r="I307" s="644"/>
      <c r="J307" s="644"/>
      <c r="K307" s="644"/>
      <c r="L307" s="644"/>
      <c r="M307" s="644"/>
      <c r="N307" s="644"/>
      <c r="O307" s="644"/>
      <c r="P307" s="644"/>
      <c r="Q307" s="644"/>
      <c r="R307" s="644"/>
      <c r="S307" s="644"/>
      <c r="T307" s="627"/>
      <c r="U307" s="627"/>
      <c r="V307" s="729"/>
      <c r="W307" s="729"/>
      <c r="X307" s="729"/>
      <c r="Y307" s="729"/>
      <c r="Z307" s="729"/>
      <c r="AA307" s="729"/>
      <c r="AB307" s="729"/>
      <c r="AC307" s="729"/>
      <c r="AD307" s="729"/>
      <c r="AE307" s="729"/>
      <c r="AF307" s="729"/>
      <c r="AG307" s="729"/>
      <c r="AH307" s="729"/>
      <c r="AI307" s="729"/>
      <c r="AJ307" s="729"/>
    </row>
    <row r="308" spans="1:36">
      <c r="A308" s="674"/>
      <c r="B308" s="184" t="s">
        <v>519</v>
      </c>
      <c r="C308" s="215"/>
      <c r="D308" s="215"/>
      <c r="E308" s="212">
        <f t="shared" ref="E308:Q308" si="222">E78/E6</f>
        <v>62726.0162601626</v>
      </c>
      <c r="F308" s="212">
        <f t="shared" si="222"/>
        <v>115337.29701897019</v>
      </c>
      <c r="G308" s="212">
        <f t="shared" si="222"/>
        <v>32602.043089430896</v>
      </c>
      <c r="H308" s="212">
        <f t="shared" si="222"/>
        <v>73032.171002710034</v>
      </c>
      <c r="I308" s="212">
        <f t="shared" si="222"/>
        <v>96953.16016260162</v>
      </c>
      <c r="J308" s="212">
        <f t="shared" si="222"/>
        <v>66347.518970189703</v>
      </c>
      <c r="K308" s="212">
        <f t="shared" si="222"/>
        <v>31284.921951219512</v>
      </c>
      <c r="L308" s="212">
        <f t="shared" si="222"/>
        <v>47226.809214092144</v>
      </c>
      <c r="M308" s="212">
        <f t="shared" si="222"/>
        <v>-438481.11819987529</v>
      </c>
      <c r="N308" s="212">
        <f t="shared" si="222"/>
        <v>-353517.31103247526</v>
      </c>
      <c r="O308" s="212">
        <f t="shared" si="222"/>
        <v>-252444.94105457491</v>
      </c>
      <c r="P308" s="212">
        <f t="shared" si="222"/>
        <v>-135108.72695916405</v>
      </c>
      <c r="Q308" s="212">
        <f t="shared" si="222"/>
        <v>-4780.716077095125</v>
      </c>
      <c r="R308" s="957"/>
      <c r="S308" s="212">
        <f t="shared" ref="S308:S315" si="223">Q308</f>
        <v>-4780.716077095125</v>
      </c>
      <c r="T308" s="674"/>
      <c r="U308" s="674"/>
      <c r="V308" s="729"/>
      <c r="W308" s="729"/>
      <c r="X308" s="729"/>
      <c r="Y308" s="729"/>
      <c r="Z308" s="729"/>
      <c r="AA308" s="729"/>
      <c r="AB308" s="729"/>
      <c r="AC308" s="729"/>
      <c r="AD308" s="729"/>
      <c r="AE308" s="729"/>
      <c r="AF308" s="729"/>
      <c r="AG308" s="729"/>
      <c r="AH308" s="729"/>
      <c r="AI308" s="729"/>
      <c r="AJ308" s="729"/>
    </row>
    <row r="309" spans="1:36">
      <c r="A309" s="674"/>
      <c r="B309" s="184" t="s">
        <v>550</v>
      </c>
      <c r="C309" s="215"/>
      <c r="D309" s="215"/>
      <c r="E309" s="212">
        <f t="shared" ref="E309:Q309" si="224">E79/E6</f>
        <v>496828.18428184284</v>
      </c>
      <c r="F309" s="212">
        <f t="shared" si="224"/>
        <v>431040.87506775069</v>
      </c>
      <c r="G309" s="212">
        <f t="shared" si="224"/>
        <v>487142.8696476965</v>
      </c>
      <c r="H309" s="212">
        <f t="shared" si="224"/>
        <v>458154.42113821139</v>
      </c>
      <c r="I309" s="212">
        <f t="shared" si="224"/>
        <v>437016.17994579946</v>
      </c>
      <c r="J309" s="212">
        <f t="shared" si="224"/>
        <v>454023.4937669377</v>
      </c>
      <c r="K309" s="212">
        <f t="shared" si="224"/>
        <v>487650.7051490515</v>
      </c>
      <c r="L309" s="212">
        <f t="shared" si="224"/>
        <v>457576.6707317073</v>
      </c>
      <c r="M309" s="212">
        <f t="shared" si="224"/>
        <v>1194079.4037940379</v>
      </c>
      <c r="N309" s="212">
        <f t="shared" si="224"/>
        <v>1263446.0704607046</v>
      </c>
      <c r="O309" s="212">
        <f t="shared" si="224"/>
        <v>1332812.7371273714</v>
      </c>
      <c r="P309" s="212">
        <f t="shared" si="224"/>
        <v>1402179.4037940379</v>
      </c>
      <c r="Q309" s="212">
        <f t="shared" si="224"/>
        <v>1471546.0704607046</v>
      </c>
      <c r="R309" s="957"/>
      <c r="S309" s="212">
        <f t="shared" si="223"/>
        <v>1471546.0704607046</v>
      </c>
      <c r="T309" s="674"/>
      <c r="U309" s="674"/>
      <c r="V309" s="729"/>
      <c r="W309" s="729"/>
      <c r="X309" s="729"/>
      <c r="Y309" s="729"/>
      <c r="Z309" s="729"/>
      <c r="AA309" s="729"/>
      <c r="AB309" s="729"/>
      <c r="AC309" s="729"/>
      <c r="AD309" s="729"/>
      <c r="AE309" s="729"/>
      <c r="AF309" s="729"/>
      <c r="AG309" s="729"/>
      <c r="AH309" s="729"/>
      <c r="AI309" s="729"/>
      <c r="AJ309" s="729"/>
    </row>
    <row r="310" spans="1:36">
      <c r="A310" s="674"/>
      <c r="B310" s="184" t="s">
        <v>521</v>
      </c>
      <c r="C310" s="215"/>
      <c r="D310" s="215"/>
      <c r="E310" s="212">
        <f t="shared" ref="E310:Q310" si="225">E80/E6</f>
        <v>24939.837398373984</v>
      </c>
      <c r="F310" s="212">
        <f t="shared" si="225"/>
        <v>25080.920054200542</v>
      </c>
      <c r="G310" s="212">
        <f t="shared" si="225"/>
        <v>25205.643089430894</v>
      </c>
      <c r="H310" s="212">
        <f t="shared" si="225"/>
        <v>25394.388346883468</v>
      </c>
      <c r="I310" s="212">
        <f t="shared" si="225"/>
        <v>25629.852845528454</v>
      </c>
      <c r="J310" s="212">
        <f t="shared" si="225"/>
        <v>47671.380487804876</v>
      </c>
      <c r="K310" s="212">
        <f t="shared" si="225"/>
        <v>21021.498915989159</v>
      </c>
      <c r="L310" s="212">
        <f t="shared" si="225"/>
        <v>21211.390785907861</v>
      </c>
      <c r="M310" s="212">
        <f t="shared" si="225"/>
        <v>25629.852845528454</v>
      </c>
      <c r="N310" s="212">
        <f t="shared" si="225"/>
        <v>25629.852845528454</v>
      </c>
      <c r="O310" s="212">
        <f t="shared" si="225"/>
        <v>25629.852845528454</v>
      </c>
      <c r="P310" s="212">
        <f t="shared" si="225"/>
        <v>25629.852845528454</v>
      </c>
      <c r="Q310" s="212">
        <f t="shared" si="225"/>
        <v>25629.852845528454</v>
      </c>
      <c r="R310" s="957"/>
      <c r="S310" s="212">
        <f t="shared" si="223"/>
        <v>25629.852845528454</v>
      </c>
      <c r="T310" s="674"/>
      <c r="U310" s="674"/>
      <c r="V310" s="729"/>
      <c r="W310" s="729"/>
      <c r="X310" s="729"/>
      <c r="Y310" s="729"/>
      <c r="Z310" s="729"/>
      <c r="AA310" s="729"/>
      <c r="AB310" s="729"/>
      <c r="AC310" s="729"/>
      <c r="AD310" s="729"/>
      <c r="AE310" s="729"/>
      <c r="AF310" s="729"/>
      <c r="AG310" s="729"/>
      <c r="AH310" s="729"/>
      <c r="AI310" s="729"/>
      <c r="AJ310" s="729"/>
    </row>
    <row r="311" spans="1:36">
      <c r="A311" s="674"/>
      <c r="B311" s="184" t="s">
        <v>522</v>
      </c>
      <c r="C311" s="215"/>
      <c r="D311" s="215"/>
      <c r="E311" s="212">
        <f t="shared" ref="E311:Q311" si="226">E81/E6</f>
        <v>894830.62330623309</v>
      </c>
      <c r="F311" s="212">
        <f t="shared" si="226"/>
        <v>902912.12764227646</v>
      </c>
      <c r="G311" s="212">
        <f t="shared" si="226"/>
        <v>910435.71300813009</v>
      </c>
      <c r="H311" s="212">
        <f t="shared" si="226"/>
        <v>920838.75284552842</v>
      </c>
      <c r="I311" s="212">
        <f t="shared" si="226"/>
        <v>930357.98238482384</v>
      </c>
      <c r="J311" s="212">
        <f t="shared" si="226"/>
        <v>940086.06476964767</v>
      </c>
      <c r="K311" s="212">
        <f t="shared" si="226"/>
        <v>947928.54634146346</v>
      </c>
      <c r="L311" s="212">
        <f t="shared" si="226"/>
        <v>956557.46476964769</v>
      </c>
      <c r="M311" s="212">
        <f t="shared" si="226"/>
        <v>930357.98238482384</v>
      </c>
      <c r="N311" s="212">
        <f t="shared" si="226"/>
        <v>930357.98238482384</v>
      </c>
      <c r="O311" s="212">
        <f t="shared" si="226"/>
        <v>930357.98238482384</v>
      </c>
      <c r="P311" s="212">
        <f t="shared" si="226"/>
        <v>930357.98238482384</v>
      </c>
      <c r="Q311" s="212">
        <f t="shared" si="226"/>
        <v>930357.98238482384</v>
      </c>
      <c r="R311" s="957"/>
      <c r="S311" s="212">
        <f t="shared" si="223"/>
        <v>930357.98238482384</v>
      </c>
      <c r="T311" s="674"/>
      <c r="U311" s="674"/>
      <c r="V311" s="729"/>
      <c r="W311" s="729"/>
      <c r="X311" s="729"/>
      <c r="Y311" s="729"/>
      <c r="Z311" s="729"/>
      <c r="AA311" s="729"/>
      <c r="AB311" s="729"/>
      <c r="AC311" s="729"/>
      <c r="AD311" s="729"/>
      <c r="AE311" s="729"/>
      <c r="AF311" s="729"/>
      <c r="AG311" s="729"/>
      <c r="AH311" s="729"/>
      <c r="AI311" s="729"/>
      <c r="AJ311" s="729"/>
    </row>
    <row r="312" spans="1:36">
      <c r="A312" s="679"/>
      <c r="B312" s="531" t="s">
        <v>551</v>
      </c>
      <c r="C312" s="542"/>
      <c r="D312" s="542"/>
      <c r="E312" s="550">
        <f t="shared" ref="E312:Q312" si="227">E82/E6</f>
        <v>1479324.6612466124</v>
      </c>
      <c r="F312" s="550">
        <f t="shared" si="227"/>
        <v>1474371.2197831979</v>
      </c>
      <c r="G312" s="550">
        <f t="shared" si="227"/>
        <v>1455386.2688346882</v>
      </c>
      <c r="H312" s="550">
        <f t="shared" si="227"/>
        <v>1477419.7333333334</v>
      </c>
      <c r="I312" s="550">
        <f t="shared" si="227"/>
        <v>1489957.1753387535</v>
      </c>
      <c r="J312" s="550">
        <f t="shared" si="227"/>
        <v>1508128.45799458</v>
      </c>
      <c r="K312" s="550">
        <f t="shared" si="227"/>
        <v>1487885.6723577236</v>
      </c>
      <c r="L312" s="550">
        <f t="shared" si="227"/>
        <v>1482572.3355013551</v>
      </c>
      <c r="M312" s="550">
        <f t="shared" si="227"/>
        <v>1711586.1208245151</v>
      </c>
      <c r="N312" s="550">
        <f t="shared" si="227"/>
        <v>1865916.5946585818</v>
      </c>
      <c r="O312" s="550">
        <f t="shared" si="227"/>
        <v>2036355.6313031486</v>
      </c>
      <c r="P312" s="550">
        <f t="shared" si="227"/>
        <v>2223058.5120652262</v>
      </c>
      <c r="Q312" s="550">
        <f t="shared" si="227"/>
        <v>2422753.1896139616</v>
      </c>
      <c r="R312" s="991"/>
      <c r="S312" s="550">
        <f t="shared" si="223"/>
        <v>2422753.1896139616</v>
      </c>
      <c r="T312" s="679"/>
      <c r="U312" s="679"/>
      <c r="V312" s="729"/>
      <c r="W312" s="729"/>
      <c r="X312" s="729"/>
      <c r="Y312" s="729"/>
      <c r="Z312" s="729"/>
      <c r="AA312" s="729"/>
      <c r="AB312" s="729"/>
      <c r="AC312" s="729"/>
      <c r="AD312" s="729"/>
      <c r="AE312" s="729"/>
      <c r="AF312" s="729"/>
      <c r="AG312" s="729"/>
      <c r="AH312" s="729"/>
      <c r="AI312" s="729"/>
      <c r="AJ312" s="729"/>
    </row>
    <row r="313" spans="1:36">
      <c r="A313" s="674"/>
      <c r="B313" s="184" t="s">
        <v>523</v>
      </c>
      <c r="C313" s="215"/>
      <c r="D313" s="215"/>
      <c r="E313" s="212">
        <f t="shared" ref="E313:Q313" si="228">E83/E6</f>
        <v>56697.018970189703</v>
      </c>
      <c r="F313" s="212">
        <f t="shared" si="228"/>
        <v>58691.586449864495</v>
      </c>
      <c r="G313" s="212">
        <f t="shared" si="228"/>
        <v>60390.502439024393</v>
      </c>
      <c r="H313" s="212">
        <f t="shared" si="228"/>
        <v>60468.835230352306</v>
      </c>
      <c r="I313" s="212">
        <f t="shared" si="228"/>
        <v>59128.057723577236</v>
      </c>
      <c r="J313" s="212">
        <f t="shared" si="228"/>
        <v>61239.976693766941</v>
      </c>
      <c r="K313" s="212">
        <f t="shared" si="228"/>
        <v>61239.976693766941</v>
      </c>
      <c r="L313" s="212">
        <f t="shared" si="228"/>
        <v>61239.976693766941</v>
      </c>
      <c r="M313" s="212">
        <f t="shared" si="228"/>
        <v>63171.621583408611</v>
      </c>
      <c r="N313" s="212">
        <f t="shared" si="228"/>
        <v>64113.366101733918</v>
      </c>
      <c r="O313" s="212">
        <f t="shared" si="228"/>
        <v>65039.414878087133</v>
      </c>
      <c r="P313" s="212">
        <f t="shared" si="228"/>
        <v>65950.02950816779</v>
      </c>
      <c r="Q313" s="212">
        <f t="shared" si="228"/>
        <v>66845.467227747111</v>
      </c>
      <c r="R313" s="957"/>
      <c r="S313" s="212">
        <f t="shared" si="223"/>
        <v>66845.467227747111</v>
      </c>
      <c r="T313" s="674"/>
      <c r="U313" s="674"/>
      <c r="V313" s="729"/>
      <c r="W313" s="729"/>
      <c r="X313" s="729"/>
      <c r="Y313" s="729"/>
      <c r="Z313" s="729"/>
      <c r="AA313" s="729"/>
      <c r="AB313" s="729"/>
      <c r="AC313" s="729"/>
      <c r="AD313" s="729"/>
      <c r="AE313" s="729"/>
      <c r="AF313" s="729"/>
      <c r="AG313" s="729"/>
      <c r="AH313" s="729"/>
      <c r="AI313" s="729"/>
      <c r="AJ313" s="729"/>
    </row>
    <row r="314" spans="1:36">
      <c r="A314" s="674"/>
      <c r="B314" s="184" t="s">
        <v>378</v>
      </c>
      <c r="C314" s="215"/>
      <c r="D314" s="215"/>
      <c r="E314" s="212">
        <f t="shared" ref="E314:Q314" si="229">E84/E6</f>
        <v>111111.11111111111</v>
      </c>
      <c r="F314" s="212">
        <f t="shared" si="229"/>
        <v>111111.11111111111</v>
      </c>
      <c r="G314" s="212">
        <f t="shared" si="229"/>
        <v>111111.11111111111</v>
      </c>
      <c r="H314" s="212">
        <f t="shared" si="229"/>
        <v>111111.11111111111</v>
      </c>
      <c r="I314" s="212">
        <f t="shared" si="229"/>
        <v>111111.11111111111</v>
      </c>
      <c r="J314" s="212">
        <f t="shared" si="229"/>
        <v>111111.11111111111</v>
      </c>
      <c r="K314" s="212">
        <f t="shared" si="229"/>
        <v>111111.11111111111</v>
      </c>
      <c r="L314" s="212">
        <f t="shared" si="229"/>
        <v>111111.11111111111</v>
      </c>
      <c r="M314" s="212">
        <f t="shared" si="229"/>
        <v>111111.11111111111</v>
      </c>
      <c r="N314" s="212">
        <f t="shared" si="229"/>
        <v>111111.11111111111</v>
      </c>
      <c r="O314" s="212">
        <f t="shared" si="229"/>
        <v>111111.11111111111</v>
      </c>
      <c r="P314" s="212">
        <f t="shared" si="229"/>
        <v>111111.11111111111</v>
      </c>
      <c r="Q314" s="212">
        <f t="shared" si="229"/>
        <v>111111.11111111111</v>
      </c>
      <c r="R314" s="957"/>
      <c r="S314" s="212">
        <f t="shared" si="223"/>
        <v>111111.11111111111</v>
      </c>
      <c r="T314" s="674"/>
      <c r="U314" s="674"/>
      <c r="V314" s="729"/>
      <c r="W314" s="729"/>
      <c r="X314" s="729"/>
      <c r="Y314" s="729"/>
      <c r="Z314" s="729"/>
      <c r="AA314" s="729"/>
      <c r="AB314" s="729"/>
      <c r="AC314" s="729"/>
      <c r="AD314" s="729"/>
      <c r="AE314" s="729"/>
      <c r="AF314" s="729"/>
      <c r="AG314" s="729"/>
      <c r="AH314" s="729"/>
      <c r="AI314" s="729"/>
      <c r="AJ314" s="729"/>
    </row>
    <row r="315" spans="1:36">
      <c r="A315" s="679"/>
      <c r="B315" s="545" t="s">
        <v>552</v>
      </c>
      <c r="C315" s="546"/>
      <c r="D315" s="546"/>
      <c r="E315" s="549">
        <f t="shared" ref="E315:Q315" si="230">E85/E6</f>
        <v>1647132.7913279133</v>
      </c>
      <c r="F315" s="549">
        <f t="shared" si="230"/>
        <v>1644173.9173441734</v>
      </c>
      <c r="G315" s="549">
        <f t="shared" si="230"/>
        <v>1626887.8823848239</v>
      </c>
      <c r="H315" s="549">
        <f t="shared" si="230"/>
        <v>1648999.6796747968</v>
      </c>
      <c r="I315" s="549">
        <f t="shared" si="230"/>
        <v>1660196.3441734416</v>
      </c>
      <c r="J315" s="549">
        <f t="shared" si="230"/>
        <v>1680479.5457994579</v>
      </c>
      <c r="K315" s="549">
        <f t="shared" si="230"/>
        <v>1660236.7601626017</v>
      </c>
      <c r="L315" s="549">
        <f t="shared" si="230"/>
        <v>1654923.423306233</v>
      </c>
      <c r="M315" s="549">
        <f t="shared" si="230"/>
        <v>1885868.8535190348</v>
      </c>
      <c r="N315" s="549">
        <f t="shared" si="230"/>
        <v>2041141.0718714269</v>
      </c>
      <c r="O315" s="549">
        <f t="shared" si="230"/>
        <v>2212506.1572923469</v>
      </c>
      <c r="P315" s="549">
        <f t="shared" si="230"/>
        <v>2400119.6526845046</v>
      </c>
      <c r="Q315" s="549">
        <f t="shared" si="230"/>
        <v>2600709.7679528198</v>
      </c>
      <c r="R315" s="991"/>
      <c r="S315" s="549">
        <f t="shared" si="223"/>
        <v>2600709.7679528198</v>
      </c>
      <c r="T315" s="679"/>
      <c r="U315" s="679"/>
      <c r="V315" s="729"/>
      <c r="W315" s="729"/>
      <c r="X315" s="729"/>
      <c r="Y315" s="729"/>
      <c r="Z315" s="729"/>
      <c r="AA315" s="729"/>
      <c r="AB315" s="729"/>
      <c r="AC315" s="729"/>
      <c r="AD315" s="729"/>
      <c r="AE315" s="729"/>
      <c r="AF315" s="729"/>
      <c r="AG315" s="729"/>
      <c r="AH315" s="729"/>
      <c r="AI315" s="729"/>
      <c r="AJ315" s="729"/>
    </row>
    <row r="316" spans="1:36">
      <c r="A316" s="674"/>
      <c r="B316" s="184"/>
      <c r="C316" s="215"/>
      <c r="D316" s="215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57"/>
      <c r="S316" s="91"/>
      <c r="T316" s="674"/>
      <c r="U316" s="674"/>
      <c r="V316" s="729"/>
      <c r="W316" s="729"/>
      <c r="X316" s="729"/>
      <c r="Y316" s="729"/>
      <c r="Z316" s="729"/>
      <c r="AA316" s="729"/>
      <c r="AB316" s="729"/>
      <c r="AC316" s="729"/>
      <c r="AD316" s="729"/>
      <c r="AE316" s="729"/>
      <c r="AF316" s="729"/>
      <c r="AG316" s="729"/>
      <c r="AH316" s="729"/>
      <c r="AI316" s="729"/>
      <c r="AJ316" s="729"/>
    </row>
    <row r="317" spans="1:36">
      <c r="A317" s="627"/>
      <c r="B317" s="636" t="s">
        <v>553</v>
      </c>
      <c r="C317" s="644"/>
      <c r="D317" s="644"/>
      <c r="E317" s="646"/>
      <c r="F317" s="646"/>
      <c r="G317" s="646"/>
      <c r="H317" s="646"/>
      <c r="I317" s="646"/>
      <c r="J317" s="646"/>
      <c r="K317" s="646"/>
      <c r="L317" s="646"/>
      <c r="M317" s="646"/>
      <c r="N317" s="646"/>
      <c r="O317" s="646"/>
      <c r="P317" s="646"/>
      <c r="Q317" s="646"/>
      <c r="R317" s="644"/>
      <c r="S317" s="646"/>
      <c r="T317" s="627"/>
      <c r="U317" s="627"/>
      <c r="V317" s="729"/>
      <c r="W317" s="729"/>
      <c r="X317" s="729"/>
      <c r="Y317" s="729"/>
      <c r="Z317" s="729"/>
      <c r="AA317" s="729"/>
      <c r="AB317" s="729"/>
      <c r="AC317" s="729"/>
      <c r="AD317" s="729"/>
      <c r="AE317" s="729"/>
      <c r="AF317" s="729"/>
      <c r="AG317" s="729"/>
      <c r="AH317" s="729"/>
      <c r="AI317" s="729"/>
      <c r="AJ317" s="729"/>
    </row>
    <row r="318" spans="1:36">
      <c r="A318" s="674"/>
      <c r="B318" s="184" t="s">
        <v>554</v>
      </c>
      <c r="C318" s="215"/>
      <c r="D318" s="215"/>
      <c r="E318" s="212">
        <f t="shared" ref="E318:Q318" si="231">E88/E$6</f>
        <v>21710.298102981029</v>
      </c>
      <c r="F318" s="212">
        <f t="shared" si="231"/>
        <v>19724.515176151763</v>
      </c>
      <c r="G318" s="212">
        <f t="shared" si="231"/>
        <v>27470.216531165312</v>
      </c>
      <c r="H318" s="212">
        <f t="shared" si="231"/>
        <v>28235.766937669378</v>
      </c>
      <c r="I318" s="212">
        <f t="shared" si="231"/>
        <v>30505.0054200542</v>
      </c>
      <c r="J318" s="212">
        <f t="shared" si="231"/>
        <v>26989.09674796748</v>
      </c>
      <c r="K318" s="212">
        <f t="shared" si="231"/>
        <v>22629.795934959351</v>
      </c>
      <c r="L318" s="212">
        <f t="shared" si="231"/>
        <v>28334.741192411922</v>
      </c>
      <c r="M318" s="212">
        <f t="shared" si="231"/>
        <v>738501.47100271005</v>
      </c>
      <c r="N318" s="212">
        <f t="shared" si="231"/>
        <v>738501.47100271005</v>
      </c>
      <c r="O318" s="212">
        <f t="shared" si="231"/>
        <v>738501.47100271005</v>
      </c>
      <c r="P318" s="212">
        <f t="shared" si="231"/>
        <v>738501.47100271005</v>
      </c>
      <c r="Q318" s="212">
        <f t="shared" si="231"/>
        <v>738501.47100271005</v>
      </c>
      <c r="R318" s="957"/>
      <c r="S318" s="212">
        <f>Q88/Q$6</f>
        <v>738501.47100271005</v>
      </c>
      <c r="T318" s="674"/>
      <c r="U318" s="674"/>
      <c r="V318" s="729"/>
      <c r="W318" s="729"/>
      <c r="X318" s="729"/>
      <c r="Y318" s="729"/>
      <c r="Z318" s="729"/>
      <c r="AA318" s="729"/>
      <c r="AB318" s="729"/>
      <c r="AC318" s="729"/>
      <c r="AD318" s="729"/>
      <c r="AE318" s="729"/>
      <c r="AF318" s="729"/>
      <c r="AG318" s="729"/>
      <c r="AH318" s="729"/>
      <c r="AI318" s="729"/>
      <c r="AJ318" s="729"/>
    </row>
    <row r="319" spans="1:36">
      <c r="A319" s="674"/>
      <c r="B319" s="184" t="s">
        <v>555</v>
      </c>
      <c r="C319" s="215"/>
      <c r="D319" s="215"/>
      <c r="E319" s="212">
        <f t="shared" ref="E319:Q319" si="232">E89/E$6</f>
        <v>147615.98915989159</v>
      </c>
      <c r="F319" s="212">
        <f t="shared" si="232"/>
        <v>136078.11409214092</v>
      </c>
      <c r="G319" s="212">
        <f t="shared" si="232"/>
        <v>133816.34065040649</v>
      </c>
      <c r="H319" s="212">
        <f t="shared" si="232"/>
        <v>154752.72764227641</v>
      </c>
      <c r="I319" s="212">
        <f t="shared" si="232"/>
        <v>152802.645799458</v>
      </c>
      <c r="J319" s="212">
        <f t="shared" si="232"/>
        <v>136127.65582655827</v>
      </c>
      <c r="K319" s="212">
        <f t="shared" si="232"/>
        <v>131000.24552845529</v>
      </c>
      <c r="L319" s="212">
        <f t="shared" si="232"/>
        <v>109420.13658536585</v>
      </c>
      <c r="M319" s="212">
        <f t="shared" si="232"/>
        <v>165592.54870520925</v>
      </c>
      <c r="N319" s="212">
        <f t="shared" si="232"/>
        <v>165592.54870520925</v>
      </c>
      <c r="O319" s="212">
        <f t="shared" si="232"/>
        <v>165592.54870520925</v>
      </c>
      <c r="P319" s="212">
        <f t="shared" si="232"/>
        <v>170303.62610358323</v>
      </c>
      <c r="Q319" s="212">
        <f t="shared" si="232"/>
        <v>170303.62610358323</v>
      </c>
      <c r="R319" s="957"/>
      <c r="S319" s="212">
        <f>Q89/Q$6</f>
        <v>170303.62610358323</v>
      </c>
      <c r="T319" s="674"/>
      <c r="U319" s="674"/>
      <c r="V319" s="729"/>
      <c r="W319" s="729"/>
      <c r="X319" s="729"/>
      <c r="Y319" s="729"/>
      <c r="Z319" s="729"/>
      <c r="AA319" s="729"/>
      <c r="AB319" s="729"/>
      <c r="AC319" s="729"/>
      <c r="AD319" s="729"/>
      <c r="AE319" s="729"/>
      <c r="AF319" s="729"/>
      <c r="AG319" s="729"/>
      <c r="AH319" s="729"/>
      <c r="AI319" s="729"/>
      <c r="AJ319" s="729"/>
    </row>
    <row r="320" spans="1:36">
      <c r="A320" s="674"/>
      <c r="B320" s="184" t="s">
        <v>526</v>
      </c>
      <c r="C320" s="215"/>
      <c r="D320" s="215"/>
      <c r="E320" s="226">
        <f t="shared" ref="E320:Q320" si="233">E90/E$6</f>
        <v>10860.975609756097</v>
      </c>
      <c r="F320" s="226">
        <f t="shared" si="233"/>
        <v>3888.9105691056911</v>
      </c>
      <c r="G320" s="226">
        <f t="shared" si="233"/>
        <v>485.55555555555554</v>
      </c>
      <c r="H320" s="226">
        <f t="shared" si="233"/>
        <v>6929.69756097561</v>
      </c>
      <c r="I320" s="226">
        <f t="shared" si="233"/>
        <v>6638.6571815718153</v>
      </c>
      <c r="J320" s="226">
        <f t="shared" si="233"/>
        <v>6101.1967479674795</v>
      </c>
      <c r="K320" s="226">
        <f t="shared" si="233"/>
        <v>6321.2723577235774</v>
      </c>
      <c r="L320" s="226">
        <f t="shared" si="233"/>
        <v>5211.239566395664</v>
      </c>
      <c r="M320" s="226">
        <f t="shared" si="233"/>
        <v>70276.968784658209</v>
      </c>
      <c r="N320" s="226">
        <f t="shared" si="233"/>
        <v>78942.215497967583</v>
      </c>
      <c r="O320" s="226">
        <f t="shared" si="233"/>
        <v>87607.555321610722</v>
      </c>
      <c r="P320" s="226">
        <f t="shared" si="233"/>
        <v>94678.490660388212</v>
      </c>
      <c r="Q320" s="226">
        <f t="shared" si="233"/>
        <v>103344.01207504608</v>
      </c>
      <c r="R320" s="957"/>
      <c r="S320" s="226">
        <f>Q90/Q$6</f>
        <v>103344.01207504608</v>
      </c>
      <c r="T320" s="674"/>
      <c r="U320" s="674"/>
      <c r="V320" s="729"/>
      <c r="W320" s="729"/>
      <c r="X320" s="729"/>
      <c r="Y320" s="729"/>
      <c r="Z320" s="729"/>
      <c r="AA320" s="729"/>
      <c r="AB320" s="729"/>
      <c r="AC320" s="729"/>
      <c r="AD320" s="729"/>
      <c r="AE320" s="729"/>
      <c r="AF320" s="729"/>
      <c r="AG320" s="729"/>
      <c r="AH320" s="729"/>
      <c r="AI320" s="729"/>
      <c r="AJ320" s="729"/>
    </row>
    <row r="321" spans="1:36">
      <c r="A321" s="674"/>
      <c r="B321" s="184" t="s">
        <v>527</v>
      </c>
      <c r="C321" s="215"/>
      <c r="D321" s="215"/>
      <c r="E321" s="212">
        <f t="shared" ref="E321:Q321" si="234">E91/E$6</f>
        <v>90292.140921409213</v>
      </c>
      <c r="F321" s="212">
        <f t="shared" si="234"/>
        <v>93308.298915989159</v>
      </c>
      <c r="G321" s="212">
        <f t="shared" si="234"/>
        <v>65496.761788617885</v>
      </c>
      <c r="H321" s="212">
        <f t="shared" si="234"/>
        <v>64052.501626016259</v>
      </c>
      <c r="I321" s="212">
        <f t="shared" si="234"/>
        <v>73586.143360433605</v>
      </c>
      <c r="J321" s="212">
        <f t="shared" si="234"/>
        <v>86801.317615176158</v>
      </c>
      <c r="K321" s="212">
        <f t="shared" si="234"/>
        <v>67082.363143631432</v>
      </c>
      <c r="L321" s="212">
        <f t="shared" si="234"/>
        <v>71998.707046070456</v>
      </c>
      <c r="M321" s="212">
        <f t="shared" si="234"/>
        <v>71998.707046070456</v>
      </c>
      <c r="N321" s="212">
        <f t="shared" si="234"/>
        <v>71998.707046070456</v>
      </c>
      <c r="O321" s="212">
        <f t="shared" si="234"/>
        <v>71998.707046070456</v>
      </c>
      <c r="P321" s="212">
        <f t="shared" si="234"/>
        <v>71998.707046070456</v>
      </c>
      <c r="Q321" s="212">
        <f t="shared" si="234"/>
        <v>71998.707046070456</v>
      </c>
      <c r="R321" s="957"/>
      <c r="S321" s="212">
        <f>Q91/Q$6</f>
        <v>71998.707046070456</v>
      </c>
      <c r="T321" s="674"/>
      <c r="U321" s="674"/>
      <c r="V321" s="729"/>
      <c r="W321" s="729"/>
      <c r="X321" s="729"/>
      <c r="Y321" s="729"/>
      <c r="Z321" s="729"/>
      <c r="AA321" s="729"/>
      <c r="AB321" s="729"/>
      <c r="AC321" s="729"/>
      <c r="AD321" s="729"/>
      <c r="AE321" s="729"/>
      <c r="AF321" s="729"/>
      <c r="AG321" s="729"/>
      <c r="AH321" s="729"/>
      <c r="AI321" s="729"/>
      <c r="AJ321" s="729"/>
    </row>
    <row r="322" spans="1:36">
      <c r="A322" s="679"/>
      <c r="B322" s="531" t="s">
        <v>556</v>
      </c>
      <c r="C322" s="542"/>
      <c r="D322" s="542"/>
      <c r="E322" s="550">
        <f t="shared" ref="E322:Q322" si="235">E92/E$6</f>
        <v>270479.40379403793</v>
      </c>
      <c r="F322" s="550">
        <f t="shared" si="235"/>
        <v>252999.83875338754</v>
      </c>
      <c r="G322" s="550">
        <f t="shared" si="235"/>
        <v>227268.87452574525</v>
      </c>
      <c r="H322" s="550">
        <f t="shared" si="235"/>
        <v>253970.69376693768</v>
      </c>
      <c r="I322" s="550">
        <f t="shared" si="235"/>
        <v>263532.45176151762</v>
      </c>
      <c r="J322" s="550">
        <f t="shared" si="235"/>
        <v>256019.26693766937</v>
      </c>
      <c r="K322" s="550">
        <f t="shared" si="235"/>
        <v>227033.67696476963</v>
      </c>
      <c r="L322" s="550">
        <f t="shared" si="235"/>
        <v>214964.82439024391</v>
      </c>
      <c r="M322" s="550">
        <f t="shared" si="235"/>
        <v>1046369.6955386479</v>
      </c>
      <c r="N322" s="550">
        <f t="shared" si="235"/>
        <v>1055034.9422519575</v>
      </c>
      <c r="O322" s="550">
        <f t="shared" si="235"/>
        <v>1063700.2820756005</v>
      </c>
      <c r="P322" s="550">
        <f t="shared" si="235"/>
        <v>1075482.2948127519</v>
      </c>
      <c r="Q322" s="550">
        <f t="shared" si="235"/>
        <v>1084147.8162274098</v>
      </c>
      <c r="R322" s="991"/>
      <c r="S322" s="550">
        <f>Q92/Q$6</f>
        <v>1084147.8162274098</v>
      </c>
      <c r="T322" s="679"/>
      <c r="U322" s="679"/>
      <c r="V322" s="729"/>
      <c r="W322" s="729"/>
      <c r="X322" s="729"/>
      <c r="Y322" s="729"/>
      <c r="Z322" s="729"/>
      <c r="AA322" s="729"/>
      <c r="AB322" s="729"/>
      <c r="AC322" s="729"/>
      <c r="AD322" s="729"/>
      <c r="AE322" s="729"/>
      <c r="AF322" s="729"/>
      <c r="AG322" s="729"/>
      <c r="AH322" s="729"/>
      <c r="AI322" s="729"/>
      <c r="AJ322" s="729"/>
    </row>
    <row r="323" spans="1:36">
      <c r="A323" s="674"/>
      <c r="B323" s="184" t="s">
        <v>557</v>
      </c>
      <c r="C323" s="215"/>
      <c r="D323" s="215"/>
      <c r="E323" s="212">
        <f t="shared" ref="E323:Q323" si="236">E94/E$6</f>
        <v>719490.24390243902</v>
      </c>
      <c r="F323" s="212">
        <f t="shared" si="236"/>
        <v>716806.28211382113</v>
      </c>
      <c r="G323" s="212">
        <f t="shared" si="236"/>
        <v>710603.80921409209</v>
      </c>
      <c r="H323" s="212">
        <f t="shared" si="236"/>
        <v>716295.089701897</v>
      </c>
      <c r="I323" s="212">
        <f t="shared" si="236"/>
        <v>717738.61273712735</v>
      </c>
      <c r="J323" s="212">
        <f t="shared" si="236"/>
        <v>716165.089701897</v>
      </c>
      <c r="K323" s="212">
        <f t="shared" si="236"/>
        <v>715871.67506775062</v>
      </c>
      <c r="L323" s="212">
        <f t="shared" si="236"/>
        <v>715931.51246612461</v>
      </c>
      <c r="M323" s="212">
        <f t="shared" si="236"/>
        <v>715931.51246612461</v>
      </c>
      <c r="N323" s="212">
        <f t="shared" si="236"/>
        <v>715931.51246612461</v>
      </c>
      <c r="O323" s="212">
        <f t="shared" si="236"/>
        <v>715931.51246612461</v>
      </c>
      <c r="P323" s="212">
        <f t="shared" si="236"/>
        <v>715931.51246612461</v>
      </c>
      <c r="Q323" s="212">
        <f t="shared" si="236"/>
        <v>715931.51246612461</v>
      </c>
      <c r="R323" s="957"/>
      <c r="S323" s="212">
        <f>Q94/Q$6</f>
        <v>715931.51246612461</v>
      </c>
      <c r="T323" s="674"/>
      <c r="U323" s="674"/>
      <c r="V323" s="729"/>
      <c r="W323" s="729"/>
      <c r="X323" s="729"/>
      <c r="Y323" s="729"/>
      <c r="Z323" s="729"/>
      <c r="AA323" s="729"/>
      <c r="AB323" s="729"/>
      <c r="AC323" s="729"/>
      <c r="AD323" s="729"/>
      <c r="AE323" s="729"/>
      <c r="AF323" s="729"/>
      <c r="AG323" s="729"/>
      <c r="AH323" s="729"/>
      <c r="AI323" s="729"/>
      <c r="AJ323" s="729"/>
    </row>
    <row r="324" spans="1:36">
      <c r="A324" s="679"/>
      <c r="B324" s="545" t="s">
        <v>558</v>
      </c>
      <c r="C324" s="546"/>
      <c r="D324" s="546"/>
      <c r="E324" s="549">
        <f t="shared" ref="E324:Q324" si="237">E96/E$6</f>
        <v>989969.64769647701</v>
      </c>
      <c r="F324" s="549">
        <f t="shared" si="237"/>
        <v>969806.12086720869</v>
      </c>
      <c r="G324" s="549">
        <f t="shared" si="237"/>
        <v>937872.68373983738</v>
      </c>
      <c r="H324" s="549">
        <f t="shared" si="237"/>
        <v>970265.78346883471</v>
      </c>
      <c r="I324" s="549">
        <f t="shared" si="237"/>
        <v>981271.06449864502</v>
      </c>
      <c r="J324" s="549">
        <f t="shared" si="237"/>
        <v>972184.35663956637</v>
      </c>
      <c r="K324" s="549">
        <f t="shared" si="237"/>
        <v>942905.35203252034</v>
      </c>
      <c r="L324" s="549">
        <f t="shared" si="237"/>
        <v>930896.33685636858</v>
      </c>
      <c r="M324" s="549">
        <f t="shared" si="237"/>
        <v>1762301.2080047727</v>
      </c>
      <c r="N324" s="549">
        <f t="shared" si="237"/>
        <v>1770966.4547180822</v>
      </c>
      <c r="O324" s="549">
        <f t="shared" si="237"/>
        <v>1779631.7945417252</v>
      </c>
      <c r="P324" s="549">
        <f t="shared" si="237"/>
        <v>1791413.8072788767</v>
      </c>
      <c r="Q324" s="549">
        <f t="shared" si="237"/>
        <v>1800079.3286935347</v>
      </c>
      <c r="R324" s="991"/>
      <c r="S324" s="549">
        <f>Q96/Q$6</f>
        <v>1800079.3286935347</v>
      </c>
      <c r="T324" s="679"/>
      <c r="U324" s="679"/>
      <c r="V324" s="729"/>
      <c r="W324" s="729"/>
      <c r="X324" s="729"/>
      <c r="Y324" s="729"/>
      <c r="Z324" s="729"/>
      <c r="AA324" s="729"/>
      <c r="AB324" s="729"/>
      <c r="AC324" s="729"/>
      <c r="AD324" s="729"/>
      <c r="AE324" s="729"/>
      <c r="AF324" s="729"/>
      <c r="AG324" s="729"/>
      <c r="AH324" s="729"/>
      <c r="AI324" s="729"/>
      <c r="AJ324" s="729"/>
    </row>
    <row r="325" spans="1:36">
      <c r="A325" s="674"/>
      <c r="B325" s="184"/>
      <c r="C325" s="215"/>
      <c r="D325" s="215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57"/>
      <c r="S325" s="91"/>
      <c r="T325" s="674"/>
      <c r="U325" s="674"/>
      <c r="V325" s="729"/>
      <c r="W325" s="729"/>
      <c r="X325" s="729"/>
      <c r="Y325" s="729"/>
      <c r="Z325" s="729"/>
      <c r="AA325" s="729"/>
      <c r="AB325" s="729"/>
      <c r="AC325" s="729"/>
      <c r="AD325" s="729"/>
      <c r="AE325" s="729"/>
      <c r="AF325" s="729"/>
      <c r="AG325" s="729"/>
      <c r="AH325" s="729"/>
      <c r="AI325" s="729"/>
      <c r="AJ325" s="729"/>
    </row>
    <row r="326" spans="1:36">
      <c r="A326" s="627"/>
      <c r="B326" s="636" t="s">
        <v>559</v>
      </c>
      <c r="C326" s="644"/>
      <c r="D326" s="644"/>
      <c r="E326" s="646"/>
      <c r="F326" s="646"/>
      <c r="G326" s="646"/>
      <c r="H326" s="646"/>
      <c r="I326" s="646"/>
      <c r="J326" s="646"/>
      <c r="K326" s="646"/>
      <c r="L326" s="646"/>
      <c r="M326" s="646"/>
      <c r="N326" s="646"/>
      <c r="O326" s="646"/>
      <c r="P326" s="646"/>
      <c r="Q326" s="646"/>
      <c r="R326" s="644"/>
      <c r="S326" s="646"/>
      <c r="T326" s="627"/>
      <c r="U326" s="627"/>
      <c r="V326" s="729"/>
      <c r="W326" s="729"/>
      <c r="X326" s="729"/>
      <c r="Y326" s="729"/>
      <c r="Z326" s="729"/>
      <c r="AA326" s="729"/>
      <c r="AB326" s="729"/>
      <c r="AC326" s="729"/>
      <c r="AD326" s="729"/>
      <c r="AE326" s="729"/>
      <c r="AF326" s="729"/>
      <c r="AG326" s="729"/>
      <c r="AH326" s="729"/>
      <c r="AI326" s="729"/>
      <c r="AJ326" s="729"/>
    </row>
    <row r="327" spans="1:36">
      <c r="A327" s="674"/>
      <c r="B327" s="184" t="s">
        <v>529</v>
      </c>
      <c r="C327" s="215"/>
      <c r="D327" s="215"/>
      <c r="E327" s="212">
        <f t="shared" ref="E327:Q327" si="238">E99/E6</f>
        <v>328005.14905149053</v>
      </c>
      <c r="F327" s="212">
        <f t="shared" si="238"/>
        <v>328005.14905149053</v>
      </c>
      <c r="G327" s="212">
        <f t="shared" si="238"/>
        <v>328005.14905149053</v>
      </c>
      <c r="H327" s="212">
        <f t="shared" si="238"/>
        <v>328005.14905149053</v>
      </c>
      <c r="I327" s="212">
        <f t="shared" si="238"/>
        <v>328005.14905149053</v>
      </c>
      <c r="J327" s="212">
        <f t="shared" si="238"/>
        <v>328005.14905149053</v>
      </c>
      <c r="K327" s="212">
        <f t="shared" si="238"/>
        <v>328005.14905149053</v>
      </c>
      <c r="L327" s="212">
        <f t="shared" si="238"/>
        <v>328005.14905149053</v>
      </c>
      <c r="M327" s="212">
        <f t="shared" si="238"/>
        <v>328005.14905149053</v>
      </c>
      <c r="N327" s="212">
        <f t="shared" si="238"/>
        <v>328005.14905149053</v>
      </c>
      <c r="O327" s="212">
        <f t="shared" si="238"/>
        <v>328005.14905149053</v>
      </c>
      <c r="P327" s="212">
        <f t="shared" si="238"/>
        <v>328005.14905149053</v>
      </c>
      <c r="Q327" s="212">
        <f t="shared" si="238"/>
        <v>328005.14905149053</v>
      </c>
      <c r="R327" s="957"/>
      <c r="S327" s="212">
        <f>Q327</f>
        <v>328005.14905149053</v>
      </c>
      <c r="T327" s="674"/>
      <c r="U327" s="674"/>
      <c r="V327" s="729"/>
      <c r="W327" s="729"/>
      <c r="X327" s="729"/>
      <c r="Y327" s="729"/>
      <c r="Z327" s="729"/>
      <c r="AA327" s="729"/>
      <c r="AB327" s="729"/>
      <c r="AC327" s="729"/>
      <c r="AD327" s="729"/>
      <c r="AE327" s="729"/>
      <c r="AF327" s="729"/>
      <c r="AG327" s="729"/>
      <c r="AH327" s="729"/>
      <c r="AI327" s="729"/>
      <c r="AJ327" s="729"/>
    </row>
    <row r="328" spans="1:36">
      <c r="A328" s="674"/>
      <c r="B328" s="184" t="s">
        <v>530</v>
      </c>
      <c r="C328" s="215"/>
      <c r="D328" s="215"/>
      <c r="E328" s="212">
        <f t="shared" ref="E328:Q328" si="239">E100/E6</f>
        <v>329157.99457994581</v>
      </c>
      <c r="F328" s="212">
        <f t="shared" si="239"/>
        <v>346362.64715447155</v>
      </c>
      <c r="G328" s="212">
        <f t="shared" si="239"/>
        <v>361010.04959349596</v>
      </c>
      <c r="H328" s="212">
        <f t="shared" si="239"/>
        <v>350728.74715447152</v>
      </c>
      <c r="I328" s="212">
        <f t="shared" si="239"/>
        <v>350920.1300813008</v>
      </c>
      <c r="J328" s="212">
        <f t="shared" si="239"/>
        <v>380290.0401084011</v>
      </c>
      <c r="K328" s="212">
        <f t="shared" si="239"/>
        <v>389326.25934959349</v>
      </c>
      <c r="L328" s="212">
        <f t="shared" si="239"/>
        <v>396021.93739837396</v>
      </c>
      <c r="M328" s="212">
        <f t="shared" si="239"/>
        <v>526536.30799845362</v>
      </c>
      <c r="N328" s="212">
        <f t="shared" si="239"/>
        <v>673143.27963753627</v>
      </c>
      <c r="O328" s="212">
        <f t="shared" si="239"/>
        <v>835843.02523481334</v>
      </c>
      <c r="P328" s="212">
        <f t="shared" si="239"/>
        <v>1011674.50788982</v>
      </c>
      <c r="Q328" s="212">
        <f t="shared" si="239"/>
        <v>1203599.1017434769</v>
      </c>
      <c r="R328" s="957"/>
      <c r="S328" s="212">
        <f>Q328</f>
        <v>1203599.1017434769</v>
      </c>
      <c r="T328" s="674"/>
      <c r="U328" s="674"/>
      <c r="V328" s="729"/>
      <c r="W328" s="729"/>
      <c r="X328" s="729"/>
      <c r="Y328" s="729"/>
      <c r="Z328" s="729"/>
      <c r="AA328" s="729"/>
      <c r="AB328" s="729"/>
      <c r="AC328" s="729"/>
      <c r="AD328" s="729"/>
      <c r="AE328" s="729"/>
      <c r="AF328" s="729"/>
      <c r="AG328" s="729"/>
      <c r="AH328" s="729"/>
      <c r="AI328" s="729"/>
      <c r="AJ328" s="729"/>
    </row>
    <row r="329" spans="1:36">
      <c r="A329" s="679"/>
      <c r="B329" s="545" t="s">
        <v>560</v>
      </c>
      <c r="C329" s="546"/>
      <c r="D329" s="546"/>
      <c r="E329" s="549">
        <f t="shared" ref="E329:Q329" si="240">E101/E6</f>
        <v>657163.14363143628</v>
      </c>
      <c r="F329" s="549">
        <f t="shared" si="240"/>
        <v>674367.79620596208</v>
      </c>
      <c r="G329" s="549">
        <f t="shared" si="240"/>
        <v>689015.19864498649</v>
      </c>
      <c r="H329" s="549">
        <f t="shared" si="240"/>
        <v>678733.89620596205</v>
      </c>
      <c r="I329" s="549">
        <f t="shared" si="240"/>
        <v>678925.27913279133</v>
      </c>
      <c r="J329" s="549">
        <f t="shared" si="240"/>
        <v>708295.18915989157</v>
      </c>
      <c r="K329" s="549">
        <f t="shared" si="240"/>
        <v>717331.40840108402</v>
      </c>
      <c r="L329" s="549">
        <f t="shared" si="240"/>
        <v>724027.08644986455</v>
      </c>
      <c r="M329" s="549">
        <f t="shared" si="240"/>
        <v>854541.45704994409</v>
      </c>
      <c r="N329" s="549">
        <f t="shared" si="240"/>
        <v>1001148.4286890267</v>
      </c>
      <c r="O329" s="549">
        <f t="shared" si="240"/>
        <v>1163848.1742863038</v>
      </c>
      <c r="P329" s="549">
        <f t="shared" si="240"/>
        <v>1339679.6569413105</v>
      </c>
      <c r="Q329" s="549">
        <f t="shared" si="240"/>
        <v>1531604.2507949674</v>
      </c>
      <c r="R329" s="991"/>
      <c r="S329" s="549">
        <f>Q329</f>
        <v>1531604.2507949674</v>
      </c>
      <c r="T329" s="679"/>
      <c r="U329" s="679"/>
      <c r="V329" s="729"/>
      <c r="W329" s="729"/>
      <c r="X329" s="729"/>
      <c r="Y329" s="729"/>
      <c r="Z329" s="729"/>
      <c r="AA329" s="729"/>
      <c r="AB329" s="729"/>
      <c r="AC329" s="729"/>
      <c r="AD329" s="729"/>
      <c r="AE329" s="729"/>
      <c r="AF329" s="729"/>
      <c r="AG329" s="729"/>
      <c r="AH329" s="729"/>
      <c r="AI329" s="729"/>
      <c r="AJ329" s="729"/>
    </row>
    <row r="330" spans="1:36">
      <c r="A330" s="674"/>
      <c r="B330" s="184"/>
      <c r="C330" s="215"/>
      <c r="D330" s="215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57"/>
      <c r="S330" s="91"/>
      <c r="T330" s="674"/>
      <c r="U330" s="674"/>
      <c r="V330" s="729"/>
      <c r="W330" s="729"/>
      <c r="X330" s="729"/>
      <c r="Y330" s="729"/>
      <c r="Z330" s="729"/>
      <c r="AA330" s="729"/>
      <c r="AB330" s="729"/>
      <c r="AC330" s="729"/>
      <c r="AD330" s="729"/>
      <c r="AE330" s="729"/>
      <c r="AF330" s="729"/>
      <c r="AG330" s="729"/>
      <c r="AH330" s="729"/>
      <c r="AI330" s="729"/>
      <c r="AJ330" s="729"/>
    </row>
    <row r="331" spans="1:36">
      <c r="A331" s="679"/>
      <c r="B331" s="545" t="s">
        <v>561</v>
      </c>
      <c r="C331" s="546"/>
      <c r="D331" s="546"/>
      <c r="E331" s="549">
        <f t="shared" ref="E331:Q331" si="241">E103/E6</f>
        <v>1647132.7913279133</v>
      </c>
      <c r="F331" s="549">
        <f t="shared" si="241"/>
        <v>1644173.9170731707</v>
      </c>
      <c r="G331" s="549">
        <f t="shared" si="241"/>
        <v>1626887.8823848239</v>
      </c>
      <c r="H331" s="549">
        <f t="shared" si="241"/>
        <v>1648999.6796747968</v>
      </c>
      <c r="I331" s="549">
        <f t="shared" si="241"/>
        <v>1660196.3436314363</v>
      </c>
      <c r="J331" s="549">
        <f t="shared" si="241"/>
        <v>1680479.5457994579</v>
      </c>
      <c r="K331" s="549">
        <f t="shared" si="241"/>
        <v>1660236.7604336042</v>
      </c>
      <c r="L331" s="549">
        <f t="shared" si="241"/>
        <v>1654923.423306233</v>
      </c>
      <c r="M331" s="549">
        <f t="shared" si="241"/>
        <v>2616842.6650547166</v>
      </c>
      <c r="N331" s="549">
        <f t="shared" si="241"/>
        <v>2772114.883407109</v>
      </c>
      <c r="O331" s="549">
        <f t="shared" si="241"/>
        <v>2943479.968828029</v>
      </c>
      <c r="P331" s="549">
        <f t="shared" si="241"/>
        <v>3131093.4642201872</v>
      </c>
      <c r="Q331" s="549">
        <f t="shared" si="241"/>
        <v>3331683.5794885019</v>
      </c>
      <c r="R331" s="991"/>
      <c r="S331" s="549">
        <f>Q331</f>
        <v>3331683.5794885019</v>
      </c>
      <c r="T331" s="679"/>
      <c r="U331" s="679"/>
      <c r="V331" s="729"/>
      <c r="W331" s="729"/>
      <c r="X331" s="729"/>
      <c r="Y331" s="729"/>
      <c r="Z331" s="729"/>
      <c r="AA331" s="729"/>
      <c r="AB331" s="729"/>
      <c r="AC331" s="729"/>
      <c r="AD331" s="729"/>
      <c r="AE331" s="729"/>
      <c r="AF331" s="729"/>
      <c r="AG331" s="729"/>
      <c r="AH331" s="729"/>
      <c r="AI331" s="729"/>
      <c r="AJ331" s="729"/>
    </row>
    <row r="332" spans="1:36">
      <c r="A332" s="674"/>
      <c r="B332" s="184"/>
      <c r="C332" s="215"/>
      <c r="D332" s="215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57"/>
      <c r="S332" s="91"/>
      <c r="T332" s="674"/>
      <c r="U332" s="674"/>
      <c r="V332" s="729"/>
      <c r="W332" s="729"/>
      <c r="X332" s="729"/>
      <c r="Y332" s="729"/>
      <c r="Z332" s="729"/>
      <c r="AA332" s="729"/>
      <c r="AB332" s="729"/>
      <c r="AC332" s="729"/>
      <c r="AD332" s="729"/>
      <c r="AE332" s="729"/>
      <c r="AF332" s="729"/>
      <c r="AG332" s="729"/>
      <c r="AH332" s="729"/>
      <c r="AI332" s="729"/>
      <c r="AJ332" s="729"/>
    </row>
    <row r="333" spans="1:36">
      <c r="A333" s="674"/>
      <c r="B333" s="232" t="s">
        <v>562</v>
      </c>
      <c r="C333" s="233"/>
      <c r="D333" s="233"/>
      <c r="E333" s="388">
        <f t="shared" ref="E333:Q333" si="242">E105/E6</f>
        <v>0</v>
      </c>
      <c r="F333" s="388">
        <f t="shared" si="242"/>
        <v>0</v>
      </c>
      <c r="G333" s="388">
        <f t="shared" si="242"/>
        <v>0</v>
      </c>
      <c r="H333" s="388">
        <f t="shared" si="242"/>
        <v>0</v>
      </c>
      <c r="I333" s="388">
        <f t="shared" si="242"/>
        <v>0</v>
      </c>
      <c r="J333" s="388">
        <f t="shared" si="242"/>
        <v>0</v>
      </c>
      <c r="K333" s="388">
        <f t="shared" si="242"/>
        <v>0</v>
      </c>
      <c r="L333" s="388">
        <f t="shared" si="242"/>
        <v>0</v>
      </c>
      <c r="M333" s="388">
        <f t="shared" si="242"/>
        <v>-730973.81165311649</v>
      </c>
      <c r="N333" s="388">
        <f t="shared" si="242"/>
        <v>-730973.81165311649</v>
      </c>
      <c r="O333" s="388">
        <f t="shared" si="242"/>
        <v>-730973.81165311649</v>
      </c>
      <c r="P333" s="388">
        <f t="shared" si="242"/>
        <v>-730973.81165311649</v>
      </c>
      <c r="Q333" s="388">
        <f t="shared" si="242"/>
        <v>-730973.81165311649</v>
      </c>
      <c r="R333" s="957"/>
      <c r="S333" s="388">
        <f>S315-S331</f>
        <v>-730973.81153568206</v>
      </c>
      <c r="T333" s="674"/>
      <c r="U333" s="674"/>
      <c r="V333" s="729"/>
      <c r="W333" s="729"/>
      <c r="X333" s="729"/>
      <c r="Y333" s="729"/>
      <c r="Z333" s="729"/>
      <c r="AA333" s="729"/>
      <c r="AB333" s="729"/>
      <c r="AC333" s="729"/>
      <c r="AD333" s="729"/>
      <c r="AE333" s="729"/>
      <c r="AF333" s="729"/>
      <c r="AG333" s="729"/>
      <c r="AH333" s="729"/>
      <c r="AI333" s="729"/>
      <c r="AJ333" s="729"/>
    </row>
    <row r="334" spans="1:36" s="2" customFormat="1" ht="15" thickBot="1">
      <c r="A334" s="216"/>
      <c r="B334" s="184"/>
      <c r="C334" s="216"/>
      <c r="D334" s="216"/>
      <c r="E334" s="215"/>
      <c r="F334" s="215"/>
      <c r="G334" s="215"/>
      <c r="H334" s="215"/>
      <c r="I334" s="215"/>
      <c r="J334" s="215"/>
      <c r="K334" s="215"/>
      <c r="L334" s="215"/>
      <c r="M334" s="215"/>
      <c r="N334" s="215"/>
      <c r="O334" s="215"/>
      <c r="P334" s="215"/>
      <c r="Q334" s="215"/>
      <c r="R334" s="957"/>
      <c r="S334" s="215"/>
      <c r="T334" s="216"/>
      <c r="U334" s="216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1:36" s="2" customFormat="1">
      <c r="A335" s="682"/>
      <c r="B335" s="551" t="s">
        <v>563</v>
      </c>
      <c r="C335" s="552"/>
      <c r="D335" s="552"/>
      <c r="E335" s="552"/>
      <c r="F335" s="552"/>
      <c r="G335" s="552"/>
      <c r="H335" s="552"/>
      <c r="I335" s="552"/>
      <c r="J335" s="552"/>
      <c r="K335" s="552"/>
      <c r="L335" s="552"/>
      <c r="M335" s="552"/>
      <c r="N335" s="552"/>
      <c r="O335" s="552"/>
      <c r="P335" s="552"/>
      <c r="Q335" s="552"/>
      <c r="R335" s="553"/>
      <c r="S335" s="552"/>
      <c r="T335" s="682"/>
      <c r="U335" s="682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1:36" s="2" customFormat="1">
      <c r="A336" s="216"/>
      <c r="B336" s="184"/>
      <c r="C336" s="215"/>
      <c r="D336" s="215"/>
      <c r="E336" s="215"/>
      <c r="F336" s="215"/>
      <c r="G336" s="215"/>
      <c r="H336" s="215"/>
      <c r="I336" s="215"/>
      <c r="J336" s="215"/>
      <c r="K336" s="215"/>
      <c r="L336" s="215"/>
      <c r="M336" s="215"/>
      <c r="N336" s="215"/>
      <c r="O336" s="215"/>
      <c r="P336" s="215"/>
      <c r="Q336" s="215"/>
      <c r="R336" s="957"/>
      <c r="S336" s="215"/>
      <c r="T336" s="216"/>
      <c r="U336" s="216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1:36" s="2" customFormat="1">
      <c r="A337" s="682"/>
      <c r="B337" s="497" t="s">
        <v>564</v>
      </c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53"/>
      <c r="P337" s="553"/>
      <c r="Q337" s="553"/>
      <c r="R337" s="553"/>
      <c r="S337" s="553"/>
      <c r="T337" s="682"/>
      <c r="U337" s="682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1:36" s="2" customFormat="1">
      <c r="A338" s="216"/>
      <c r="B338" s="236" t="s">
        <v>565</v>
      </c>
      <c r="C338" s="237"/>
      <c r="D338" s="237"/>
      <c r="E338" s="390">
        <f t="shared" ref="E338:G340" si="243">E309</f>
        <v>496828.18428184284</v>
      </c>
      <c r="F338" s="390">
        <f t="shared" si="243"/>
        <v>431040.87506775069</v>
      </c>
      <c r="G338" s="390">
        <f t="shared" si="243"/>
        <v>487142.8696476965</v>
      </c>
      <c r="H338" s="390">
        <f t="shared" ref="H338:Q338" si="244">H309</f>
        <v>458154.42113821139</v>
      </c>
      <c r="I338" s="390">
        <f t="shared" si="244"/>
        <v>437016.17994579946</v>
      </c>
      <c r="J338" s="390">
        <f t="shared" si="244"/>
        <v>454023.4937669377</v>
      </c>
      <c r="K338" s="390">
        <f t="shared" si="244"/>
        <v>487650.7051490515</v>
      </c>
      <c r="L338" s="390">
        <f t="shared" si="244"/>
        <v>457576.6707317073</v>
      </c>
      <c r="M338" s="390">
        <f t="shared" si="244"/>
        <v>1194079.4037940379</v>
      </c>
      <c r="N338" s="390">
        <f t="shared" si="244"/>
        <v>1263446.0704607046</v>
      </c>
      <c r="O338" s="390">
        <f t="shared" si="244"/>
        <v>1332812.7371273714</v>
      </c>
      <c r="P338" s="390">
        <f t="shared" si="244"/>
        <v>1402179.4037940379</v>
      </c>
      <c r="Q338" s="390">
        <f t="shared" si="244"/>
        <v>1471546.0704607046</v>
      </c>
      <c r="R338" s="957"/>
      <c r="S338" s="390">
        <f>Q338</f>
        <v>1471546.0704607046</v>
      </c>
      <c r="T338" s="216"/>
      <c r="U338" s="216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1:36" s="2" customFormat="1">
      <c r="A339" s="216"/>
      <c r="B339" s="246" t="s">
        <v>566</v>
      </c>
      <c r="C339" s="247"/>
      <c r="D339" s="247"/>
      <c r="E339" s="396">
        <f t="shared" si="243"/>
        <v>24939.837398373984</v>
      </c>
      <c r="F339" s="396">
        <f t="shared" si="243"/>
        <v>25080.920054200542</v>
      </c>
      <c r="G339" s="396">
        <f t="shared" si="243"/>
        <v>25205.643089430894</v>
      </c>
      <c r="H339" s="396">
        <f t="shared" ref="H339:Q339" si="245">H310</f>
        <v>25394.388346883468</v>
      </c>
      <c r="I339" s="396">
        <f t="shared" si="245"/>
        <v>25629.852845528454</v>
      </c>
      <c r="J339" s="396">
        <f t="shared" si="245"/>
        <v>47671.380487804876</v>
      </c>
      <c r="K339" s="396">
        <f t="shared" si="245"/>
        <v>21021.498915989159</v>
      </c>
      <c r="L339" s="396">
        <f t="shared" si="245"/>
        <v>21211.390785907861</v>
      </c>
      <c r="M339" s="396">
        <f t="shared" si="245"/>
        <v>25629.852845528454</v>
      </c>
      <c r="N339" s="396">
        <f t="shared" si="245"/>
        <v>25629.852845528454</v>
      </c>
      <c r="O339" s="396">
        <f t="shared" si="245"/>
        <v>25629.852845528454</v>
      </c>
      <c r="P339" s="396">
        <f t="shared" si="245"/>
        <v>25629.852845528454</v>
      </c>
      <c r="Q339" s="396">
        <f t="shared" si="245"/>
        <v>25629.852845528454</v>
      </c>
      <c r="R339" s="957"/>
      <c r="S339" s="396">
        <f>Q339</f>
        <v>25629.852845528454</v>
      </c>
      <c r="T339" s="216"/>
      <c r="U339" s="216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1:36" s="2" customFormat="1">
      <c r="A340" s="216"/>
      <c r="B340" s="240" t="s">
        <v>567</v>
      </c>
      <c r="C340" s="241"/>
      <c r="D340" s="241"/>
      <c r="E340" s="392">
        <f t="shared" si="243"/>
        <v>894830.62330623309</v>
      </c>
      <c r="F340" s="392">
        <f t="shared" si="243"/>
        <v>902912.12764227646</v>
      </c>
      <c r="G340" s="392">
        <f t="shared" si="243"/>
        <v>910435.71300813009</v>
      </c>
      <c r="H340" s="392">
        <f t="shared" ref="H340:Q340" si="246">H311</f>
        <v>920838.75284552842</v>
      </c>
      <c r="I340" s="392">
        <f t="shared" si="246"/>
        <v>930357.98238482384</v>
      </c>
      <c r="J340" s="392">
        <f t="shared" si="246"/>
        <v>940086.06476964767</v>
      </c>
      <c r="K340" s="392">
        <f t="shared" si="246"/>
        <v>947928.54634146346</v>
      </c>
      <c r="L340" s="392">
        <f t="shared" si="246"/>
        <v>956557.46476964769</v>
      </c>
      <c r="M340" s="392">
        <f t="shared" si="246"/>
        <v>930357.98238482384</v>
      </c>
      <c r="N340" s="392">
        <f t="shared" si="246"/>
        <v>930357.98238482384</v>
      </c>
      <c r="O340" s="392">
        <f t="shared" si="246"/>
        <v>930357.98238482384</v>
      </c>
      <c r="P340" s="392">
        <f t="shared" si="246"/>
        <v>930357.98238482384</v>
      </c>
      <c r="Q340" s="392">
        <f t="shared" si="246"/>
        <v>930357.98238482384</v>
      </c>
      <c r="R340" s="957"/>
      <c r="S340" s="392">
        <f>Q340</f>
        <v>930357.98238482384</v>
      </c>
      <c r="T340" s="216"/>
      <c r="U340" s="216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1:36" s="2" customFormat="1">
      <c r="A341" s="742"/>
      <c r="B341" s="531" t="s">
        <v>568</v>
      </c>
      <c r="C341" s="542"/>
      <c r="D341" s="542"/>
      <c r="E341" s="550">
        <f>SUM(E338:E340)</f>
        <v>1416598.64498645</v>
      </c>
      <c r="F341" s="550">
        <f>SUM(F338:F340)</f>
        <v>1359033.9227642277</v>
      </c>
      <c r="G341" s="550">
        <f>SUM(G338:G340)</f>
        <v>1422784.2257452575</v>
      </c>
      <c r="H341" s="550">
        <f t="shared" ref="H341:Q341" si="247">SUM(H338:H340)</f>
        <v>1404387.5623306232</v>
      </c>
      <c r="I341" s="550">
        <f t="shared" si="247"/>
        <v>1393004.0151761519</v>
      </c>
      <c r="J341" s="550">
        <f t="shared" si="247"/>
        <v>1441780.9390243902</v>
      </c>
      <c r="K341" s="550">
        <f t="shared" si="247"/>
        <v>1456600.7504065041</v>
      </c>
      <c r="L341" s="550">
        <f t="shared" si="247"/>
        <v>1435345.5262872628</v>
      </c>
      <c r="M341" s="550">
        <f t="shared" si="247"/>
        <v>2150067.23902439</v>
      </c>
      <c r="N341" s="550">
        <f t="shared" si="247"/>
        <v>2219433.905691057</v>
      </c>
      <c r="O341" s="550">
        <f t="shared" si="247"/>
        <v>2288800.5723577235</v>
      </c>
      <c r="P341" s="550">
        <f t="shared" si="247"/>
        <v>2358167.23902439</v>
      </c>
      <c r="Q341" s="550">
        <f t="shared" si="247"/>
        <v>2427533.905691057</v>
      </c>
      <c r="R341" s="991"/>
      <c r="S341" s="550">
        <f>Q341</f>
        <v>2427533.905691057</v>
      </c>
      <c r="T341" s="742"/>
      <c r="U341" s="742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1:36" s="2" customFormat="1">
      <c r="A342" s="216"/>
      <c r="B342" s="184"/>
      <c r="C342" s="215"/>
      <c r="D342" s="215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57"/>
      <c r="S342" s="91"/>
      <c r="T342" s="216"/>
      <c r="U342" s="216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1:36" s="2" customFormat="1">
      <c r="A343" s="682"/>
      <c r="B343" s="497" t="s">
        <v>569</v>
      </c>
      <c r="C343" s="553"/>
      <c r="D343" s="553"/>
      <c r="E343" s="563"/>
      <c r="F343" s="563"/>
      <c r="G343" s="563"/>
      <c r="H343" s="563"/>
      <c r="I343" s="563"/>
      <c r="J343" s="563"/>
      <c r="K343" s="563"/>
      <c r="L343" s="563"/>
      <c r="M343" s="563"/>
      <c r="N343" s="563"/>
      <c r="O343" s="563"/>
      <c r="P343" s="563"/>
      <c r="Q343" s="563"/>
      <c r="R343" s="553"/>
      <c r="S343" s="563"/>
      <c r="T343" s="682"/>
      <c r="U343" s="682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1:36" s="2" customFormat="1">
      <c r="A344" s="216"/>
      <c r="B344" s="236" t="s">
        <v>570</v>
      </c>
      <c r="C344" s="237"/>
      <c r="D344" s="237"/>
      <c r="E344" s="390">
        <f>E318</f>
        <v>21710.298102981029</v>
      </c>
      <c r="F344" s="390">
        <f>F318</f>
        <v>19724.515176151763</v>
      </c>
      <c r="G344" s="390">
        <f>G318</f>
        <v>27470.216531165312</v>
      </c>
      <c r="H344" s="390">
        <f t="shared" ref="H344:Q344" si="248">H318</f>
        <v>28235.766937669378</v>
      </c>
      <c r="I344" s="390">
        <f t="shared" si="248"/>
        <v>30505.0054200542</v>
      </c>
      <c r="J344" s="390">
        <f t="shared" si="248"/>
        <v>26989.09674796748</v>
      </c>
      <c r="K344" s="390">
        <f t="shared" si="248"/>
        <v>22629.795934959351</v>
      </c>
      <c r="L344" s="390">
        <f t="shared" si="248"/>
        <v>28334.741192411922</v>
      </c>
      <c r="M344" s="390">
        <f t="shared" si="248"/>
        <v>738501.47100271005</v>
      </c>
      <c r="N344" s="390">
        <f t="shared" si="248"/>
        <v>738501.47100271005</v>
      </c>
      <c r="O344" s="390">
        <f t="shared" si="248"/>
        <v>738501.47100271005</v>
      </c>
      <c r="P344" s="390">
        <f t="shared" si="248"/>
        <v>738501.47100271005</v>
      </c>
      <c r="Q344" s="390">
        <f t="shared" si="248"/>
        <v>738501.47100271005</v>
      </c>
      <c r="R344" s="957"/>
      <c r="S344" s="390">
        <f>Q344</f>
        <v>738501.47100271005</v>
      </c>
      <c r="T344" s="216"/>
      <c r="U344" s="216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1:36" s="2" customFormat="1">
      <c r="A345" s="216"/>
      <c r="B345" s="240" t="s">
        <v>571</v>
      </c>
      <c r="C345" s="241"/>
      <c r="D345" s="241"/>
      <c r="E345" s="392">
        <f>E320</f>
        <v>10860.975609756097</v>
      </c>
      <c r="F345" s="392">
        <f>F320</f>
        <v>3888.9105691056911</v>
      </c>
      <c r="G345" s="392">
        <f>G320</f>
        <v>485.55555555555554</v>
      </c>
      <c r="H345" s="392">
        <f t="shared" ref="H345:Q345" si="249">H320</f>
        <v>6929.69756097561</v>
      </c>
      <c r="I345" s="392">
        <f t="shared" si="249"/>
        <v>6638.6571815718153</v>
      </c>
      <c r="J345" s="392">
        <f t="shared" si="249"/>
        <v>6101.1967479674795</v>
      </c>
      <c r="K345" s="392">
        <f t="shared" si="249"/>
        <v>6321.2723577235774</v>
      </c>
      <c r="L345" s="392">
        <f t="shared" si="249"/>
        <v>5211.239566395664</v>
      </c>
      <c r="M345" s="392">
        <f t="shared" si="249"/>
        <v>70276.968784658209</v>
      </c>
      <c r="N345" s="392">
        <f t="shared" si="249"/>
        <v>78942.215497967583</v>
      </c>
      <c r="O345" s="392">
        <f t="shared" si="249"/>
        <v>87607.555321610722</v>
      </c>
      <c r="P345" s="392">
        <f t="shared" si="249"/>
        <v>94678.490660388212</v>
      </c>
      <c r="Q345" s="392">
        <f t="shared" si="249"/>
        <v>103344.01207504608</v>
      </c>
      <c r="R345" s="957"/>
      <c r="S345" s="392">
        <f>Q345</f>
        <v>103344.01207504608</v>
      </c>
      <c r="T345" s="216"/>
      <c r="U345" s="216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1:36" s="2" customFormat="1">
      <c r="A346" s="742"/>
      <c r="B346" s="531" t="s">
        <v>572</v>
      </c>
      <c r="C346" s="542"/>
      <c r="D346" s="542"/>
      <c r="E346" s="550">
        <f>SUM(E344:E345)</f>
        <v>32571.273712737126</v>
      </c>
      <c r="F346" s="550">
        <f>SUM(F344:F345)</f>
        <v>23613.425745257453</v>
      </c>
      <c r="G346" s="550">
        <f>SUM(G344:G345)</f>
        <v>27955.772086720866</v>
      </c>
      <c r="H346" s="550">
        <f t="shared" ref="H346:Q346" si="250">SUM(H344:H345)</f>
        <v>35165.464498644986</v>
      </c>
      <c r="I346" s="550">
        <f t="shared" si="250"/>
        <v>37143.662601626012</v>
      </c>
      <c r="J346" s="550">
        <f t="shared" si="250"/>
        <v>33090.293495934959</v>
      </c>
      <c r="K346" s="550">
        <f t="shared" si="250"/>
        <v>28951.068292682929</v>
      </c>
      <c r="L346" s="550">
        <f t="shared" si="250"/>
        <v>33545.980758807586</v>
      </c>
      <c r="M346" s="550">
        <f t="shared" si="250"/>
        <v>808778.43978736829</v>
      </c>
      <c r="N346" s="550">
        <f t="shared" si="250"/>
        <v>817443.68650067761</v>
      </c>
      <c r="O346" s="550">
        <f t="shared" si="250"/>
        <v>826109.02632432082</v>
      </c>
      <c r="P346" s="550">
        <f t="shared" si="250"/>
        <v>833179.96166309831</v>
      </c>
      <c r="Q346" s="550">
        <f t="shared" si="250"/>
        <v>841845.48307775613</v>
      </c>
      <c r="R346" s="991"/>
      <c r="S346" s="550">
        <f>Q346</f>
        <v>841845.48307775613</v>
      </c>
      <c r="T346" s="742"/>
      <c r="U346" s="742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1:36" s="2" customFormat="1">
      <c r="A347" s="216"/>
      <c r="B347" s="217" t="s">
        <v>573</v>
      </c>
      <c r="C347" s="218"/>
      <c r="D347" s="218"/>
      <c r="E347" s="219">
        <f>E341-E346</f>
        <v>1384027.371273713</v>
      </c>
      <c r="F347" s="219">
        <f>F341-F346</f>
        <v>1335420.4970189703</v>
      </c>
      <c r="G347" s="219">
        <f>G341-G346</f>
        <v>1394828.4536585365</v>
      </c>
      <c r="H347" s="219">
        <f t="shared" ref="H347:Q347" si="251">H341-H346</f>
        <v>1369222.0978319782</v>
      </c>
      <c r="I347" s="219">
        <f t="shared" si="251"/>
        <v>1355860.3525745259</v>
      </c>
      <c r="J347" s="219">
        <f t="shared" si="251"/>
        <v>1408690.6455284553</v>
      </c>
      <c r="K347" s="219">
        <f t="shared" si="251"/>
        <v>1427649.6821138212</v>
      </c>
      <c r="L347" s="219">
        <f t="shared" si="251"/>
        <v>1401799.5455284552</v>
      </c>
      <c r="M347" s="219">
        <f t="shared" si="251"/>
        <v>1341288.7992370217</v>
      </c>
      <c r="N347" s="219">
        <f t="shared" si="251"/>
        <v>1401990.2191903794</v>
      </c>
      <c r="O347" s="219">
        <f t="shared" si="251"/>
        <v>1462691.5460334027</v>
      </c>
      <c r="P347" s="219">
        <f t="shared" si="251"/>
        <v>1524987.2773612917</v>
      </c>
      <c r="Q347" s="219">
        <f t="shared" si="251"/>
        <v>1585688.4226133008</v>
      </c>
      <c r="R347" s="957"/>
      <c r="S347" s="219">
        <f>Q347</f>
        <v>1585688.4226133008</v>
      </c>
      <c r="T347" s="216"/>
      <c r="U347" s="216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1:36" s="2" customFormat="1" ht="15" thickBot="1">
      <c r="A348" s="216"/>
      <c r="B348" s="184"/>
      <c r="C348" s="215"/>
      <c r="D348" s="215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57"/>
      <c r="S348" s="91"/>
      <c r="T348" s="216"/>
      <c r="U348" s="216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1:36" s="2" customFormat="1">
      <c r="A349" s="682"/>
      <c r="B349" s="551" t="s">
        <v>574</v>
      </c>
      <c r="C349" s="552"/>
      <c r="D349" s="552"/>
      <c r="E349" s="564"/>
      <c r="F349" s="564"/>
      <c r="G349" s="564"/>
      <c r="H349" s="564"/>
      <c r="I349" s="564"/>
      <c r="J349" s="564"/>
      <c r="K349" s="564"/>
      <c r="L349" s="564"/>
      <c r="M349" s="564"/>
      <c r="N349" s="564"/>
      <c r="O349" s="564"/>
      <c r="P349" s="564"/>
      <c r="Q349" s="564"/>
      <c r="R349" s="553"/>
      <c r="S349" s="564"/>
      <c r="T349" s="682"/>
      <c r="U349" s="682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1:36" s="2" customFormat="1">
      <c r="A350" s="216"/>
      <c r="B350" s="184"/>
      <c r="C350" s="215"/>
      <c r="D350" s="215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57"/>
      <c r="S350" s="91"/>
      <c r="T350" s="216"/>
      <c r="U350" s="216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1:36" s="2" customFormat="1">
      <c r="A351" s="216"/>
      <c r="B351" s="184" t="s">
        <v>575</v>
      </c>
      <c r="C351" s="215"/>
      <c r="D351" s="215"/>
      <c r="E351" s="212">
        <f t="shared" ref="E351:Q351" si="252">E123/E6</f>
        <v>56697.018970189703</v>
      </c>
      <c r="F351" s="212">
        <f t="shared" si="252"/>
        <v>56697.018970189703</v>
      </c>
      <c r="G351" s="212">
        <f t="shared" si="252"/>
        <v>58691.586449864495</v>
      </c>
      <c r="H351" s="212">
        <f t="shared" si="252"/>
        <v>60390.502439024393</v>
      </c>
      <c r="I351" s="212">
        <f t="shared" si="252"/>
        <v>60468.835230352306</v>
      </c>
      <c r="J351" s="212">
        <f t="shared" si="252"/>
        <v>930357.98238482384</v>
      </c>
      <c r="K351" s="212">
        <f t="shared" si="252"/>
        <v>61239.976693766941</v>
      </c>
      <c r="L351" s="212">
        <f t="shared" si="252"/>
        <v>61239.976693766941</v>
      </c>
      <c r="M351" s="212">
        <f t="shared" si="252"/>
        <v>62213.915293586273</v>
      </c>
      <c r="N351" s="212">
        <f t="shared" si="252"/>
        <v>63171.621583408611</v>
      </c>
      <c r="O351" s="212">
        <f t="shared" si="252"/>
        <v>64113.366101733918</v>
      </c>
      <c r="P351" s="212">
        <f t="shared" si="252"/>
        <v>65039.414878087133</v>
      </c>
      <c r="Q351" s="212">
        <f t="shared" si="252"/>
        <v>65950.02950816779</v>
      </c>
      <c r="R351" s="957"/>
      <c r="S351" s="212">
        <f>F351</f>
        <v>56697.018970189703</v>
      </c>
      <c r="T351" s="216"/>
      <c r="U351" s="216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1:36" s="2" customFormat="1">
      <c r="A352" s="216"/>
      <c r="B352" s="184" t="s">
        <v>576</v>
      </c>
      <c r="C352" s="215"/>
      <c r="D352" s="215"/>
      <c r="E352" s="212">
        <f t="shared" ref="E352:Q352" si="253">E124/E6</f>
        <v>0</v>
      </c>
      <c r="F352" s="212">
        <f t="shared" si="253"/>
        <v>2939.5177958446247</v>
      </c>
      <c r="G352" s="212">
        <f t="shared" si="253"/>
        <v>2677.109096657633</v>
      </c>
      <c r="H352" s="212">
        <f t="shared" si="253"/>
        <v>0</v>
      </c>
      <c r="I352" s="212">
        <f t="shared" si="253"/>
        <v>870896.96107497741</v>
      </c>
      <c r="J352" s="212">
        <f t="shared" si="253"/>
        <v>-853612.03931797657</v>
      </c>
      <c r="K352" s="212">
        <f t="shared" si="253"/>
        <v>1020.6662782294491</v>
      </c>
      <c r="L352" s="212">
        <f t="shared" si="253"/>
        <v>1994.6048780487804</v>
      </c>
      <c r="M352" s="212">
        <f t="shared" si="253"/>
        <v>1994.6048780487804</v>
      </c>
      <c r="N352" s="212">
        <f t="shared" si="253"/>
        <v>1994.6048780487804</v>
      </c>
      <c r="O352" s="212">
        <f t="shared" si="253"/>
        <v>1994.6048780487804</v>
      </c>
      <c r="P352" s="212">
        <f t="shared" si="253"/>
        <v>1994.6048780487804</v>
      </c>
      <c r="Q352" s="212">
        <f t="shared" si="253"/>
        <v>1994.6048780487804</v>
      </c>
      <c r="R352" s="957"/>
      <c r="S352" s="212">
        <f>SUM(F352:Q352)</f>
        <v>35889.844196025282</v>
      </c>
      <c r="T352" s="216"/>
      <c r="U352" s="216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1:36" s="2" customFormat="1">
      <c r="A353" s="216"/>
      <c r="B353" s="184" t="s">
        <v>577</v>
      </c>
      <c r="C353" s="215"/>
      <c r="D353" s="215"/>
      <c r="E353" s="212">
        <f t="shared" ref="E353:Q353" si="254">E125/E6</f>
        <v>0</v>
      </c>
      <c r="F353" s="212">
        <f t="shared" si="254"/>
        <v>-944.95031616982828</v>
      </c>
      <c r="G353" s="212">
        <f t="shared" si="254"/>
        <v>-978.19310749774172</v>
      </c>
      <c r="H353" s="212">
        <f t="shared" si="254"/>
        <v>-1006.5083739837398</v>
      </c>
      <c r="I353" s="212">
        <f t="shared" si="254"/>
        <v>-1007.8139205058717</v>
      </c>
      <c r="J353" s="212">
        <f t="shared" si="254"/>
        <v>-15505.966373080397</v>
      </c>
      <c r="K353" s="212">
        <f t="shared" si="254"/>
        <v>-1020.6662782294491</v>
      </c>
      <c r="L353" s="212">
        <f t="shared" si="254"/>
        <v>-1020.6662782294491</v>
      </c>
      <c r="M353" s="212">
        <f t="shared" si="254"/>
        <v>-1036.8985882264378</v>
      </c>
      <c r="N353" s="212">
        <f t="shared" si="254"/>
        <v>-1052.8603597234769</v>
      </c>
      <c r="O353" s="212">
        <f t="shared" si="254"/>
        <v>-1068.5561016955653</v>
      </c>
      <c r="P353" s="212">
        <f t="shared" si="254"/>
        <v>-1083.9902479681189</v>
      </c>
      <c r="Q353" s="212">
        <f t="shared" si="254"/>
        <v>-1099.1671584694632</v>
      </c>
      <c r="R353" s="957"/>
      <c r="S353" s="212">
        <f>SUM(F353:Q353)</f>
        <v>-26826.237103779535</v>
      </c>
      <c r="T353" s="216"/>
      <c r="U353" s="216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1:36" s="2" customFormat="1">
      <c r="A354" s="216"/>
      <c r="B354" s="217" t="s">
        <v>578</v>
      </c>
      <c r="C354" s="218"/>
      <c r="D354" s="218"/>
      <c r="E354" s="219">
        <f t="shared" ref="E354:Q354" si="255">E126/E6</f>
        <v>56697.018970189703</v>
      </c>
      <c r="F354" s="219">
        <f t="shared" si="255"/>
        <v>58691.586449864495</v>
      </c>
      <c r="G354" s="219">
        <f t="shared" si="255"/>
        <v>60390.502439024393</v>
      </c>
      <c r="H354" s="219">
        <f t="shared" si="255"/>
        <v>60468.835230352306</v>
      </c>
      <c r="I354" s="219">
        <f t="shared" si="255"/>
        <v>930357.98238482384</v>
      </c>
      <c r="J354" s="219">
        <f t="shared" si="255"/>
        <v>61239.976693766941</v>
      </c>
      <c r="K354" s="219">
        <f t="shared" si="255"/>
        <v>61239.976693766941</v>
      </c>
      <c r="L354" s="219">
        <f t="shared" si="255"/>
        <v>62213.915293586273</v>
      </c>
      <c r="M354" s="219">
        <f t="shared" si="255"/>
        <v>63171.621583408611</v>
      </c>
      <c r="N354" s="219">
        <f t="shared" si="255"/>
        <v>64113.366101733918</v>
      </c>
      <c r="O354" s="219">
        <f t="shared" si="255"/>
        <v>65039.414878087133</v>
      </c>
      <c r="P354" s="219">
        <f t="shared" si="255"/>
        <v>65950.02950816779</v>
      </c>
      <c r="Q354" s="219">
        <f t="shared" si="255"/>
        <v>66845.467227747111</v>
      </c>
      <c r="R354" s="957"/>
      <c r="S354" s="219">
        <f>Q354</f>
        <v>66845.467227747111</v>
      </c>
      <c r="T354" s="216"/>
      <c r="U354" s="216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1:36" s="2" customFormat="1" ht="15" thickBot="1">
      <c r="A355" s="216"/>
      <c r="B355" s="184"/>
      <c r="C355" s="215"/>
      <c r="D355" s="215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57"/>
      <c r="S355" s="91"/>
      <c r="T355" s="216"/>
      <c r="U355" s="216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1:36" s="2" customFormat="1">
      <c r="A356" s="682"/>
      <c r="B356" s="551" t="s">
        <v>579</v>
      </c>
      <c r="C356" s="552"/>
      <c r="D356" s="552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564"/>
      <c r="P356" s="564"/>
      <c r="Q356" s="564"/>
      <c r="R356" s="553"/>
      <c r="S356" s="564"/>
      <c r="T356" s="682"/>
      <c r="U356" s="682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1:36" s="2" customFormat="1">
      <c r="A357" s="216"/>
      <c r="B357" s="184"/>
      <c r="C357" s="215"/>
      <c r="D357" s="215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57"/>
      <c r="S357" s="91"/>
      <c r="T357" s="216"/>
      <c r="U357" s="216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1:36" s="2" customFormat="1">
      <c r="A358" s="682"/>
      <c r="B358" s="497" t="s">
        <v>528</v>
      </c>
      <c r="C358" s="553"/>
      <c r="D358" s="55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53"/>
      <c r="S358" s="563"/>
      <c r="T358" s="682"/>
      <c r="U358" s="682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1:36" s="2" customFormat="1">
      <c r="A359" s="216"/>
      <c r="B359" s="184" t="s">
        <v>580</v>
      </c>
      <c r="C359" s="215"/>
      <c r="D359" s="215"/>
      <c r="E359" s="212">
        <f t="shared" ref="E359:Q359" si="256">E131/E6</f>
        <v>21710.298102981029</v>
      </c>
      <c r="F359" s="212">
        <f t="shared" si="256"/>
        <v>21710.298102981029</v>
      </c>
      <c r="G359" s="212">
        <f t="shared" si="256"/>
        <v>19724.515176151763</v>
      </c>
      <c r="H359" s="212">
        <f t="shared" si="256"/>
        <v>27470.216531165312</v>
      </c>
      <c r="I359" s="212">
        <f t="shared" si="256"/>
        <v>28235.766937669378</v>
      </c>
      <c r="J359" s="212">
        <f t="shared" si="256"/>
        <v>30505.0054200542</v>
      </c>
      <c r="K359" s="212">
        <f t="shared" si="256"/>
        <v>26989.09674796748</v>
      </c>
      <c r="L359" s="212">
        <f t="shared" si="256"/>
        <v>22629.795934959351</v>
      </c>
      <c r="M359" s="212">
        <f t="shared" si="256"/>
        <v>22629.795934959351</v>
      </c>
      <c r="N359" s="212">
        <f t="shared" si="256"/>
        <v>22629.795934959351</v>
      </c>
      <c r="O359" s="212">
        <f t="shared" si="256"/>
        <v>22629.795934959351</v>
      </c>
      <c r="P359" s="212">
        <f t="shared" si="256"/>
        <v>22629.795934959351</v>
      </c>
      <c r="Q359" s="212">
        <f t="shared" si="256"/>
        <v>22629.795934959351</v>
      </c>
      <c r="R359" s="957"/>
      <c r="S359" s="212">
        <f>F359</f>
        <v>21710.298102981029</v>
      </c>
      <c r="T359" s="216"/>
      <c r="U359" s="216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1:36" s="2" customFormat="1">
      <c r="A360" s="216"/>
      <c r="B360" s="184" t="s">
        <v>581</v>
      </c>
      <c r="C360" s="215"/>
      <c r="D360" s="215"/>
      <c r="E360" s="212">
        <f t="shared" ref="E360:Q360" si="257">E132/E6</f>
        <v>0</v>
      </c>
      <c r="F360" s="212">
        <f t="shared" si="257"/>
        <v>-1985.7829268292683</v>
      </c>
      <c r="G360" s="212">
        <f t="shared" si="257"/>
        <v>7745.7013550135498</v>
      </c>
      <c r="H360" s="212">
        <f t="shared" si="257"/>
        <v>0</v>
      </c>
      <c r="I360" s="212">
        <f t="shared" si="257"/>
        <v>2269.2384823848238</v>
      </c>
      <c r="J360" s="212">
        <f t="shared" si="257"/>
        <v>-3515.9086720867208</v>
      </c>
      <c r="K360" s="212">
        <f t="shared" si="257"/>
        <v>-4359.3008130081298</v>
      </c>
      <c r="L360" s="212">
        <f t="shared" si="257"/>
        <v>0</v>
      </c>
      <c r="M360" s="212">
        <f t="shared" si="257"/>
        <v>0</v>
      </c>
      <c r="N360" s="212">
        <f t="shared" si="257"/>
        <v>0</v>
      </c>
      <c r="O360" s="212">
        <f t="shared" si="257"/>
        <v>0</v>
      </c>
      <c r="P360" s="212">
        <f t="shared" si="257"/>
        <v>0</v>
      </c>
      <c r="Q360" s="212">
        <f t="shared" si="257"/>
        <v>0</v>
      </c>
      <c r="R360" s="957"/>
      <c r="S360" s="212">
        <f>SUM(F360:Q360)</f>
        <v>153.94742547425449</v>
      </c>
      <c r="T360" s="216"/>
      <c r="U360" s="216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1:36" s="2" customFormat="1">
      <c r="A361" s="216"/>
      <c r="B361" s="217" t="s">
        <v>582</v>
      </c>
      <c r="C361" s="218"/>
      <c r="D361" s="218"/>
      <c r="E361" s="219">
        <f t="shared" ref="E361:Q361" si="258">E133/E6</f>
        <v>21710.298102981029</v>
      </c>
      <c r="F361" s="219">
        <f t="shared" si="258"/>
        <v>19724.515176151763</v>
      </c>
      <c r="G361" s="219">
        <f t="shared" si="258"/>
        <v>27470.216531165312</v>
      </c>
      <c r="H361" s="219">
        <f t="shared" si="258"/>
        <v>28235.766937669378</v>
      </c>
      <c r="I361" s="219">
        <f t="shared" si="258"/>
        <v>30505.0054200542</v>
      </c>
      <c r="J361" s="219">
        <f t="shared" si="258"/>
        <v>26989.09674796748</v>
      </c>
      <c r="K361" s="219">
        <f t="shared" si="258"/>
        <v>22629.795934959351</v>
      </c>
      <c r="L361" s="219">
        <f t="shared" si="258"/>
        <v>22629.795934959351</v>
      </c>
      <c r="M361" s="219">
        <f t="shared" si="258"/>
        <v>22629.795934959351</v>
      </c>
      <c r="N361" s="219">
        <f t="shared" si="258"/>
        <v>22629.795934959351</v>
      </c>
      <c r="O361" s="219">
        <f t="shared" si="258"/>
        <v>22629.795934959351</v>
      </c>
      <c r="P361" s="219">
        <f t="shared" si="258"/>
        <v>22629.795934959351</v>
      </c>
      <c r="Q361" s="219">
        <f t="shared" si="258"/>
        <v>22629.795934959351</v>
      </c>
      <c r="R361" s="957"/>
      <c r="S361" s="219">
        <f>Q361</f>
        <v>22629.795934959351</v>
      </c>
      <c r="T361" s="216"/>
      <c r="U361" s="216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1:36" s="2" customFormat="1">
      <c r="A362" s="216"/>
      <c r="B362" s="184" t="s">
        <v>583</v>
      </c>
      <c r="C362" s="215"/>
      <c r="D362" s="215"/>
      <c r="E362" s="91"/>
      <c r="F362" s="212">
        <f t="shared" ref="F362:Q362" si="259">F135</f>
        <v>0.1</v>
      </c>
      <c r="G362" s="212">
        <f t="shared" si="259"/>
        <v>0.1</v>
      </c>
      <c r="H362" s="212">
        <f t="shared" si="259"/>
        <v>0.1</v>
      </c>
      <c r="I362" s="212">
        <f t="shared" si="259"/>
        <v>0.1</v>
      </c>
      <c r="J362" s="212">
        <f t="shared" si="259"/>
        <v>0.1</v>
      </c>
      <c r="K362" s="212">
        <f t="shared" si="259"/>
        <v>0.1</v>
      </c>
      <c r="L362" s="212">
        <f t="shared" si="259"/>
        <v>0.1</v>
      </c>
      <c r="M362" s="212">
        <f t="shared" si="259"/>
        <v>0.1</v>
      </c>
      <c r="N362" s="212">
        <f t="shared" si="259"/>
        <v>0.1</v>
      </c>
      <c r="O362" s="212">
        <f t="shared" si="259"/>
        <v>0.1</v>
      </c>
      <c r="P362" s="212">
        <f t="shared" si="259"/>
        <v>0.1</v>
      </c>
      <c r="Q362" s="212">
        <f t="shared" si="259"/>
        <v>0.1</v>
      </c>
      <c r="R362" s="957"/>
      <c r="S362" s="212">
        <f>F362</f>
        <v>0.1</v>
      </c>
      <c r="T362" s="216"/>
      <c r="U362" s="216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1:36" s="2" customFormat="1">
      <c r="A363" s="216"/>
      <c r="B363" s="184"/>
      <c r="C363" s="215"/>
      <c r="D363" s="215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57"/>
      <c r="S363" s="91"/>
      <c r="T363" s="216"/>
      <c r="U363" s="216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1:36" s="2" customFormat="1">
      <c r="A364" s="216"/>
      <c r="B364" s="184" t="s">
        <v>584</v>
      </c>
      <c r="C364" s="215"/>
      <c r="D364" s="215"/>
      <c r="E364" s="91"/>
      <c r="F364" s="212">
        <f t="shared" ref="F364:Q364" si="260">F137/F6</f>
        <v>172.64505532971998</v>
      </c>
      <c r="G364" s="212">
        <f t="shared" si="260"/>
        <v>196.64471544715448</v>
      </c>
      <c r="H364" s="212">
        <f t="shared" si="260"/>
        <v>232.10826445347791</v>
      </c>
      <c r="I364" s="212">
        <f t="shared" si="260"/>
        <v>244.75321815718158</v>
      </c>
      <c r="J364" s="212">
        <f t="shared" si="260"/>
        <v>254.20837850045166</v>
      </c>
      <c r="K364" s="212">
        <f t="shared" si="260"/>
        <v>224.90913956639568</v>
      </c>
      <c r="L364" s="212">
        <f t="shared" si="260"/>
        <v>188.58163279132791</v>
      </c>
      <c r="M364" s="212">
        <f t="shared" si="260"/>
        <v>188.58163279132791</v>
      </c>
      <c r="N364" s="212">
        <f t="shared" si="260"/>
        <v>188.58163279132791</v>
      </c>
      <c r="O364" s="212">
        <f t="shared" si="260"/>
        <v>188.58163279132791</v>
      </c>
      <c r="P364" s="212">
        <f t="shared" si="260"/>
        <v>188.58163279132791</v>
      </c>
      <c r="Q364" s="212">
        <f t="shared" si="260"/>
        <v>188.58163279132791</v>
      </c>
      <c r="R364" s="957"/>
      <c r="S364" s="212">
        <f>SUM(F364:Q364)</f>
        <v>2456.7585682023487</v>
      </c>
      <c r="T364" s="216"/>
      <c r="U364" s="216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1:36" s="2" customFormat="1">
      <c r="A365" s="742"/>
      <c r="B365" s="531" t="s">
        <v>585</v>
      </c>
      <c r="C365" s="542"/>
      <c r="D365" s="542"/>
      <c r="E365" s="565"/>
      <c r="F365" s="550">
        <f t="shared" ref="F365:Q365" si="261">SUM(F364)</f>
        <v>172.64505532971998</v>
      </c>
      <c r="G365" s="550">
        <f t="shared" si="261"/>
        <v>196.64471544715448</v>
      </c>
      <c r="H365" s="550">
        <f t="shared" si="261"/>
        <v>232.10826445347791</v>
      </c>
      <c r="I365" s="550">
        <f t="shared" si="261"/>
        <v>244.75321815718158</v>
      </c>
      <c r="J365" s="550">
        <f t="shared" si="261"/>
        <v>254.20837850045166</v>
      </c>
      <c r="K365" s="550">
        <f t="shared" si="261"/>
        <v>224.90913956639568</v>
      </c>
      <c r="L365" s="550">
        <f t="shared" si="261"/>
        <v>188.58163279132791</v>
      </c>
      <c r="M365" s="550">
        <f t="shared" si="261"/>
        <v>188.58163279132791</v>
      </c>
      <c r="N365" s="550">
        <f t="shared" si="261"/>
        <v>188.58163279132791</v>
      </c>
      <c r="O365" s="550">
        <f t="shared" si="261"/>
        <v>188.58163279132791</v>
      </c>
      <c r="P365" s="550">
        <f t="shared" si="261"/>
        <v>188.58163279132791</v>
      </c>
      <c r="Q365" s="550">
        <f t="shared" si="261"/>
        <v>188.58163279132791</v>
      </c>
      <c r="R365" s="991"/>
      <c r="S365" s="550">
        <f>SUM(F365:Q365)</f>
        <v>2456.7585682023487</v>
      </c>
      <c r="T365" s="742"/>
      <c r="U365" s="742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1:36" s="2" customFormat="1">
      <c r="A366" s="682"/>
      <c r="B366" s="497" t="s">
        <v>586</v>
      </c>
      <c r="C366" s="553"/>
      <c r="D366" s="55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3"/>
      <c r="P366" s="563"/>
      <c r="Q366" s="563"/>
      <c r="R366" s="553"/>
      <c r="S366" s="563"/>
      <c r="T366" s="682"/>
      <c r="U366" s="682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1:36" s="2" customFormat="1">
      <c r="A367" s="216"/>
      <c r="B367" s="184" t="s">
        <v>580</v>
      </c>
      <c r="C367" s="215"/>
      <c r="D367" s="215"/>
      <c r="E367" s="212">
        <f t="shared" ref="E367:Q367" si="262">E141/E6</f>
        <v>0</v>
      </c>
      <c r="F367" s="212">
        <f t="shared" si="262"/>
        <v>0</v>
      </c>
      <c r="G367" s="212">
        <f t="shared" si="262"/>
        <v>0</v>
      </c>
      <c r="H367" s="212">
        <f t="shared" si="262"/>
        <v>0</v>
      </c>
      <c r="I367" s="212">
        <f t="shared" si="262"/>
        <v>0</v>
      </c>
      <c r="J367" s="212">
        <f t="shared" si="262"/>
        <v>0</v>
      </c>
      <c r="K367" s="212">
        <f t="shared" si="262"/>
        <v>716165.089701897</v>
      </c>
      <c r="L367" s="212">
        <f t="shared" si="262"/>
        <v>715871.67506775062</v>
      </c>
      <c r="M367" s="212">
        <f t="shared" si="262"/>
        <v>715871.67506775062</v>
      </c>
      <c r="N367" s="212">
        <f t="shared" si="262"/>
        <v>715871.67506775062</v>
      </c>
      <c r="O367" s="212">
        <f t="shared" si="262"/>
        <v>715871.67506775062</v>
      </c>
      <c r="P367" s="212">
        <f t="shared" si="262"/>
        <v>715871.67506775062</v>
      </c>
      <c r="Q367" s="212">
        <f t="shared" si="262"/>
        <v>715871.67506775062</v>
      </c>
      <c r="R367" s="957"/>
      <c r="S367" s="212">
        <f>F367</f>
        <v>0</v>
      </c>
      <c r="T367" s="216"/>
      <c r="U367" s="216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1:36" s="2" customFormat="1">
      <c r="A368" s="216"/>
      <c r="B368" s="184" t="s">
        <v>581</v>
      </c>
      <c r="C368" s="215"/>
      <c r="D368" s="215"/>
      <c r="E368" s="212">
        <f t="shared" ref="E368:Q368" si="263">E142/E6</f>
        <v>0</v>
      </c>
      <c r="F368" s="212">
        <f t="shared" si="263"/>
        <v>0</v>
      </c>
      <c r="G368" s="212">
        <f t="shared" si="263"/>
        <v>0</v>
      </c>
      <c r="H368" s="212">
        <f t="shared" si="263"/>
        <v>0</v>
      </c>
      <c r="I368" s="212">
        <f t="shared" si="263"/>
        <v>0</v>
      </c>
      <c r="J368" s="212">
        <f t="shared" si="263"/>
        <v>0</v>
      </c>
      <c r="K368" s="212">
        <f t="shared" si="263"/>
        <v>0</v>
      </c>
      <c r="L368" s="212">
        <f t="shared" si="263"/>
        <v>0</v>
      </c>
      <c r="M368" s="212">
        <f t="shared" si="263"/>
        <v>0</v>
      </c>
      <c r="N368" s="212">
        <f t="shared" si="263"/>
        <v>0</v>
      </c>
      <c r="O368" s="212">
        <f t="shared" si="263"/>
        <v>0</v>
      </c>
      <c r="P368" s="212">
        <f t="shared" si="263"/>
        <v>0</v>
      </c>
      <c r="Q368" s="212">
        <f t="shared" si="263"/>
        <v>0</v>
      </c>
      <c r="R368" s="957"/>
      <c r="S368" s="212">
        <f>SUM(F368:Q368)</f>
        <v>0</v>
      </c>
      <c r="T368" s="216"/>
      <c r="U368" s="216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 spans="1:36" s="2" customFormat="1">
      <c r="A369" s="216"/>
      <c r="B369" s="217" t="s">
        <v>587</v>
      </c>
      <c r="C369" s="218"/>
      <c r="D369" s="218"/>
      <c r="E369" s="219">
        <f t="shared" ref="E369:Q369" si="264">E144/E$6</f>
        <v>0</v>
      </c>
      <c r="F369" s="219">
        <f t="shared" si="264"/>
        <v>0</v>
      </c>
      <c r="G369" s="219">
        <f t="shared" si="264"/>
        <v>0</v>
      </c>
      <c r="H369" s="219">
        <f t="shared" si="264"/>
        <v>0</v>
      </c>
      <c r="I369" s="219">
        <f t="shared" si="264"/>
        <v>0</v>
      </c>
      <c r="J369" s="219">
        <f t="shared" si="264"/>
        <v>716165.089701897</v>
      </c>
      <c r="K369" s="219">
        <f t="shared" si="264"/>
        <v>715871.67506775062</v>
      </c>
      <c r="L369" s="219">
        <f t="shared" si="264"/>
        <v>715871.67506775062</v>
      </c>
      <c r="M369" s="219">
        <f t="shared" si="264"/>
        <v>715871.67506775062</v>
      </c>
      <c r="N369" s="219">
        <f t="shared" si="264"/>
        <v>715871.67506775062</v>
      </c>
      <c r="O369" s="219">
        <f t="shared" si="264"/>
        <v>715871.67506775062</v>
      </c>
      <c r="P369" s="219">
        <f t="shared" si="264"/>
        <v>715871.67506775062</v>
      </c>
      <c r="Q369" s="219">
        <f t="shared" si="264"/>
        <v>715871.67506775062</v>
      </c>
      <c r="R369" s="957"/>
      <c r="S369" s="219">
        <f>Q369</f>
        <v>715871.67506775062</v>
      </c>
      <c r="T369" s="216"/>
      <c r="U369" s="216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1:36" s="2" customFormat="1">
      <c r="A370" s="216"/>
      <c r="B370" s="184"/>
      <c r="C370" s="215"/>
      <c r="D370" s="215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57"/>
      <c r="S370" s="91"/>
      <c r="T370" s="216"/>
      <c r="U370" s="216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 spans="1:36" s="2" customFormat="1">
      <c r="A371" s="682"/>
      <c r="B371" s="497" t="s">
        <v>588</v>
      </c>
      <c r="C371" s="553"/>
      <c r="D371" s="55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3"/>
      <c r="P371" s="563"/>
      <c r="Q371" s="563"/>
      <c r="R371" s="553"/>
      <c r="S371" s="563"/>
      <c r="T371" s="682"/>
      <c r="U371" s="682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1:36" s="2" customFormat="1">
      <c r="A372" s="216"/>
      <c r="B372" s="184" t="s">
        <v>580</v>
      </c>
      <c r="C372" s="215"/>
      <c r="D372" s="215"/>
      <c r="E372" s="212">
        <f t="shared" ref="E372:Q372" si="265">E147/E6</f>
        <v>328005.14905149053</v>
      </c>
      <c r="F372" s="212">
        <f t="shared" si="265"/>
        <v>328005.14905149053</v>
      </c>
      <c r="G372" s="212">
        <f t="shared" si="265"/>
        <v>328005.14905149053</v>
      </c>
      <c r="H372" s="212">
        <f t="shared" si="265"/>
        <v>328005.14905149053</v>
      </c>
      <c r="I372" s="212">
        <f t="shared" si="265"/>
        <v>328005.14905149053</v>
      </c>
      <c r="J372" s="212">
        <f t="shared" si="265"/>
        <v>148410.9382113821</v>
      </c>
      <c r="K372" s="212">
        <f t="shared" si="265"/>
        <v>328005.14905149053</v>
      </c>
      <c r="L372" s="212">
        <f t="shared" si="265"/>
        <v>328005.14905149053</v>
      </c>
      <c r="M372" s="212">
        <f t="shared" si="265"/>
        <v>328005.14905149053</v>
      </c>
      <c r="N372" s="212">
        <f t="shared" si="265"/>
        <v>328005.14905149053</v>
      </c>
      <c r="O372" s="212">
        <f t="shared" si="265"/>
        <v>328005.14905149053</v>
      </c>
      <c r="P372" s="212">
        <f t="shared" si="265"/>
        <v>328005.14905149053</v>
      </c>
      <c r="Q372" s="212">
        <f t="shared" si="265"/>
        <v>328005.14905149053</v>
      </c>
      <c r="R372" s="957"/>
      <c r="S372" s="212">
        <f>F372</f>
        <v>328005.14905149053</v>
      </c>
      <c r="T372" s="216"/>
      <c r="U372" s="216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 spans="1:36" s="2" customFormat="1">
      <c r="A373" s="216"/>
      <c r="B373" s="184" t="s">
        <v>589</v>
      </c>
      <c r="C373" s="215"/>
      <c r="D373" s="215"/>
      <c r="E373" s="212">
        <f t="shared" ref="E373:Q373" si="266">E148/E6</f>
        <v>0</v>
      </c>
      <c r="F373" s="212">
        <f t="shared" si="266"/>
        <v>0</v>
      </c>
      <c r="G373" s="212">
        <f t="shared" si="266"/>
        <v>0</v>
      </c>
      <c r="H373" s="212">
        <f t="shared" si="266"/>
        <v>0</v>
      </c>
      <c r="I373" s="212">
        <f t="shared" si="266"/>
        <v>-179785.59376693767</v>
      </c>
      <c r="J373" s="212">
        <f t="shared" si="266"/>
        <v>179594.2108401084</v>
      </c>
      <c r="K373" s="212">
        <f t="shared" si="266"/>
        <v>0</v>
      </c>
      <c r="L373" s="212">
        <f t="shared" si="266"/>
        <v>0</v>
      </c>
      <c r="M373" s="212">
        <f t="shared" si="266"/>
        <v>0</v>
      </c>
      <c r="N373" s="212">
        <f t="shared" si="266"/>
        <v>0</v>
      </c>
      <c r="O373" s="212">
        <f t="shared" si="266"/>
        <v>0</v>
      </c>
      <c r="P373" s="212">
        <f t="shared" si="266"/>
        <v>0</v>
      </c>
      <c r="Q373" s="212">
        <f t="shared" si="266"/>
        <v>0</v>
      </c>
      <c r="R373" s="957"/>
      <c r="S373" s="212">
        <f>SUM(F373:Q373)</f>
        <v>-191.38292682927568</v>
      </c>
      <c r="T373" s="216"/>
      <c r="U373" s="216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1:36" s="2" customFormat="1">
      <c r="A374" s="216"/>
      <c r="B374" s="217" t="s">
        <v>590</v>
      </c>
      <c r="C374" s="218"/>
      <c r="D374" s="218"/>
      <c r="E374" s="219">
        <f t="shared" ref="E374:Q374" si="267">E149/E6</f>
        <v>328005.14905149053</v>
      </c>
      <c r="F374" s="219">
        <f t="shared" si="267"/>
        <v>328005.14905149053</v>
      </c>
      <c r="G374" s="219">
        <f t="shared" si="267"/>
        <v>328005.14905149053</v>
      </c>
      <c r="H374" s="219">
        <f t="shared" si="267"/>
        <v>328005.14905149053</v>
      </c>
      <c r="I374" s="219">
        <f t="shared" si="267"/>
        <v>148410.9382113821</v>
      </c>
      <c r="J374" s="219">
        <f t="shared" si="267"/>
        <v>328005.14905149053</v>
      </c>
      <c r="K374" s="219">
        <f t="shared" si="267"/>
        <v>328005.14905149053</v>
      </c>
      <c r="L374" s="219">
        <f t="shared" si="267"/>
        <v>328005.14905149053</v>
      </c>
      <c r="M374" s="219">
        <f t="shared" si="267"/>
        <v>328005.14905149053</v>
      </c>
      <c r="N374" s="219">
        <f t="shared" si="267"/>
        <v>328005.14905149053</v>
      </c>
      <c r="O374" s="219">
        <f t="shared" si="267"/>
        <v>328005.14905149053</v>
      </c>
      <c r="P374" s="219">
        <f t="shared" si="267"/>
        <v>328005.14905149053</v>
      </c>
      <c r="Q374" s="219">
        <f t="shared" si="267"/>
        <v>328005.14905149053</v>
      </c>
      <c r="R374" s="957"/>
      <c r="S374" s="219">
        <f>Q374</f>
        <v>328005.14905149053</v>
      </c>
      <c r="T374" s="216"/>
      <c r="U374" s="216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 spans="1:36" s="2" customFormat="1">
      <c r="A375" s="216"/>
      <c r="B375" s="184"/>
      <c r="C375" s="215"/>
      <c r="D375" s="215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57"/>
      <c r="S375" s="91"/>
      <c r="T375" s="216"/>
      <c r="U375" s="216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1:36" s="2" customFormat="1">
      <c r="A376" s="682"/>
      <c r="B376" s="497" t="s">
        <v>591</v>
      </c>
      <c r="C376" s="553"/>
      <c r="D376" s="55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3"/>
      <c r="P376" s="563"/>
      <c r="Q376" s="563"/>
      <c r="R376" s="553"/>
      <c r="S376" s="563"/>
      <c r="T376" s="682"/>
      <c r="U376" s="682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 spans="1:36" s="2" customFormat="1">
      <c r="A377" s="216"/>
      <c r="B377" s="184" t="s">
        <v>580</v>
      </c>
      <c r="C377" s="215"/>
      <c r="D377" s="215"/>
      <c r="E377" s="212">
        <f t="shared" ref="E377:Q377" si="268">E152/E6</f>
        <v>329157.99457994581</v>
      </c>
      <c r="F377" s="212">
        <f t="shared" si="268"/>
        <v>329157.99457994581</v>
      </c>
      <c r="G377" s="212">
        <f t="shared" si="268"/>
        <v>346362.64715447155</v>
      </c>
      <c r="H377" s="212">
        <f t="shared" si="268"/>
        <v>361010.04959349596</v>
      </c>
      <c r="I377" s="212">
        <f t="shared" si="268"/>
        <v>350728.74688346882</v>
      </c>
      <c r="J377" s="212">
        <f t="shared" si="268"/>
        <v>4391.7075880758812</v>
      </c>
      <c r="K377" s="212">
        <f t="shared" si="268"/>
        <v>380290.0401084011</v>
      </c>
      <c r="L377" s="212">
        <f t="shared" si="268"/>
        <v>389326.25934959349</v>
      </c>
      <c r="M377" s="212">
        <f t="shared" si="268"/>
        <v>396021.93739837396</v>
      </c>
      <c r="N377" s="212">
        <f t="shared" si="268"/>
        <v>526536.30799845362</v>
      </c>
      <c r="O377" s="212">
        <f t="shared" si="268"/>
        <v>673143.27963753627</v>
      </c>
      <c r="P377" s="212">
        <f t="shared" si="268"/>
        <v>835843.02523481334</v>
      </c>
      <c r="Q377" s="212">
        <f t="shared" si="268"/>
        <v>1011674.50788982</v>
      </c>
      <c r="R377" s="957"/>
      <c r="S377" s="212">
        <f>F377</f>
        <v>329157.99457994581</v>
      </c>
      <c r="T377" s="216"/>
      <c r="U377" s="216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1:36" s="2" customFormat="1">
      <c r="A378" s="216"/>
      <c r="B378" s="184" t="s">
        <v>546</v>
      </c>
      <c r="C378" s="215"/>
      <c r="D378" s="215"/>
      <c r="E378" s="212">
        <f t="shared" ref="E378:Q378" si="269">E153/E6</f>
        <v>0</v>
      </c>
      <c r="F378" s="212">
        <f t="shared" si="269"/>
        <v>17204.741734417345</v>
      </c>
      <c r="G378" s="212">
        <f t="shared" si="269"/>
        <v>14647.40243902439</v>
      </c>
      <c r="H378" s="212">
        <f t="shared" si="269"/>
        <v>-10281.302710027101</v>
      </c>
      <c r="I378" s="212">
        <f t="shared" si="269"/>
        <v>191.38292682926829</v>
      </c>
      <c r="J378" s="212">
        <f t="shared" si="269"/>
        <v>29369.910027100272</v>
      </c>
      <c r="K378" s="212">
        <f t="shared" si="269"/>
        <v>9036.2195121951227</v>
      </c>
      <c r="L378" s="212">
        <f t="shared" si="269"/>
        <v>6695.6780487804881</v>
      </c>
      <c r="M378" s="212">
        <f t="shared" si="269"/>
        <v>130514.37060007955</v>
      </c>
      <c r="N378" s="212">
        <f t="shared" si="269"/>
        <v>146606.97163908265</v>
      </c>
      <c r="O378" s="212">
        <f t="shared" si="269"/>
        <v>162699.74559727707</v>
      </c>
      <c r="P378" s="212">
        <f t="shared" si="269"/>
        <v>175831.48265500669</v>
      </c>
      <c r="Q378" s="212">
        <f t="shared" si="269"/>
        <v>191924.59385365705</v>
      </c>
      <c r="R378" s="957"/>
      <c r="S378" s="212">
        <f>SUM(F378:Q378)</f>
        <v>874441.19632342283</v>
      </c>
      <c r="T378" s="216"/>
      <c r="U378" s="216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 spans="1:36" s="2" customFormat="1">
      <c r="A379" s="216"/>
      <c r="B379" s="184" t="s">
        <v>592</v>
      </c>
      <c r="C379" s="215"/>
      <c r="D379" s="215"/>
      <c r="E379" s="212">
        <f t="shared" ref="E379:Q379" si="270">E154/E6</f>
        <v>0</v>
      </c>
      <c r="F379" s="212">
        <f t="shared" si="270"/>
        <v>0</v>
      </c>
      <c r="G379" s="212">
        <f t="shared" si="270"/>
        <v>0</v>
      </c>
      <c r="H379" s="212">
        <f t="shared" si="270"/>
        <v>0</v>
      </c>
      <c r="I379" s="212">
        <f t="shared" si="270"/>
        <v>0</v>
      </c>
      <c r="J379" s="212">
        <f t="shared" si="270"/>
        <v>0</v>
      </c>
      <c r="K379" s="212">
        <f t="shared" si="270"/>
        <v>0</v>
      </c>
      <c r="L379" s="212">
        <f t="shared" si="270"/>
        <v>0</v>
      </c>
      <c r="M379" s="212">
        <f t="shared" si="270"/>
        <v>0</v>
      </c>
      <c r="N379" s="212">
        <f t="shared" si="270"/>
        <v>0</v>
      </c>
      <c r="O379" s="212">
        <f t="shared" si="270"/>
        <v>0</v>
      </c>
      <c r="P379" s="212">
        <f t="shared" si="270"/>
        <v>0</v>
      </c>
      <c r="Q379" s="212">
        <f t="shared" si="270"/>
        <v>0</v>
      </c>
      <c r="R379" s="957"/>
      <c r="S379" s="212">
        <f>SUM(F379:Q379)</f>
        <v>0</v>
      </c>
      <c r="T379" s="216"/>
      <c r="U379" s="216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1:36" s="2" customFormat="1">
      <c r="A380" s="216"/>
      <c r="B380" s="217" t="s">
        <v>593</v>
      </c>
      <c r="C380" s="218"/>
      <c r="D380" s="218"/>
      <c r="E380" s="219">
        <f>E155/E6</f>
        <v>329157.99457994581</v>
      </c>
      <c r="F380" s="219">
        <f>F152/F6+F153/F6-F154/F6</f>
        <v>346362.73631436314</v>
      </c>
      <c r="G380" s="219">
        <f t="shared" ref="G380:Q380" si="271">G155/G6</f>
        <v>361010.04959349596</v>
      </c>
      <c r="H380" s="219">
        <f t="shared" si="271"/>
        <v>350728.74688346882</v>
      </c>
      <c r="I380" s="219">
        <f t="shared" si="271"/>
        <v>4391.7075880758812</v>
      </c>
      <c r="J380" s="219">
        <f t="shared" si="271"/>
        <v>380290.0401084011</v>
      </c>
      <c r="K380" s="219">
        <f t="shared" si="271"/>
        <v>389326.25934959349</v>
      </c>
      <c r="L380" s="219">
        <f t="shared" si="271"/>
        <v>396021.93739837396</v>
      </c>
      <c r="M380" s="219">
        <f t="shared" si="271"/>
        <v>526536.30799845362</v>
      </c>
      <c r="N380" s="219">
        <f t="shared" si="271"/>
        <v>673143.27963753627</v>
      </c>
      <c r="O380" s="219">
        <f t="shared" si="271"/>
        <v>835843.02523481334</v>
      </c>
      <c r="P380" s="219">
        <f t="shared" si="271"/>
        <v>1011674.50788982</v>
      </c>
      <c r="Q380" s="219">
        <f t="shared" si="271"/>
        <v>1203599.1017434769</v>
      </c>
      <c r="R380" s="957"/>
      <c r="S380" s="219">
        <f>Q380</f>
        <v>1203599.1017434769</v>
      </c>
      <c r="T380" s="216"/>
      <c r="U380" s="216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 spans="1:36" s="2" customFormat="1">
      <c r="A381" s="216"/>
      <c r="B381" s="184"/>
      <c r="C381" s="215"/>
      <c r="D381" s="215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57"/>
      <c r="S381" s="91"/>
      <c r="T381" s="216"/>
      <c r="U381" s="216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1:36" s="2" customFormat="1" ht="15" thickBot="1">
      <c r="A382" s="216"/>
      <c r="B382" s="184"/>
      <c r="C382" s="215"/>
      <c r="D382" s="215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57"/>
      <c r="S382" s="91"/>
      <c r="T382" s="216"/>
      <c r="U382" s="216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 spans="1:36" s="2" customFormat="1">
      <c r="A383" s="216"/>
      <c r="B383" s="234" t="s">
        <v>594</v>
      </c>
      <c r="C383" s="235"/>
      <c r="D383" s="23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7"/>
      <c r="S383" s="95" t="s">
        <v>16</v>
      </c>
      <c r="T383" s="216"/>
      <c r="U383" s="216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1:36" s="2" customFormat="1">
      <c r="A384" s="682"/>
      <c r="B384" s="497"/>
      <c r="C384" s="553"/>
      <c r="D384" s="553"/>
      <c r="E384" s="563"/>
      <c r="F384" s="563"/>
      <c r="G384" s="563"/>
      <c r="H384" s="563"/>
      <c r="I384" s="563"/>
      <c r="J384" s="563"/>
      <c r="K384" s="563"/>
      <c r="L384" s="563"/>
      <c r="M384" s="563"/>
      <c r="N384" s="563"/>
      <c r="O384" s="563"/>
      <c r="P384" s="563"/>
      <c r="Q384" s="563"/>
      <c r="R384" s="553"/>
      <c r="S384" s="563" t="s">
        <v>16</v>
      </c>
      <c r="T384" s="682"/>
      <c r="U384" s="682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 spans="1:36" s="2" customFormat="1" ht="30" customHeight="1">
      <c r="A385" s="467"/>
      <c r="B385" s="461"/>
      <c r="C385" s="461"/>
      <c r="D385" s="461"/>
      <c r="E385" s="538" t="s">
        <v>323</v>
      </c>
      <c r="F385" s="538" t="s">
        <v>209</v>
      </c>
      <c r="G385" s="538" t="s">
        <v>324</v>
      </c>
      <c r="H385" s="538" t="s">
        <v>325</v>
      </c>
      <c r="I385" s="538" t="s">
        <v>326</v>
      </c>
      <c r="J385" s="538" t="s">
        <v>327</v>
      </c>
      <c r="K385" s="538" t="s">
        <v>328</v>
      </c>
      <c r="L385" s="538" t="s">
        <v>329</v>
      </c>
      <c r="M385" s="538" t="s">
        <v>330</v>
      </c>
      <c r="N385" s="538" t="s">
        <v>331</v>
      </c>
      <c r="O385" s="538" t="s">
        <v>332</v>
      </c>
      <c r="P385" s="538" t="s">
        <v>333</v>
      </c>
      <c r="Q385" s="538" t="s">
        <v>334</v>
      </c>
      <c r="R385" s="461"/>
      <c r="S385" s="538" t="s">
        <v>595</v>
      </c>
      <c r="T385" s="461"/>
      <c r="U385" s="461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1:36" s="2" customFormat="1">
      <c r="A386" s="682"/>
      <c r="B386" s="497" t="s">
        <v>596</v>
      </c>
      <c r="C386" s="553"/>
      <c r="D386" s="553"/>
      <c r="E386" s="563"/>
      <c r="F386" s="563"/>
      <c r="G386" s="563"/>
      <c r="H386" s="563"/>
      <c r="I386" s="563"/>
      <c r="J386" s="563"/>
      <c r="K386" s="563"/>
      <c r="L386" s="563"/>
      <c r="M386" s="563"/>
      <c r="N386" s="563"/>
      <c r="O386" s="563"/>
      <c r="P386" s="563"/>
      <c r="Q386" s="563"/>
      <c r="R386" s="553"/>
      <c r="S386" s="563"/>
      <c r="T386" s="682"/>
      <c r="U386" s="682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 spans="1:36" s="2" customFormat="1">
      <c r="A387" s="216"/>
      <c r="B387" s="184" t="s">
        <v>546</v>
      </c>
      <c r="C387" s="215"/>
      <c r="D387" s="215"/>
      <c r="E387" s="212">
        <f t="shared" ref="E387:Q387" si="272">E162/E6</f>
        <v>0</v>
      </c>
      <c r="F387" s="212">
        <f t="shared" si="272"/>
        <v>17204.741734417345</v>
      </c>
      <c r="G387" s="212">
        <f t="shared" si="272"/>
        <v>14647.40243902439</v>
      </c>
      <c r="H387" s="212">
        <f t="shared" si="272"/>
        <v>-10281.302710027101</v>
      </c>
      <c r="I387" s="212">
        <f t="shared" si="272"/>
        <v>191.38292682926829</v>
      </c>
      <c r="J387" s="212">
        <f t="shared" si="272"/>
        <v>29369.910027100272</v>
      </c>
      <c r="K387" s="212">
        <f t="shared" si="272"/>
        <v>9036.2195121951227</v>
      </c>
      <c r="L387" s="212">
        <f t="shared" si="272"/>
        <v>6695.6780487804881</v>
      </c>
      <c r="M387" s="212">
        <f t="shared" si="272"/>
        <v>130514.37060007955</v>
      </c>
      <c r="N387" s="212">
        <f t="shared" si="272"/>
        <v>146606.97163908265</v>
      </c>
      <c r="O387" s="212">
        <f t="shared" si="272"/>
        <v>162699.74559727707</v>
      </c>
      <c r="P387" s="212">
        <f t="shared" si="272"/>
        <v>175831.48265500669</v>
      </c>
      <c r="Q387" s="212">
        <f t="shared" si="272"/>
        <v>191924.59385365705</v>
      </c>
      <c r="R387" s="957"/>
      <c r="S387" s="212">
        <f>SUM(F387:Q387)</f>
        <v>874441.19632342283</v>
      </c>
      <c r="T387" s="216"/>
      <c r="U387" s="216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1:36" s="2" customFormat="1">
      <c r="A388" s="682"/>
      <c r="B388" s="497" t="s">
        <v>597</v>
      </c>
      <c r="C388" s="553"/>
      <c r="D388" s="55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3"/>
      <c r="P388" s="563"/>
      <c r="Q388" s="563"/>
      <c r="R388" s="553"/>
      <c r="S388" s="563"/>
      <c r="T388" s="682"/>
      <c r="U388" s="682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 spans="1:36" s="2" customFormat="1">
      <c r="A389" s="216"/>
      <c r="B389" s="236" t="s">
        <v>598</v>
      </c>
      <c r="C389" s="237"/>
      <c r="D389" s="237"/>
      <c r="E389" s="390">
        <f t="shared" ref="E389:Q389" si="273">E164/E6</f>
        <v>0</v>
      </c>
      <c r="F389" s="390">
        <f t="shared" si="273"/>
        <v>57705.804878048781</v>
      </c>
      <c r="G389" s="390">
        <f t="shared" si="273"/>
        <v>-63625.579945799458</v>
      </c>
      <c r="H389" s="390">
        <f t="shared" si="273"/>
        <v>18585.40867208672</v>
      </c>
      <c r="I389" s="390">
        <f t="shared" si="273"/>
        <v>21138.241192411922</v>
      </c>
      <c r="J389" s="390">
        <f t="shared" si="273"/>
        <v>-17007.31382113821</v>
      </c>
      <c r="K389" s="390">
        <f t="shared" si="273"/>
        <v>-33627.211382113819</v>
      </c>
      <c r="L389" s="390">
        <f t="shared" si="273"/>
        <v>30074.034417344174</v>
      </c>
      <c r="M389" s="390">
        <f t="shared" si="273"/>
        <v>-736502.73306233063</v>
      </c>
      <c r="N389" s="390">
        <f t="shared" si="273"/>
        <v>-69366.666666666672</v>
      </c>
      <c r="O389" s="390">
        <f t="shared" si="273"/>
        <v>-69366.666666666672</v>
      </c>
      <c r="P389" s="390">
        <f t="shared" si="273"/>
        <v>-69366.666666666672</v>
      </c>
      <c r="Q389" s="390">
        <f t="shared" si="273"/>
        <v>-69366.666666666672</v>
      </c>
      <c r="R389" s="957"/>
      <c r="S389" s="390">
        <f>SUM(F389:Q389)</f>
        <v>-1000726.0157181571</v>
      </c>
      <c r="T389" s="216"/>
      <c r="U389" s="216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1:36" s="2" customFormat="1">
      <c r="A390" s="216"/>
      <c r="B390" s="246" t="s">
        <v>599</v>
      </c>
      <c r="C390" s="247"/>
      <c r="D390" s="247"/>
      <c r="E390" s="396">
        <f t="shared" ref="E390:Q390" si="274">E165/E6</f>
        <v>0</v>
      </c>
      <c r="F390" s="396">
        <f t="shared" si="274"/>
        <v>1030.3750677506775</v>
      </c>
      <c r="G390" s="396">
        <f t="shared" si="274"/>
        <v>-20065.835772357725</v>
      </c>
      <c r="H390" s="396">
        <f t="shared" si="274"/>
        <v>-678.70975609756101</v>
      </c>
      <c r="I390" s="396">
        <f t="shared" si="274"/>
        <v>2269.2384823848238</v>
      </c>
      <c r="J390" s="396">
        <f t="shared" si="274"/>
        <v>-16674.98997289973</v>
      </c>
      <c r="K390" s="396">
        <f t="shared" si="274"/>
        <v>-5127.410298102981</v>
      </c>
      <c r="L390" s="396">
        <f t="shared" si="274"/>
        <v>-21580.108943089432</v>
      </c>
      <c r="M390" s="396">
        <f t="shared" si="274"/>
        <v>56172.412119843386</v>
      </c>
      <c r="N390" s="396">
        <f t="shared" si="274"/>
        <v>0</v>
      </c>
      <c r="O390" s="396">
        <f t="shared" si="274"/>
        <v>0</v>
      </c>
      <c r="P390" s="396">
        <f t="shared" si="274"/>
        <v>4711.07739837399</v>
      </c>
      <c r="Q390" s="396">
        <f t="shared" si="274"/>
        <v>0</v>
      </c>
      <c r="R390" s="957"/>
      <c r="S390" s="396">
        <f>SUM(F390:Q390)</f>
        <v>56.048325805456443</v>
      </c>
      <c r="T390" s="216"/>
      <c r="U390" s="216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 spans="1:36" s="2" customFormat="1">
      <c r="A391" s="216"/>
      <c r="B391" s="246" t="s">
        <v>600</v>
      </c>
      <c r="C391" s="247"/>
      <c r="D391" s="247"/>
      <c r="E391" s="396">
        <f t="shared" ref="E391:Q391" si="275">E166/E6</f>
        <v>0</v>
      </c>
      <c r="F391" s="396">
        <f t="shared" si="275"/>
        <v>-6972.0650406504064</v>
      </c>
      <c r="G391" s="396">
        <f t="shared" si="275"/>
        <v>-3403.3550135501355</v>
      </c>
      <c r="H391" s="396">
        <f t="shared" si="275"/>
        <v>6444.1420054200544</v>
      </c>
      <c r="I391" s="396">
        <f t="shared" si="275"/>
        <v>-291.04037940379402</v>
      </c>
      <c r="J391" s="396">
        <f t="shared" si="275"/>
        <v>-537.460433604336</v>
      </c>
      <c r="K391" s="396">
        <f t="shared" si="275"/>
        <v>220.07560975609755</v>
      </c>
      <c r="L391" s="396">
        <f t="shared" si="275"/>
        <v>-1110.0327913279132</v>
      </c>
      <c r="M391" s="396">
        <f t="shared" si="275"/>
        <v>65065.729218262546</v>
      </c>
      <c r="N391" s="396">
        <f t="shared" si="275"/>
        <v>8665.2467133093651</v>
      </c>
      <c r="O391" s="396">
        <f t="shared" si="275"/>
        <v>8665.3398236431403</v>
      </c>
      <c r="P391" s="396">
        <f t="shared" si="275"/>
        <v>7070.9353387774972</v>
      </c>
      <c r="Q391" s="396">
        <f t="shared" si="275"/>
        <v>8665.5214146578692</v>
      </c>
      <c r="R391" s="957"/>
      <c r="S391" s="396">
        <f>SUM(F391:Q391)</f>
        <v>92483.036465289988</v>
      </c>
      <c r="T391" s="216"/>
      <c r="U391" s="216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1:36" s="2" customFormat="1">
      <c r="A392" s="216"/>
      <c r="B392" s="240" t="s">
        <v>601</v>
      </c>
      <c r="C392" s="241"/>
      <c r="D392" s="241"/>
      <c r="E392" s="392">
        <f t="shared" ref="E392:Q392" si="276">E167/E6</f>
        <v>0</v>
      </c>
      <c r="F392" s="392">
        <f t="shared" si="276"/>
        <v>0</v>
      </c>
      <c r="G392" s="392">
        <f t="shared" si="276"/>
        <v>0</v>
      </c>
      <c r="H392" s="392">
        <f t="shared" si="276"/>
        <v>0</v>
      </c>
      <c r="I392" s="392">
        <f t="shared" si="276"/>
        <v>1007.8139205058717</v>
      </c>
      <c r="J392" s="392">
        <f t="shared" si="276"/>
        <v>15505.966373080397</v>
      </c>
      <c r="K392" s="392">
        <f t="shared" si="276"/>
        <v>1020.6662782294491</v>
      </c>
      <c r="L392" s="392">
        <f t="shared" si="276"/>
        <v>1020.6662782294491</v>
      </c>
      <c r="M392" s="392">
        <f t="shared" si="276"/>
        <v>1036.8985882264378</v>
      </c>
      <c r="N392" s="392">
        <f t="shared" si="276"/>
        <v>1052.8603597234769</v>
      </c>
      <c r="O392" s="392">
        <f t="shared" si="276"/>
        <v>1068.5561016955653</v>
      </c>
      <c r="P392" s="392">
        <f t="shared" si="276"/>
        <v>1083.9902479681189</v>
      </c>
      <c r="Q392" s="392">
        <f t="shared" si="276"/>
        <v>1099.1671584694632</v>
      </c>
      <c r="R392" s="957"/>
      <c r="S392" s="392">
        <f>SUM(F392:Q392)</f>
        <v>23896.585306128225</v>
      </c>
      <c r="T392" s="216"/>
      <c r="U392" s="216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 spans="1:36" s="2" customFormat="1">
      <c r="A393" s="216"/>
      <c r="B393" s="195" t="s">
        <v>602</v>
      </c>
      <c r="C393" s="224"/>
      <c r="D393" s="224"/>
      <c r="E393" s="226">
        <f t="shared" ref="E393:Q393" si="277">E168/E6</f>
        <v>0</v>
      </c>
      <c r="F393" s="226">
        <f t="shared" si="277"/>
        <v>68968.856639566395</v>
      </c>
      <c r="G393" s="226">
        <f t="shared" si="277"/>
        <v>-72447.368292682921</v>
      </c>
      <c r="H393" s="226">
        <f t="shared" si="277"/>
        <v>14069.538211382114</v>
      </c>
      <c r="I393" s="226">
        <f t="shared" si="277"/>
        <v>24315.636142728094</v>
      </c>
      <c r="J393" s="226">
        <f t="shared" si="277"/>
        <v>10656.112172538391</v>
      </c>
      <c r="K393" s="226">
        <f t="shared" si="277"/>
        <v>-28477.660280036136</v>
      </c>
      <c r="L393" s="226">
        <f t="shared" si="277"/>
        <v>15100.237009936767</v>
      </c>
      <c r="M393" s="226">
        <f t="shared" si="277"/>
        <v>-483713.32253591868</v>
      </c>
      <c r="N393" s="226">
        <f t="shared" si="277"/>
        <v>86958.412045448829</v>
      </c>
      <c r="O393" s="226">
        <f t="shared" si="277"/>
        <v>103066.97485594911</v>
      </c>
      <c r="P393" s="226">
        <f t="shared" si="277"/>
        <v>119330.81897345964</v>
      </c>
      <c r="Q393" s="226">
        <f t="shared" si="277"/>
        <v>132322.61576011771</v>
      </c>
      <c r="R393" s="957"/>
      <c r="S393" s="226">
        <f>SUM(F393:Q393)</f>
        <v>-9849.1492975106812</v>
      </c>
      <c r="T393" s="216"/>
      <c r="U393" s="216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1:36" s="2" customFormat="1">
      <c r="A394" s="216"/>
      <c r="B394" s="184"/>
      <c r="C394" s="215"/>
      <c r="D394" s="215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57"/>
      <c r="S394" s="91"/>
      <c r="T394" s="216"/>
      <c r="U394" s="216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 spans="1:36">
      <c r="A395" s="682"/>
      <c r="B395" s="497" t="s">
        <v>603</v>
      </c>
      <c r="C395" s="553"/>
      <c r="D395" s="553"/>
      <c r="E395" s="563"/>
      <c r="F395" s="563"/>
      <c r="G395" s="563"/>
      <c r="H395" s="563"/>
      <c r="I395" s="563"/>
      <c r="J395" s="563"/>
      <c r="K395" s="563"/>
      <c r="L395" s="563"/>
      <c r="M395" s="563"/>
      <c r="N395" s="563"/>
      <c r="O395" s="563"/>
      <c r="P395" s="563"/>
      <c r="Q395" s="563"/>
      <c r="R395" s="553"/>
      <c r="S395" s="563"/>
      <c r="T395" s="682"/>
      <c r="U395" s="682"/>
      <c r="V395" s="729"/>
      <c r="W395" s="729"/>
      <c r="X395" s="729"/>
      <c r="Y395" s="729"/>
      <c r="Z395" s="729"/>
      <c r="AA395" s="729"/>
      <c r="AB395" s="729"/>
      <c r="AC395" s="729"/>
      <c r="AD395" s="729"/>
      <c r="AE395" s="729"/>
      <c r="AF395" s="729"/>
      <c r="AG395" s="729"/>
      <c r="AH395" s="729"/>
      <c r="AI395" s="729"/>
      <c r="AJ395" s="729"/>
    </row>
    <row r="396" spans="1:36">
      <c r="A396" s="674"/>
      <c r="B396" s="220" t="s">
        <v>604</v>
      </c>
      <c r="C396" s="221"/>
      <c r="D396" s="221"/>
      <c r="E396" s="399">
        <f t="shared" ref="E396:Q396" si="278">E171/E6</f>
        <v>0</v>
      </c>
      <c r="F396" s="399">
        <f t="shared" si="278"/>
        <v>-2135.6501355013552</v>
      </c>
      <c r="G396" s="399">
        <f t="shared" si="278"/>
        <v>-1823.639024390244</v>
      </c>
      <c r="H396" s="399">
        <f t="shared" si="278"/>
        <v>-267.07804878048779</v>
      </c>
      <c r="I396" s="399">
        <f t="shared" si="278"/>
        <v>-870896.96107497741</v>
      </c>
      <c r="J396" s="399">
        <f t="shared" si="278"/>
        <v>853612.03931797657</v>
      </c>
      <c r="K396" s="399">
        <f t="shared" si="278"/>
        <v>-1020.6662782294491</v>
      </c>
      <c r="L396" s="399">
        <f t="shared" si="278"/>
        <v>-1994.6048780487804</v>
      </c>
      <c r="M396" s="399">
        <f t="shared" si="278"/>
        <v>-1994.6048780487804</v>
      </c>
      <c r="N396" s="399">
        <f t="shared" si="278"/>
        <v>-1994.6048780487804</v>
      </c>
      <c r="O396" s="399">
        <f t="shared" si="278"/>
        <v>-1994.6048780487804</v>
      </c>
      <c r="P396" s="399">
        <f t="shared" si="278"/>
        <v>-1994.6048780487804</v>
      </c>
      <c r="Q396" s="399">
        <f t="shared" si="278"/>
        <v>-1994.6048780487804</v>
      </c>
      <c r="R396" s="957"/>
      <c r="S396" s="399">
        <f>SUM(F396:Q396)</f>
        <v>-34499.584512195084</v>
      </c>
      <c r="T396" s="674"/>
      <c r="U396" s="674"/>
      <c r="V396" s="729"/>
      <c r="W396" s="729"/>
      <c r="X396" s="729"/>
      <c r="Y396" s="729"/>
      <c r="Z396" s="729"/>
      <c r="AA396" s="729"/>
      <c r="AB396" s="729"/>
      <c r="AC396" s="729"/>
      <c r="AD396" s="729"/>
      <c r="AE396" s="729"/>
      <c r="AF396" s="729"/>
      <c r="AG396" s="729"/>
      <c r="AH396" s="729"/>
      <c r="AI396" s="729"/>
      <c r="AJ396" s="729"/>
    </row>
    <row r="397" spans="1:36">
      <c r="A397" s="674"/>
      <c r="B397" s="184"/>
      <c r="C397" s="215"/>
      <c r="D397" s="215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57"/>
      <c r="S397" s="91"/>
      <c r="T397" s="674"/>
      <c r="U397" s="674"/>
      <c r="V397" s="729"/>
      <c r="W397" s="729"/>
      <c r="X397" s="729"/>
      <c r="Y397" s="729"/>
      <c r="Z397" s="729"/>
      <c r="AA397" s="729"/>
      <c r="AB397" s="729"/>
      <c r="AC397" s="729"/>
      <c r="AD397" s="729"/>
      <c r="AE397" s="729"/>
      <c r="AF397" s="729"/>
      <c r="AG397" s="729"/>
      <c r="AH397" s="729"/>
      <c r="AI397" s="729"/>
      <c r="AJ397" s="729"/>
    </row>
    <row r="398" spans="1:36">
      <c r="A398" s="682"/>
      <c r="B398" s="497" t="s">
        <v>605</v>
      </c>
      <c r="C398" s="553"/>
      <c r="D398" s="553"/>
      <c r="E398" s="563"/>
      <c r="F398" s="563"/>
      <c r="G398" s="563"/>
      <c r="H398" s="563"/>
      <c r="I398" s="563"/>
      <c r="J398" s="563"/>
      <c r="K398" s="563"/>
      <c r="L398" s="563"/>
      <c r="M398" s="563"/>
      <c r="N398" s="563"/>
      <c r="O398" s="563"/>
      <c r="P398" s="563"/>
      <c r="Q398" s="563"/>
      <c r="R398" s="553"/>
      <c r="S398" s="563"/>
      <c r="T398" s="682"/>
      <c r="U398" s="682"/>
      <c r="V398" s="729"/>
      <c r="W398" s="729"/>
      <c r="X398" s="729"/>
      <c r="Y398" s="729"/>
      <c r="Z398" s="729"/>
      <c r="AA398" s="729"/>
      <c r="AB398" s="729"/>
      <c r="AC398" s="729"/>
      <c r="AD398" s="729"/>
      <c r="AE398" s="729"/>
      <c r="AF398" s="729"/>
      <c r="AG398" s="729"/>
      <c r="AH398" s="729"/>
      <c r="AI398" s="729"/>
      <c r="AJ398" s="729"/>
    </row>
    <row r="399" spans="1:36">
      <c r="A399" s="674"/>
      <c r="B399" s="236" t="s">
        <v>606</v>
      </c>
      <c r="C399" s="237"/>
      <c r="D399" s="237"/>
      <c r="E399" s="390">
        <f t="shared" ref="E399:Q399" si="279">E174/E6</f>
        <v>0</v>
      </c>
      <c r="F399" s="390">
        <f t="shared" si="279"/>
        <v>-4669.7447154471547</v>
      </c>
      <c r="G399" s="390">
        <f t="shared" si="279"/>
        <v>1543.2284552845529</v>
      </c>
      <c r="H399" s="390">
        <f t="shared" si="279"/>
        <v>6456.8308943089432</v>
      </c>
      <c r="I399" s="390">
        <f t="shared" si="279"/>
        <v>3712.7615176151762</v>
      </c>
      <c r="J399" s="390">
        <f t="shared" si="279"/>
        <v>-5089.4317073170732</v>
      </c>
      <c r="K399" s="390">
        <f t="shared" si="279"/>
        <v>-4652.7154471544718</v>
      </c>
      <c r="L399" s="390">
        <f t="shared" si="279"/>
        <v>5764.7826558265579</v>
      </c>
      <c r="M399" s="390">
        <f t="shared" si="279"/>
        <v>710166.72981029807</v>
      </c>
      <c r="N399" s="390">
        <f t="shared" si="279"/>
        <v>0</v>
      </c>
      <c r="O399" s="390">
        <f t="shared" si="279"/>
        <v>0</v>
      </c>
      <c r="P399" s="390">
        <f t="shared" si="279"/>
        <v>0</v>
      </c>
      <c r="Q399" s="390">
        <f t="shared" si="279"/>
        <v>0</v>
      </c>
      <c r="R399" s="957"/>
      <c r="S399" s="390">
        <f>SUM(F399:Q399)</f>
        <v>713232.44146341458</v>
      </c>
      <c r="T399" s="674"/>
      <c r="U399" s="674"/>
      <c r="V399" s="729"/>
      <c r="W399" s="729"/>
      <c r="X399" s="729"/>
      <c r="Y399" s="729"/>
      <c r="Z399" s="729"/>
      <c r="AA399" s="729"/>
      <c r="AB399" s="729"/>
      <c r="AC399" s="729"/>
      <c r="AD399" s="729"/>
      <c r="AE399" s="729"/>
      <c r="AF399" s="729"/>
      <c r="AG399" s="729"/>
      <c r="AH399" s="729"/>
      <c r="AI399" s="729"/>
      <c r="AJ399" s="729"/>
    </row>
    <row r="400" spans="1:36">
      <c r="A400" s="674"/>
      <c r="B400" s="246" t="s">
        <v>607</v>
      </c>
      <c r="C400" s="247"/>
      <c r="D400" s="247"/>
      <c r="E400" s="396">
        <f t="shared" ref="E400:Q400" si="280">E175/E6</f>
        <v>0</v>
      </c>
      <c r="F400" s="396">
        <f t="shared" si="280"/>
        <v>0</v>
      </c>
      <c r="G400" s="396">
        <f t="shared" si="280"/>
        <v>0</v>
      </c>
      <c r="H400" s="396">
        <f t="shared" si="280"/>
        <v>0</v>
      </c>
      <c r="I400" s="396">
        <f t="shared" si="280"/>
        <v>0</v>
      </c>
      <c r="J400" s="396">
        <f t="shared" si="280"/>
        <v>0</v>
      </c>
      <c r="K400" s="396">
        <f t="shared" si="280"/>
        <v>0</v>
      </c>
      <c r="L400" s="396">
        <f t="shared" si="280"/>
        <v>0</v>
      </c>
      <c r="M400" s="396">
        <f t="shared" si="280"/>
        <v>0</v>
      </c>
      <c r="N400" s="396">
        <f t="shared" si="280"/>
        <v>0</v>
      </c>
      <c r="O400" s="396">
        <f t="shared" si="280"/>
        <v>0</v>
      </c>
      <c r="P400" s="396">
        <f t="shared" si="280"/>
        <v>0</v>
      </c>
      <c r="Q400" s="396">
        <f t="shared" si="280"/>
        <v>0</v>
      </c>
      <c r="R400" s="957"/>
      <c r="S400" s="396">
        <f>SUM(F400:Q400)</f>
        <v>0</v>
      </c>
      <c r="T400" s="674"/>
      <c r="U400" s="674"/>
      <c r="V400" s="729"/>
      <c r="W400" s="729"/>
      <c r="X400" s="729"/>
      <c r="Y400" s="729"/>
      <c r="Z400" s="729"/>
      <c r="AA400" s="729"/>
      <c r="AB400" s="729"/>
      <c r="AC400" s="729"/>
      <c r="AD400" s="729"/>
      <c r="AE400" s="729"/>
      <c r="AF400" s="729"/>
      <c r="AG400" s="729"/>
      <c r="AH400" s="729"/>
      <c r="AI400" s="729"/>
      <c r="AJ400" s="729"/>
    </row>
    <row r="401" spans="1:36">
      <c r="A401" s="674"/>
      <c r="B401" s="248" t="s">
        <v>608</v>
      </c>
      <c r="C401" s="249"/>
      <c r="D401" s="249"/>
      <c r="E401" s="97"/>
      <c r="F401" s="401">
        <f t="shared" ref="F401:L401" si="281">F176/F6</f>
        <v>0</v>
      </c>
      <c r="G401" s="401">
        <f t="shared" si="281"/>
        <v>0</v>
      </c>
      <c r="H401" s="401">
        <f t="shared" si="281"/>
        <v>0</v>
      </c>
      <c r="I401" s="401">
        <f t="shared" si="281"/>
        <v>-179785.59376693767</v>
      </c>
      <c r="J401" s="401">
        <f t="shared" si="281"/>
        <v>179594.2108401084</v>
      </c>
      <c r="K401" s="401">
        <f t="shared" si="281"/>
        <v>0</v>
      </c>
      <c r="L401" s="401">
        <f t="shared" si="281"/>
        <v>0</v>
      </c>
      <c r="M401" s="97"/>
      <c r="N401" s="97"/>
      <c r="O401" s="97"/>
      <c r="P401" s="97"/>
      <c r="Q401" s="97"/>
      <c r="R401" s="957"/>
      <c r="S401" s="401">
        <f>SUM(F401:Q401)</f>
        <v>-191.38292682927568</v>
      </c>
      <c r="T401" s="674"/>
      <c r="U401" s="674"/>
      <c r="V401" s="729"/>
      <c r="W401" s="729"/>
      <c r="X401" s="729"/>
      <c r="Y401" s="729"/>
      <c r="Z401" s="729"/>
      <c r="AA401" s="729"/>
      <c r="AB401" s="729"/>
      <c r="AC401" s="729"/>
      <c r="AD401" s="729"/>
      <c r="AE401" s="729"/>
      <c r="AF401" s="729"/>
      <c r="AG401" s="729"/>
      <c r="AH401" s="729"/>
      <c r="AI401" s="729"/>
      <c r="AJ401" s="729"/>
    </row>
    <row r="402" spans="1:36">
      <c r="A402" s="674"/>
      <c r="B402" s="184"/>
      <c r="C402" s="215"/>
      <c r="D402" s="215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57"/>
      <c r="S402" s="91"/>
      <c r="T402" s="674"/>
      <c r="U402" s="674"/>
      <c r="V402" s="729"/>
      <c r="W402" s="729"/>
      <c r="X402" s="729"/>
      <c r="Y402" s="729"/>
      <c r="Z402" s="729"/>
      <c r="AA402" s="729"/>
      <c r="AB402" s="729"/>
      <c r="AC402" s="729"/>
      <c r="AD402" s="729"/>
      <c r="AE402" s="729"/>
      <c r="AF402" s="729"/>
      <c r="AG402" s="729"/>
      <c r="AH402" s="729"/>
      <c r="AI402" s="729"/>
      <c r="AJ402" s="729"/>
    </row>
    <row r="403" spans="1:36">
      <c r="A403" s="674"/>
      <c r="B403" s="184" t="s">
        <v>609</v>
      </c>
      <c r="C403" s="215"/>
      <c r="D403" s="215"/>
      <c r="E403" s="212">
        <f t="shared" ref="E403:Q403" si="282">E178/E6</f>
        <v>0</v>
      </c>
      <c r="F403" s="212">
        <f t="shared" si="282"/>
        <v>62726.0162601626</v>
      </c>
      <c r="G403" s="212">
        <f t="shared" si="282"/>
        <v>115337.29701897019</v>
      </c>
      <c r="H403" s="212">
        <f t="shared" si="282"/>
        <v>32602.043089430896</v>
      </c>
      <c r="I403" s="212">
        <f t="shared" si="282"/>
        <v>73032.171002710034</v>
      </c>
      <c r="J403" s="212">
        <f t="shared" si="282"/>
        <v>96953.16016260162</v>
      </c>
      <c r="K403" s="212">
        <f t="shared" si="282"/>
        <v>66347.518970189703</v>
      </c>
      <c r="L403" s="212">
        <f t="shared" si="282"/>
        <v>31284.921951219512</v>
      </c>
      <c r="M403" s="212">
        <f t="shared" si="282"/>
        <v>47226.809214092144</v>
      </c>
      <c r="N403" s="212">
        <f t="shared" si="282"/>
        <v>-438481.11819987529</v>
      </c>
      <c r="O403" s="212">
        <f t="shared" si="282"/>
        <v>-353517.31103247526</v>
      </c>
      <c r="P403" s="212">
        <f t="shared" si="282"/>
        <v>-252444.94105457491</v>
      </c>
      <c r="Q403" s="212">
        <f t="shared" si="282"/>
        <v>-135108.72695916405</v>
      </c>
      <c r="R403" s="957"/>
      <c r="S403" s="212">
        <f>F403</f>
        <v>62726.0162601626</v>
      </c>
      <c r="T403" s="674"/>
      <c r="U403" s="674"/>
      <c r="V403" s="729"/>
      <c r="W403" s="729"/>
      <c r="X403" s="729"/>
      <c r="Y403" s="729"/>
      <c r="Z403" s="729"/>
      <c r="AA403" s="729"/>
      <c r="AB403" s="729"/>
      <c r="AC403" s="729"/>
      <c r="AD403" s="729"/>
      <c r="AE403" s="729"/>
      <c r="AF403" s="729"/>
      <c r="AG403" s="729"/>
      <c r="AH403" s="729"/>
      <c r="AI403" s="729"/>
      <c r="AJ403" s="729"/>
    </row>
    <row r="404" spans="1:36">
      <c r="A404" s="674"/>
      <c r="B404" s="184" t="s">
        <v>610</v>
      </c>
      <c r="C404" s="215"/>
      <c r="D404" s="215"/>
      <c r="E404" s="212">
        <f t="shared" ref="E404:Q404" si="283">E179/E6</f>
        <v>0</v>
      </c>
      <c r="F404" s="212">
        <f t="shared" si="283"/>
        <v>62163.461788617889</v>
      </c>
      <c r="G404" s="212">
        <f t="shared" si="283"/>
        <v>-72727.778861788611</v>
      </c>
      <c r="H404" s="212">
        <f t="shared" si="283"/>
        <v>20259.29105691057</v>
      </c>
      <c r="I404" s="212">
        <f t="shared" si="283"/>
        <v>-1022654.1571815718</v>
      </c>
      <c r="J404" s="212">
        <f t="shared" si="283"/>
        <v>-30605.641192411924</v>
      </c>
      <c r="K404" s="212">
        <f t="shared" si="283"/>
        <v>-35062.597018970191</v>
      </c>
      <c r="L404" s="212">
        <f t="shared" si="283"/>
        <v>13165.469530261969</v>
      </c>
      <c r="M404" s="212">
        <f t="shared" si="283"/>
        <v>-485707.92741396744</v>
      </c>
      <c r="N404" s="212">
        <f t="shared" si="283"/>
        <v>84963.807167400038</v>
      </c>
      <c r="O404" s="212">
        <f t="shared" si="283"/>
        <v>101072.36997790034</v>
      </c>
      <c r="P404" s="212">
        <f t="shared" si="283"/>
        <v>117336.21409541086</v>
      </c>
      <c r="Q404" s="212">
        <f t="shared" si="283"/>
        <v>130328.01088206892</v>
      </c>
      <c r="R404" s="957"/>
      <c r="S404" s="212">
        <f>SUM(F404:Q404)</f>
        <v>-1117469.4771701393</v>
      </c>
      <c r="T404" s="674"/>
      <c r="U404" s="674"/>
      <c r="V404" s="729"/>
      <c r="W404" s="729"/>
      <c r="X404" s="729"/>
      <c r="Y404" s="729"/>
      <c r="Z404" s="729"/>
      <c r="AA404" s="729"/>
      <c r="AB404" s="729"/>
      <c r="AC404" s="729"/>
      <c r="AD404" s="729"/>
      <c r="AE404" s="729"/>
      <c r="AF404" s="729"/>
      <c r="AG404" s="729"/>
      <c r="AH404" s="729"/>
      <c r="AI404" s="729"/>
      <c r="AJ404" s="729"/>
    </row>
    <row r="405" spans="1:36">
      <c r="A405" s="674"/>
      <c r="B405" s="229" t="s">
        <v>611</v>
      </c>
      <c r="C405" s="230"/>
      <c r="D405" s="230"/>
      <c r="E405" s="231">
        <f t="shared" ref="E405:Q405" si="284">E180/E6</f>
        <v>62726.0162601626</v>
      </c>
      <c r="F405" s="231">
        <f t="shared" si="284"/>
        <v>124889.47804878048</v>
      </c>
      <c r="G405" s="231">
        <f t="shared" si="284"/>
        <v>42609.51815718157</v>
      </c>
      <c r="H405" s="231">
        <f t="shared" si="284"/>
        <v>52861.334146341462</v>
      </c>
      <c r="I405" s="231">
        <f t="shared" si="284"/>
        <v>-949621.98617886181</v>
      </c>
      <c r="J405" s="231">
        <f t="shared" si="284"/>
        <v>66347.518970189703</v>
      </c>
      <c r="K405" s="231">
        <f t="shared" si="284"/>
        <v>31284.921951219512</v>
      </c>
      <c r="L405" s="231">
        <f t="shared" si="284"/>
        <v>44450.391481481478</v>
      </c>
      <c r="M405" s="231">
        <f t="shared" si="284"/>
        <v>-438481.11819987529</v>
      </c>
      <c r="N405" s="231">
        <f t="shared" si="284"/>
        <v>-353517.31103247526</v>
      </c>
      <c r="O405" s="231">
        <f t="shared" si="284"/>
        <v>-252444.94105457491</v>
      </c>
      <c r="P405" s="231">
        <f t="shared" si="284"/>
        <v>-135108.72695916405</v>
      </c>
      <c r="Q405" s="231">
        <f t="shared" si="284"/>
        <v>-4780.716077095125</v>
      </c>
      <c r="R405" s="957"/>
      <c r="S405" s="231">
        <f>Q405</f>
        <v>-4780.716077095125</v>
      </c>
      <c r="T405" s="674"/>
      <c r="U405" s="674"/>
      <c r="V405" s="729"/>
      <c r="W405" s="729"/>
      <c r="X405" s="729"/>
      <c r="Y405" s="729"/>
      <c r="Z405" s="729"/>
      <c r="AA405" s="729"/>
      <c r="AB405" s="729"/>
      <c r="AC405" s="729"/>
      <c r="AD405" s="729"/>
      <c r="AE405" s="729"/>
      <c r="AF405" s="729"/>
      <c r="AG405" s="729"/>
      <c r="AH405" s="729"/>
      <c r="AI405" s="729"/>
      <c r="AJ405" s="729"/>
    </row>
    <row r="406" spans="1:36" ht="15" thickBot="1">
      <c r="A406" s="674"/>
      <c r="B406" s="184"/>
      <c r="C406" s="215"/>
      <c r="D406" s="215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57"/>
      <c r="S406" s="91"/>
      <c r="T406" s="674"/>
      <c r="U406" s="674"/>
      <c r="V406" s="729"/>
      <c r="W406" s="729"/>
      <c r="X406" s="729"/>
      <c r="Y406" s="729"/>
      <c r="Z406" s="729"/>
      <c r="AA406" s="729"/>
      <c r="AB406" s="729"/>
      <c r="AC406" s="729"/>
      <c r="AD406" s="729"/>
      <c r="AE406" s="729"/>
      <c r="AF406" s="729"/>
      <c r="AG406" s="729"/>
      <c r="AH406" s="729"/>
      <c r="AI406" s="729"/>
      <c r="AJ406" s="729"/>
    </row>
    <row r="407" spans="1:36">
      <c r="A407" s="682"/>
      <c r="B407" s="551" t="s">
        <v>612</v>
      </c>
      <c r="C407" s="552"/>
      <c r="D407" s="552"/>
      <c r="E407" s="564"/>
      <c r="F407" s="564"/>
      <c r="G407" s="564"/>
      <c r="H407" s="564"/>
      <c r="I407" s="564"/>
      <c r="J407" s="564"/>
      <c r="K407" s="564"/>
      <c r="L407" s="564"/>
      <c r="M407" s="564"/>
      <c r="N407" s="564"/>
      <c r="O407" s="564"/>
      <c r="P407" s="564"/>
      <c r="Q407" s="564"/>
      <c r="R407" s="553"/>
      <c r="S407" s="564"/>
      <c r="T407" s="682"/>
      <c r="U407" s="682"/>
      <c r="V407" s="729"/>
      <c r="W407" s="729"/>
      <c r="X407" s="729"/>
      <c r="Y407" s="729"/>
      <c r="Z407" s="729"/>
      <c r="AA407" s="729"/>
      <c r="AB407" s="729"/>
      <c r="AC407" s="729"/>
      <c r="AD407" s="729"/>
      <c r="AE407" s="729"/>
      <c r="AF407" s="729"/>
      <c r="AG407" s="729"/>
      <c r="AH407" s="729"/>
      <c r="AI407" s="729"/>
      <c r="AJ407" s="729"/>
    </row>
    <row r="408" spans="1:36">
      <c r="A408" s="674"/>
      <c r="B408" s="184" t="s">
        <v>613</v>
      </c>
      <c r="C408" s="215"/>
      <c r="D408" s="215"/>
      <c r="E408" s="212">
        <f t="shared" ref="E408:Q408" si="285">E183/E6</f>
        <v>62726.0162601626</v>
      </c>
      <c r="F408" s="212">
        <f t="shared" si="285"/>
        <v>62726.0162601626</v>
      </c>
      <c r="G408" s="212">
        <f t="shared" si="285"/>
        <v>62726.0162601626</v>
      </c>
      <c r="H408" s="212">
        <f t="shared" si="285"/>
        <v>62726.0162601626</v>
      </c>
      <c r="I408" s="212">
        <f t="shared" si="285"/>
        <v>62726.0162601626</v>
      </c>
      <c r="J408" s="212">
        <f t="shared" si="285"/>
        <v>62726.0162601626</v>
      </c>
      <c r="K408" s="212">
        <f t="shared" si="285"/>
        <v>62726.0162601626</v>
      </c>
      <c r="L408" s="212">
        <f t="shared" si="285"/>
        <v>62726.0162601626</v>
      </c>
      <c r="M408" s="212">
        <f t="shared" si="285"/>
        <v>62726.0162601626</v>
      </c>
      <c r="N408" s="212">
        <f t="shared" si="285"/>
        <v>62726.0162601626</v>
      </c>
      <c r="O408" s="212">
        <f t="shared" si="285"/>
        <v>62726.0162601626</v>
      </c>
      <c r="P408" s="212">
        <f t="shared" si="285"/>
        <v>62726.0162601626</v>
      </c>
      <c r="Q408" s="212">
        <f t="shared" si="285"/>
        <v>62726.0162601626</v>
      </c>
      <c r="R408" s="957"/>
      <c r="S408" s="212">
        <f>Q408</f>
        <v>62726.0162601626</v>
      </c>
      <c r="T408" s="674"/>
      <c r="U408" s="674"/>
      <c r="V408" s="729"/>
      <c r="W408" s="729"/>
      <c r="X408" s="729"/>
      <c r="Y408" s="729"/>
      <c r="Z408" s="729"/>
      <c r="AA408" s="729"/>
      <c r="AB408" s="729"/>
      <c r="AC408" s="729"/>
      <c r="AD408" s="729"/>
      <c r="AE408" s="729"/>
      <c r="AF408" s="729"/>
      <c r="AG408" s="729"/>
      <c r="AH408" s="729"/>
      <c r="AI408" s="729"/>
      <c r="AJ408" s="729"/>
    </row>
    <row r="409" spans="1:36">
      <c r="A409" s="674"/>
      <c r="B409" s="184" t="s">
        <v>614</v>
      </c>
      <c r="C409" s="215"/>
      <c r="D409" s="215"/>
      <c r="E409" s="185">
        <v>300000</v>
      </c>
      <c r="F409" s="185">
        <v>300000</v>
      </c>
      <c r="G409" s="185">
        <v>300000</v>
      </c>
      <c r="H409" s="185">
        <v>300000</v>
      </c>
      <c r="I409" s="185">
        <v>300000</v>
      </c>
      <c r="J409" s="185">
        <v>300000</v>
      </c>
      <c r="K409" s="185">
        <v>300000</v>
      </c>
      <c r="L409" s="185">
        <v>300000</v>
      </c>
      <c r="M409" s="185">
        <v>300000</v>
      </c>
      <c r="N409" s="185">
        <v>300000</v>
      </c>
      <c r="O409" s="185">
        <v>300000</v>
      </c>
      <c r="P409" s="185">
        <v>300000</v>
      </c>
      <c r="Q409" s="185">
        <v>300000</v>
      </c>
      <c r="R409" s="957"/>
      <c r="S409" s="212">
        <f>Q409</f>
        <v>300000</v>
      </c>
      <c r="T409" s="674"/>
      <c r="U409" s="674"/>
      <c r="V409" s="729"/>
      <c r="W409" s="729"/>
      <c r="X409" s="729"/>
      <c r="Y409" s="729"/>
      <c r="Z409" s="729"/>
      <c r="AA409" s="729"/>
      <c r="AB409" s="729"/>
      <c r="AC409" s="729"/>
      <c r="AD409" s="729"/>
      <c r="AE409" s="729"/>
      <c r="AF409" s="729"/>
      <c r="AG409" s="729"/>
      <c r="AH409" s="729"/>
      <c r="AI409" s="729"/>
      <c r="AJ409" s="729"/>
    </row>
    <row r="410" spans="1:36">
      <c r="A410" s="679"/>
      <c r="B410" s="545" t="s">
        <v>615</v>
      </c>
      <c r="C410" s="546"/>
      <c r="D410" s="546"/>
      <c r="E410" s="549">
        <f t="shared" ref="E410:Q410" si="286">E408+E409</f>
        <v>362726.01626016258</v>
      </c>
      <c r="F410" s="549">
        <f t="shared" si="286"/>
        <v>362726.01626016258</v>
      </c>
      <c r="G410" s="549">
        <f t="shared" si="286"/>
        <v>362726.01626016258</v>
      </c>
      <c r="H410" s="549">
        <f t="shared" si="286"/>
        <v>362726.01626016258</v>
      </c>
      <c r="I410" s="549">
        <f t="shared" si="286"/>
        <v>362726.01626016258</v>
      </c>
      <c r="J410" s="549">
        <f t="shared" si="286"/>
        <v>362726.01626016258</v>
      </c>
      <c r="K410" s="549">
        <f t="shared" si="286"/>
        <v>362726.01626016258</v>
      </c>
      <c r="L410" s="549">
        <f t="shared" si="286"/>
        <v>362726.01626016258</v>
      </c>
      <c r="M410" s="549">
        <f t="shared" si="286"/>
        <v>362726.01626016258</v>
      </c>
      <c r="N410" s="549">
        <f t="shared" si="286"/>
        <v>362726.01626016258</v>
      </c>
      <c r="O410" s="549">
        <f t="shared" si="286"/>
        <v>362726.01626016258</v>
      </c>
      <c r="P410" s="549">
        <f t="shared" si="286"/>
        <v>362726.01626016258</v>
      </c>
      <c r="Q410" s="549">
        <f t="shared" si="286"/>
        <v>362726.01626016258</v>
      </c>
      <c r="R410" s="991"/>
      <c r="S410" s="549">
        <f>S408+S409</f>
        <v>362726.01626016258</v>
      </c>
      <c r="T410" s="679"/>
      <c r="U410" s="679"/>
      <c r="V410" s="729"/>
      <c r="W410" s="729"/>
      <c r="X410" s="729"/>
      <c r="Y410" s="729"/>
      <c r="Z410" s="729"/>
      <c r="AA410" s="729"/>
      <c r="AB410" s="729"/>
      <c r="AC410" s="729"/>
      <c r="AD410" s="729"/>
      <c r="AE410" s="729"/>
      <c r="AF410" s="729"/>
      <c r="AG410" s="729"/>
      <c r="AH410" s="729"/>
      <c r="AI410" s="729"/>
      <c r="AJ410" s="729"/>
    </row>
    <row r="411" spans="1:36" ht="15" thickBot="1">
      <c r="A411" s="674"/>
      <c r="B411" s="184"/>
      <c r="C411" s="215"/>
      <c r="D411" s="215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57"/>
      <c r="S411" s="91"/>
      <c r="T411" s="674"/>
      <c r="U411" s="674"/>
      <c r="V411" s="729"/>
      <c r="W411" s="729"/>
      <c r="X411" s="729"/>
      <c r="Y411" s="729"/>
      <c r="Z411" s="729"/>
      <c r="AA411" s="729"/>
      <c r="AB411" s="729"/>
      <c r="AC411" s="729"/>
      <c r="AD411" s="729"/>
      <c r="AE411" s="729"/>
      <c r="AF411" s="729"/>
      <c r="AG411" s="729"/>
      <c r="AH411" s="729"/>
      <c r="AI411" s="729"/>
      <c r="AJ411" s="729"/>
    </row>
    <row r="412" spans="1:36">
      <c r="A412" s="682"/>
      <c r="B412" s="551" t="s">
        <v>616</v>
      </c>
      <c r="C412" s="552"/>
      <c r="D412" s="552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4"/>
      <c r="P412" s="564"/>
      <c r="Q412" s="564"/>
      <c r="R412" s="553"/>
      <c r="S412" s="564"/>
      <c r="T412" s="682"/>
      <c r="U412" s="682"/>
      <c r="V412" s="729"/>
      <c r="W412" s="729"/>
      <c r="X412" s="729"/>
      <c r="Y412" s="729"/>
      <c r="Z412" s="729"/>
      <c r="AA412" s="729"/>
      <c r="AB412" s="729"/>
      <c r="AC412" s="729"/>
      <c r="AD412" s="729"/>
      <c r="AE412" s="729"/>
      <c r="AF412" s="729"/>
      <c r="AG412" s="729"/>
      <c r="AH412" s="729"/>
      <c r="AI412" s="729"/>
      <c r="AJ412" s="729"/>
    </row>
    <row r="413" spans="1:36">
      <c r="A413" s="674"/>
      <c r="B413" s="184"/>
      <c r="C413" s="215"/>
      <c r="D413" s="215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57"/>
      <c r="S413" s="91"/>
      <c r="T413" s="674"/>
      <c r="U413" s="674"/>
      <c r="V413" s="729"/>
      <c r="W413" s="729"/>
      <c r="X413" s="729"/>
      <c r="Y413" s="729"/>
      <c r="Z413" s="729"/>
      <c r="AA413" s="729"/>
      <c r="AB413" s="729"/>
      <c r="AC413" s="729"/>
      <c r="AD413" s="729"/>
      <c r="AE413" s="729"/>
      <c r="AF413" s="729"/>
      <c r="AG413" s="729"/>
      <c r="AH413" s="729"/>
      <c r="AI413" s="729"/>
      <c r="AJ413" s="729"/>
    </row>
    <row r="414" spans="1:36">
      <c r="A414" s="674"/>
      <c r="B414" s="184" t="s">
        <v>617</v>
      </c>
      <c r="C414" s="215"/>
      <c r="D414" s="215"/>
      <c r="E414" s="98"/>
      <c r="F414" s="98" t="str">
        <f t="shared" ref="F414:Q414" si="287">F279</f>
        <v>Ene-26</v>
      </c>
      <c r="G414" s="98" t="str">
        <f t="shared" si="287"/>
        <v>Feb-26</v>
      </c>
      <c r="H414" s="98" t="str">
        <f t="shared" si="287"/>
        <v>Mar-26</v>
      </c>
      <c r="I414" s="98" t="str">
        <f t="shared" si="287"/>
        <v>Abr-26</v>
      </c>
      <c r="J414" s="98" t="str">
        <f t="shared" si="287"/>
        <v>May-26</v>
      </c>
      <c r="K414" s="98" t="str">
        <f t="shared" si="287"/>
        <v>Jun-26</v>
      </c>
      <c r="L414" s="98" t="str">
        <f t="shared" si="287"/>
        <v>Jul-26</v>
      </c>
      <c r="M414" s="98" t="str">
        <f t="shared" si="287"/>
        <v>Ago-26</v>
      </c>
      <c r="N414" s="98" t="str">
        <f t="shared" si="287"/>
        <v>Sep-26</v>
      </c>
      <c r="O414" s="98" t="str">
        <f t="shared" si="287"/>
        <v>Oct-26</v>
      </c>
      <c r="P414" s="98" t="str">
        <f t="shared" si="287"/>
        <v>Nov-26</v>
      </c>
      <c r="Q414" s="98" t="str">
        <f t="shared" si="287"/>
        <v>Dic-26</v>
      </c>
      <c r="R414" s="957"/>
      <c r="S414" s="98"/>
      <c r="T414" s="674"/>
      <c r="U414" s="674"/>
      <c r="V414" s="729"/>
      <c r="W414" s="729"/>
      <c r="X414" s="729"/>
      <c r="Y414" s="729"/>
      <c r="Z414" s="729"/>
      <c r="AA414" s="729"/>
      <c r="AB414" s="729"/>
      <c r="AC414" s="729"/>
      <c r="AD414" s="729"/>
      <c r="AE414" s="729"/>
      <c r="AF414" s="729"/>
      <c r="AG414" s="729"/>
      <c r="AH414" s="729"/>
      <c r="AI414" s="729"/>
      <c r="AJ414" s="729"/>
    </row>
    <row r="415" spans="1:36">
      <c r="A415" s="674"/>
      <c r="B415" s="184"/>
      <c r="C415" s="215"/>
      <c r="D415" s="215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57"/>
      <c r="S415" s="91"/>
      <c r="T415" s="674"/>
      <c r="U415" s="674"/>
      <c r="V415" s="729"/>
      <c r="W415" s="729"/>
      <c r="X415" s="729"/>
      <c r="Y415" s="729"/>
      <c r="Z415" s="729"/>
      <c r="AA415" s="729"/>
      <c r="AB415" s="729"/>
      <c r="AC415" s="729"/>
      <c r="AD415" s="729"/>
      <c r="AE415" s="729"/>
      <c r="AF415" s="729"/>
      <c r="AG415" s="729"/>
      <c r="AH415" s="729"/>
      <c r="AI415" s="729"/>
      <c r="AJ415" s="729"/>
    </row>
    <row r="416" spans="1:36">
      <c r="A416" s="682"/>
      <c r="B416" s="497" t="s">
        <v>618</v>
      </c>
      <c r="C416" s="553"/>
      <c r="D416" s="553"/>
      <c r="E416" s="563"/>
      <c r="F416" s="563"/>
      <c r="G416" s="563"/>
      <c r="H416" s="563"/>
      <c r="I416" s="563"/>
      <c r="J416" s="563"/>
      <c r="K416" s="563"/>
      <c r="L416" s="563"/>
      <c r="M416" s="563"/>
      <c r="N416" s="563"/>
      <c r="O416" s="563"/>
      <c r="P416" s="563"/>
      <c r="Q416" s="563"/>
      <c r="R416" s="553"/>
      <c r="S416" s="563"/>
      <c r="T416" s="682"/>
      <c r="U416" s="682"/>
      <c r="V416" s="729"/>
      <c r="W416" s="729"/>
      <c r="X416" s="729"/>
      <c r="Y416" s="729"/>
      <c r="Z416" s="729"/>
      <c r="AA416" s="729"/>
      <c r="AB416" s="729"/>
      <c r="AC416" s="729"/>
      <c r="AD416" s="729"/>
      <c r="AE416" s="729"/>
      <c r="AF416" s="729"/>
      <c r="AG416" s="729"/>
      <c r="AH416" s="729"/>
      <c r="AI416" s="729"/>
      <c r="AJ416" s="729"/>
    </row>
    <row r="417" spans="1:36">
      <c r="A417" s="674"/>
      <c r="B417" s="184" t="s">
        <v>532</v>
      </c>
      <c r="C417" s="215"/>
      <c r="D417" s="215"/>
      <c r="E417" s="91"/>
      <c r="F417" s="212">
        <f t="shared" ref="F417:Q417" si="288">F281</f>
        <v>165920.7861788618</v>
      </c>
      <c r="G417" s="212">
        <f t="shared" si="288"/>
        <v>201685.13197831978</v>
      </c>
      <c r="H417" s="212">
        <f t="shared" si="288"/>
        <v>213290.2945799458</v>
      </c>
      <c r="I417" s="212">
        <f t="shared" si="288"/>
        <v>203487.17127371274</v>
      </c>
      <c r="J417" s="212">
        <f t="shared" si="288"/>
        <v>223987.73604336043</v>
      </c>
      <c r="K417" s="212">
        <f t="shared" si="288"/>
        <v>203645.88455284553</v>
      </c>
      <c r="L417" s="212">
        <f t="shared" si="288"/>
        <v>184252.18211382115</v>
      </c>
      <c r="M417" s="212">
        <f t="shared" si="288"/>
        <v>426456.92992644216</v>
      </c>
      <c r="N417" s="212">
        <f t="shared" si="288"/>
        <v>451230.73945025163</v>
      </c>
      <c r="O417" s="212">
        <f t="shared" si="288"/>
        <v>476004.54897406121</v>
      </c>
      <c r="P417" s="212">
        <f t="shared" si="288"/>
        <v>500778.35849787074</v>
      </c>
      <c r="Q417" s="212">
        <f t="shared" si="288"/>
        <v>525552.16802168021</v>
      </c>
      <c r="R417" s="957"/>
      <c r="S417" s="91"/>
      <c r="T417" s="674"/>
      <c r="U417" s="674"/>
      <c r="V417" s="729"/>
      <c r="W417" s="729"/>
      <c r="X417" s="729"/>
      <c r="Y417" s="729"/>
      <c r="Z417" s="729"/>
      <c r="AA417" s="729"/>
      <c r="AB417" s="729"/>
      <c r="AC417" s="729"/>
      <c r="AD417" s="729"/>
      <c r="AE417" s="729"/>
      <c r="AF417" s="729"/>
      <c r="AG417" s="729"/>
      <c r="AH417" s="729"/>
      <c r="AI417" s="729"/>
      <c r="AJ417" s="729"/>
    </row>
    <row r="418" spans="1:36">
      <c r="A418" s="674"/>
      <c r="B418" s="184" t="s">
        <v>278</v>
      </c>
      <c r="C418" s="215"/>
      <c r="D418" s="215"/>
      <c r="E418" s="91"/>
      <c r="F418" s="212">
        <f t="shared" ref="F418:Q418" si="289">F289</f>
        <v>18964.596476964769</v>
      </c>
      <c r="G418" s="212">
        <f t="shared" si="289"/>
        <v>12502.447696476966</v>
      </c>
      <c r="H418" s="212">
        <f t="shared" si="289"/>
        <v>-6027.857181571816</v>
      </c>
      <c r="I418" s="212">
        <f t="shared" si="289"/>
        <v>1311.1794037940379</v>
      </c>
      <c r="J418" s="212">
        <f t="shared" si="289"/>
        <v>30625.873983739839</v>
      </c>
      <c r="K418" s="212">
        <f t="shared" si="289"/>
        <v>9478.4539295392951</v>
      </c>
      <c r="L418" s="212">
        <f t="shared" si="289"/>
        <v>7951.8596205962058</v>
      </c>
      <c r="M418" s="212">
        <f t="shared" si="289"/>
        <v>201028.93182346105</v>
      </c>
      <c r="N418" s="212">
        <f t="shared" si="289"/>
        <v>225802.74134727058</v>
      </c>
      <c r="O418" s="212">
        <f t="shared" si="289"/>
        <v>250576.5508710802</v>
      </c>
      <c r="P418" s="212">
        <f t="shared" si="289"/>
        <v>270794.65741385991</v>
      </c>
      <c r="Q418" s="212">
        <f t="shared" si="289"/>
        <v>295568.46693766938</v>
      </c>
      <c r="R418" s="957"/>
      <c r="S418" s="91"/>
      <c r="T418" s="674"/>
      <c r="U418" s="674"/>
      <c r="V418" s="729"/>
      <c r="W418" s="729"/>
      <c r="X418" s="729"/>
      <c r="Y418" s="729"/>
      <c r="Z418" s="729"/>
      <c r="AA418" s="729"/>
      <c r="AB418" s="729"/>
      <c r="AC418" s="729"/>
      <c r="AD418" s="729"/>
      <c r="AE418" s="729"/>
      <c r="AF418" s="729"/>
      <c r="AG418" s="729"/>
      <c r="AH418" s="729"/>
      <c r="AI418" s="729"/>
      <c r="AJ418" s="729"/>
    </row>
    <row r="419" spans="1:36">
      <c r="A419" s="674"/>
      <c r="B419" s="220" t="s">
        <v>619</v>
      </c>
      <c r="C419" s="221"/>
      <c r="D419" s="221"/>
      <c r="E419" s="96"/>
      <c r="F419" s="399">
        <f>IF(F417=0,0,F418/F417)</f>
        <v>0.11429909967109862</v>
      </c>
      <c r="G419" s="399">
        <f t="shared" ref="G419:Q419" si="290">IF(G417=0,0,G418/G417)</f>
        <v>6.1989932395318664E-2</v>
      </c>
      <c r="H419" s="399">
        <f t="shared" si="290"/>
        <v>-2.8261282087134281E-2</v>
      </c>
      <c r="I419" s="399">
        <f t="shared" si="290"/>
        <v>6.4435482373989888E-3</v>
      </c>
      <c r="J419" s="399">
        <f t="shared" si="290"/>
        <v>0.13673013766169395</v>
      </c>
      <c r="K419" s="399">
        <f t="shared" si="290"/>
        <v>4.6543802986009589E-2</v>
      </c>
      <c r="L419" s="399">
        <f t="shared" si="290"/>
        <v>4.3157478676067847E-2</v>
      </c>
      <c r="M419" s="399">
        <f t="shared" si="290"/>
        <v>0.47139328198544161</v>
      </c>
      <c r="N419" s="399">
        <f t="shared" si="290"/>
        <v>0.50041524569530227</v>
      </c>
      <c r="O419" s="399">
        <f t="shared" si="290"/>
        <v>0.5264162945735521</v>
      </c>
      <c r="P419" s="399">
        <f t="shared" si="290"/>
        <v>0.54074752396675563</v>
      </c>
      <c r="Q419" s="399">
        <f t="shared" si="290"/>
        <v>0.56239605679921112</v>
      </c>
      <c r="R419" s="957"/>
      <c r="S419" s="96"/>
      <c r="T419" s="674"/>
      <c r="U419" s="674"/>
      <c r="V419" s="729"/>
      <c r="W419" s="729"/>
      <c r="X419" s="729"/>
      <c r="Y419" s="729"/>
      <c r="Z419" s="729"/>
      <c r="AA419" s="729"/>
      <c r="AB419" s="729"/>
      <c r="AC419" s="729"/>
      <c r="AD419" s="729"/>
      <c r="AE419" s="729"/>
      <c r="AF419" s="729"/>
      <c r="AG419" s="729"/>
      <c r="AH419" s="729"/>
      <c r="AI419" s="729"/>
      <c r="AJ419" s="729"/>
    </row>
    <row r="420" spans="1:36">
      <c r="A420" s="674"/>
      <c r="B420" s="184"/>
      <c r="C420" s="215"/>
      <c r="D420" s="215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57"/>
      <c r="S420" s="91"/>
      <c r="T420" s="674"/>
      <c r="U420" s="674"/>
      <c r="V420" s="729"/>
      <c r="W420" s="729"/>
      <c r="X420" s="729"/>
      <c r="Y420" s="729"/>
      <c r="Z420" s="729"/>
      <c r="AA420" s="729"/>
      <c r="AB420" s="729"/>
      <c r="AC420" s="729"/>
      <c r="AD420" s="729"/>
      <c r="AE420" s="729"/>
      <c r="AF420" s="729"/>
      <c r="AG420" s="729"/>
      <c r="AH420" s="729"/>
      <c r="AI420" s="729"/>
      <c r="AJ420" s="729"/>
    </row>
    <row r="421" spans="1:36">
      <c r="A421" s="674"/>
      <c r="B421" s="184" t="s">
        <v>546</v>
      </c>
      <c r="C421" s="215"/>
      <c r="D421" s="215"/>
      <c r="E421" s="91"/>
      <c r="F421" s="212">
        <f t="shared" ref="F421:Q421" si="291">F300</f>
        <v>17204.741734417345</v>
      </c>
      <c r="G421" s="212">
        <f t="shared" si="291"/>
        <v>14647.40243902439</v>
      </c>
      <c r="H421" s="212">
        <f t="shared" si="291"/>
        <v>-10281.302710027101</v>
      </c>
      <c r="I421" s="212">
        <f t="shared" si="291"/>
        <v>191.38292682926829</v>
      </c>
      <c r="J421" s="212">
        <f t="shared" si="291"/>
        <v>29369.910027100272</v>
      </c>
      <c r="K421" s="212">
        <f t="shared" si="291"/>
        <v>9036.2195121951227</v>
      </c>
      <c r="L421" s="212">
        <f t="shared" si="291"/>
        <v>6695.6780487804881</v>
      </c>
      <c r="M421" s="212">
        <f t="shared" si="291"/>
        <v>130514.37060007955</v>
      </c>
      <c r="N421" s="212">
        <f t="shared" si="291"/>
        <v>146606.97163908265</v>
      </c>
      <c r="O421" s="212">
        <f t="shared" si="291"/>
        <v>162699.74559727707</v>
      </c>
      <c r="P421" s="212">
        <f t="shared" si="291"/>
        <v>175831.48265500669</v>
      </c>
      <c r="Q421" s="212">
        <f t="shared" si="291"/>
        <v>191924.59385365705</v>
      </c>
      <c r="R421" s="957"/>
      <c r="S421" s="91"/>
      <c r="T421" s="674"/>
      <c r="U421" s="674"/>
      <c r="V421" s="729"/>
      <c r="W421" s="729"/>
      <c r="X421" s="729"/>
      <c r="Y421" s="729"/>
      <c r="Z421" s="729"/>
      <c r="AA421" s="729"/>
      <c r="AB421" s="729"/>
      <c r="AC421" s="729"/>
      <c r="AD421" s="729"/>
      <c r="AE421" s="729"/>
      <c r="AF421" s="729"/>
      <c r="AG421" s="729"/>
      <c r="AH421" s="729"/>
      <c r="AI421" s="729"/>
      <c r="AJ421" s="729"/>
    </row>
    <row r="422" spans="1:36">
      <c r="A422" s="674"/>
      <c r="B422" s="220" t="s">
        <v>620</v>
      </c>
      <c r="C422" s="221"/>
      <c r="D422" s="221"/>
      <c r="E422" s="96"/>
      <c r="F422" s="399">
        <f>IF(F417=0,0,F421/F417)</f>
        <v>0.10369250369794365</v>
      </c>
      <c r="G422" s="399">
        <f t="shared" ref="G422:Q422" si="292">IF(G417=0,0,G421/G417)</f>
        <v>7.2625097821285692E-2</v>
      </c>
      <c r="H422" s="399">
        <f t="shared" si="292"/>
        <v>-4.8203331193644387E-2</v>
      </c>
      <c r="I422" s="399">
        <f t="shared" si="292"/>
        <v>9.4051593341890386E-4</v>
      </c>
      <c r="J422" s="399">
        <f t="shared" si="292"/>
        <v>0.13112284871442573</v>
      </c>
      <c r="K422" s="399">
        <f t="shared" si="292"/>
        <v>4.4372217646511045E-2</v>
      </c>
      <c r="L422" s="399">
        <f t="shared" si="292"/>
        <v>3.6339748989481467E-2</v>
      </c>
      <c r="M422" s="399">
        <f t="shared" si="292"/>
        <v>0.30604349804467113</v>
      </c>
      <c r="N422" s="399">
        <f t="shared" si="292"/>
        <v>0.32490466367096016</v>
      </c>
      <c r="O422" s="399">
        <f t="shared" si="292"/>
        <v>0.34180292173246229</v>
      </c>
      <c r="P422" s="399">
        <f t="shared" si="292"/>
        <v>0.35111637647926497</v>
      </c>
      <c r="Q422" s="399">
        <f t="shared" si="292"/>
        <v>0.36518657049044789</v>
      </c>
      <c r="R422" s="957"/>
      <c r="S422" s="96"/>
      <c r="T422" s="674"/>
      <c r="U422" s="674"/>
      <c r="V422" s="729"/>
      <c r="W422" s="729"/>
      <c r="X422" s="729"/>
      <c r="Y422" s="729"/>
      <c r="Z422" s="729"/>
      <c r="AA422" s="729"/>
      <c r="AB422" s="729"/>
      <c r="AC422" s="729"/>
      <c r="AD422" s="729"/>
      <c r="AE422" s="729"/>
      <c r="AF422" s="729"/>
      <c r="AG422" s="729"/>
      <c r="AH422" s="729"/>
      <c r="AI422" s="729"/>
      <c r="AJ422" s="729"/>
    </row>
    <row r="423" spans="1:36">
      <c r="A423" s="674"/>
      <c r="B423" s="184"/>
      <c r="C423" s="215"/>
      <c r="D423" s="215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57"/>
      <c r="S423" s="91"/>
      <c r="T423" s="674"/>
      <c r="U423" s="674"/>
      <c r="V423" s="729"/>
      <c r="W423" s="729"/>
      <c r="X423" s="729"/>
      <c r="Y423" s="729"/>
      <c r="Z423" s="729"/>
      <c r="AA423" s="729"/>
      <c r="AB423" s="729"/>
      <c r="AC423" s="729"/>
      <c r="AD423" s="729"/>
      <c r="AE423" s="729"/>
      <c r="AF423" s="729"/>
      <c r="AG423" s="729"/>
      <c r="AH423" s="729"/>
      <c r="AI423" s="729"/>
      <c r="AJ423" s="729"/>
    </row>
    <row r="424" spans="1:36">
      <c r="A424" s="682"/>
      <c r="B424" s="497" t="s">
        <v>621</v>
      </c>
      <c r="C424" s="553"/>
      <c r="D424" s="55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3"/>
      <c r="P424" s="563"/>
      <c r="Q424" s="563"/>
      <c r="R424" s="553"/>
      <c r="S424" s="563"/>
      <c r="T424" s="682"/>
      <c r="U424" s="682"/>
      <c r="V424" s="729"/>
      <c r="W424" s="729"/>
      <c r="X424" s="729"/>
      <c r="Y424" s="729"/>
      <c r="Z424" s="729"/>
      <c r="AA424" s="729"/>
      <c r="AB424" s="729"/>
      <c r="AC424" s="729"/>
      <c r="AD424" s="729"/>
      <c r="AE424" s="729"/>
      <c r="AF424" s="729"/>
      <c r="AG424" s="729"/>
      <c r="AH424" s="729"/>
      <c r="AI424" s="729"/>
      <c r="AJ424" s="729"/>
    </row>
    <row r="425" spans="1:36">
      <c r="A425" s="674"/>
      <c r="B425" s="184" t="s">
        <v>622</v>
      </c>
      <c r="C425" s="215"/>
      <c r="D425" s="215"/>
      <c r="E425" s="91"/>
      <c r="F425" s="212">
        <f>F393</f>
        <v>68968.856639566395</v>
      </c>
      <c r="G425" s="212">
        <f t="shared" ref="G425:Q425" si="293">G393</f>
        <v>-72447.368292682921</v>
      </c>
      <c r="H425" s="212">
        <f t="shared" si="293"/>
        <v>14069.538211382114</v>
      </c>
      <c r="I425" s="212">
        <f t="shared" si="293"/>
        <v>24315.636142728094</v>
      </c>
      <c r="J425" s="212">
        <f t="shared" si="293"/>
        <v>10656.112172538391</v>
      </c>
      <c r="K425" s="212">
        <f t="shared" si="293"/>
        <v>-28477.660280036136</v>
      </c>
      <c r="L425" s="212">
        <f t="shared" si="293"/>
        <v>15100.237009936767</v>
      </c>
      <c r="M425" s="212">
        <f t="shared" si="293"/>
        <v>-483713.32253591868</v>
      </c>
      <c r="N425" s="212">
        <f t="shared" si="293"/>
        <v>86958.412045448829</v>
      </c>
      <c r="O425" s="212">
        <f t="shared" si="293"/>
        <v>103066.97485594911</v>
      </c>
      <c r="P425" s="212">
        <f t="shared" si="293"/>
        <v>119330.81897345964</v>
      </c>
      <c r="Q425" s="212">
        <f t="shared" si="293"/>
        <v>132322.61576011771</v>
      </c>
      <c r="R425" s="957"/>
      <c r="S425" s="91"/>
      <c r="T425" s="674"/>
      <c r="U425" s="674"/>
      <c r="V425" s="729"/>
      <c r="W425" s="729"/>
      <c r="X425" s="729"/>
      <c r="Y425" s="729"/>
      <c r="Z425" s="729"/>
      <c r="AA425" s="729"/>
      <c r="AB425" s="729"/>
      <c r="AC425" s="729"/>
      <c r="AD425" s="729"/>
      <c r="AE425" s="729"/>
      <c r="AF425" s="729"/>
      <c r="AG425" s="729"/>
      <c r="AH425" s="729"/>
      <c r="AI425" s="729"/>
      <c r="AJ425" s="729"/>
    </row>
    <row r="426" spans="1:36">
      <c r="A426" s="674"/>
      <c r="B426" s="184" t="s">
        <v>623</v>
      </c>
      <c r="C426" s="215"/>
      <c r="D426" s="215"/>
      <c r="E426" s="91"/>
      <c r="F426" s="212">
        <f>F396</f>
        <v>-2135.6501355013552</v>
      </c>
      <c r="G426" s="212">
        <f t="shared" ref="G426:Q426" si="294">G396</f>
        <v>-1823.639024390244</v>
      </c>
      <c r="H426" s="212">
        <f t="shared" si="294"/>
        <v>-267.07804878048779</v>
      </c>
      <c r="I426" s="212">
        <f t="shared" si="294"/>
        <v>-870896.96107497741</v>
      </c>
      <c r="J426" s="212">
        <f t="shared" si="294"/>
        <v>853612.03931797657</v>
      </c>
      <c r="K426" s="212">
        <f t="shared" si="294"/>
        <v>-1020.6662782294491</v>
      </c>
      <c r="L426" s="212">
        <f t="shared" si="294"/>
        <v>-1994.6048780487804</v>
      </c>
      <c r="M426" s="212">
        <f t="shared" si="294"/>
        <v>-1994.6048780487804</v>
      </c>
      <c r="N426" s="212">
        <f t="shared" si="294"/>
        <v>-1994.6048780487804</v>
      </c>
      <c r="O426" s="212">
        <f t="shared" si="294"/>
        <v>-1994.6048780487804</v>
      </c>
      <c r="P426" s="212">
        <f t="shared" si="294"/>
        <v>-1994.6048780487804</v>
      </c>
      <c r="Q426" s="212">
        <f t="shared" si="294"/>
        <v>-1994.6048780487804</v>
      </c>
      <c r="R426" s="957"/>
      <c r="S426" s="91"/>
      <c r="T426" s="674"/>
      <c r="U426" s="674"/>
      <c r="V426" s="729"/>
      <c r="W426" s="729"/>
      <c r="X426" s="729"/>
      <c r="Y426" s="729"/>
      <c r="Z426" s="729"/>
      <c r="AA426" s="729"/>
      <c r="AB426" s="729"/>
      <c r="AC426" s="729"/>
      <c r="AD426" s="729"/>
      <c r="AE426" s="729"/>
      <c r="AF426" s="729"/>
      <c r="AG426" s="729"/>
      <c r="AH426" s="729"/>
      <c r="AI426" s="729"/>
      <c r="AJ426" s="729"/>
    </row>
    <row r="427" spans="1:36">
      <c r="A427" s="674"/>
      <c r="B427" s="184" t="s">
        <v>624</v>
      </c>
      <c r="C427" s="215"/>
      <c r="D427" s="215"/>
      <c r="E427" s="91"/>
      <c r="F427" s="212">
        <f>F399+F400+F401</f>
        <v>-4669.7447154471547</v>
      </c>
      <c r="G427" s="212">
        <f t="shared" ref="G427:Q427" si="295">G399+G400+G401</f>
        <v>1543.2284552845529</v>
      </c>
      <c r="H427" s="212">
        <f t="shared" si="295"/>
        <v>6456.8308943089432</v>
      </c>
      <c r="I427" s="212">
        <f t="shared" si="295"/>
        <v>-176072.8322493225</v>
      </c>
      <c r="J427" s="212">
        <f t="shared" si="295"/>
        <v>174504.77913279133</v>
      </c>
      <c r="K427" s="212">
        <f t="shared" si="295"/>
        <v>-4652.7154471544718</v>
      </c>
      <c r="L427" s="212">
        <f t="shared" si="295"/>
        <v>5764.7826558265579</v>
      </c>
      <c r="M427" s="212">
        <f t="shared" si="295"/>
        <v>710166.72981029807</v>
      </c>
      <c r="N427" s="212">
        <f t="shared" si="295"/>
        <v>0</v>
      </c>
      <c r="O427" s="212">
        <f t="shared" si="295"/>
        <v>0</v>
      </c>
      <c r="P427" s="212">
        <f t="shared" si="295"/>
        <v>0</v>
      </c>
      <c r="Q427" s="212">
        <f t="shared" si="295"/>
        <v>0</v>
      </c>
      <c r="R427" s="957"/>
      <c r="S427" s="91"/>
      <c r="T427" s="674"/>
      <c r="U427" s="674"/>
      <c r="V427" s="729"/>
      <c r="W427" s="729"/>
      <c r="X427" s="729"/>
      <c r="Y427" s="729"/>
      <c r="Z427" s="729"/>
      <c r="AA427" s="729"/>
      <c r="AB427" s="729"/>
      <c r="AC427" s="729"/>
      <c r="AD427" s="729"/>
      <c r="AE427" s="729"/>
      <c r="AF427" s="729"/>
      <c r="AG427" s="729"/>
      <c r="AH427" s="729"/>
      <c r="AI427" s="729"/>
      <c r="AJ427" s="729"/>
    </row>
    <row r="428" spans="1:36">
      <c r="A428" s="674"/>
      <c r="B428" s="184" t="s">
        <v>610</v>
      </c>
      <c r="C428" s="215"/>
      <c r="D428" s="215"/>
      <c r="E428" s="91"/>
      <c r="F428" s="212">
        <f>SUM(F425:F427)</f>
        <v>62163.461788617882</v>
      </c>
      <c r="G428" s="212">
        <f t="shared" ref="G428:Q428" si="296">SUM(G425:G427)</f>
        <v>-72727.778861788611</v>
      </c>
      <c r="H428" s="212">
        <f t="shared" si="296"/>
        <v>20259.29105691057</v>
      </c>
      <c r="I428" s="212">
        <f t="shared" si="296"/>
        <v>-1022654.1571815717</v>
      </c>
      <c r="J428" s="212">
        <f t="shared" si="296"/>
        <v>1038772.9306233063</v>
      </c>
      <c r="K428" s="212">
        <f t="shared" si="296"/>
        <v>-34151.042005420059</v>
      </c>
      <c r="L428" s="212">
        <f t="shared" si="296"/>
        <v>18870.414787714544</v>
      </c>
      <c r="M428" s="212">
        <f t="shared" si="296"/>
        <v>224458.80239633063</v>
      </c>
      <c r="N428" s="212">
        <f t="shared" si="296"/>
        <v>84963.807167400053</v>
      </c>
      <c r="O428" s="212">
        <f t="shared" si="296"/>
        <v>101072.36997790034</v>
      </c>
      <c r="P428" s="212">
        <f t="shared" si="296"/>
        <v>117336.21409541086</v>
      </c>
      <c r="Q428" s="212">
        <f t="shared" si="296"/>
        <v>130328.01088206893</v>
      </c>
      <c r="R428" s="957"/>
      <c r="S428" s="91"/>
      <c r="T428" s="674"/>
      <c r="U428" s="674"/>
      <c r="V428" s="729"/>
      <c r="W428" s="729"/>
      <c r="X428" s="729"/>
      <c r="Y428" s="729"/>
      <c r="Z428" s="729"/>
      <c r="AA428" s="729"/>
      <c r="AB428" s="729"/>
      <c r="AC428" s="729"/>
      <c r="AD428" s="729"/>
      <c r="AE428" s="729"/>
      <c r="AF428" s="729"/>
      <c r="AG428" s="729"/>
      <c r="AH428" s="729"/>
      <c r="AI428" s="729"/>
      <c r="AJ428" s="729"/>
    </row>
    <row r="429" spans="1:36">
      <c r="A429" s="674"/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957"/>
      <c r="S429" s="674"/>
      <c r="T429" s="674"/>
      <c r="U429" s="674"/>
      <c r="V429" s="729"/>
      <c r="W429" s="729"/>
      <c r="X429" s="729"/>
      <c r="Y429" s="729"/>
      <c r="Z429" s="729"/>
      <c r="AA429" s="729"/>
      <c r="AB429" s="729"/>
      <c r="AC429" s="729"/>
      <c r="AD429" s="729"/>
      <c r="AE429" s="729"/>
      <c r="AF429" s="729"/>
      <c r="AG429" s="729"/>
      <c r="AH429" s="729"/>
      <c r="AI429" s="729"/>
      <c r="AJ429" s="729"/>
    </row>
    <row r="430" spans="1:36">
      <c r="A430" s="674"/>
      <c r="B430" s="674"/>
      <c r="C430" s="674"/>
      <c r="D430" s="674"/>
      <c r="E430" s="674"/>
      <c r="F430" s="674"/>
      <c r="G430" s="674"/>
      <c r="H430" s="674"/>
      <c r="I430" s="674"/>
      <c r="J430" s="674"/>
      <c r="K430" s="674"/>
      <c r="L430" s="674"/>
      <c r="M430" s="674"/>
      <c r="N430" s="674"/>
      <c r="O430" s="674"/>
      <c r="P430" s="674"/>
      <c r="Q430" s="674"/>
      <c r="R430" s="957"/>
      <c r="S430" s="674"/>
      <c r="T430" s="674"/>
      <c r="U430" s="674"/>
      <c r="V430" s="729"/>
      <c r="W430" s="729"/>
      <c r="X430" s="729"/>
      <c r="Y430" s="729"/>
      <c r="Z430" s="729"/>
      <c r="AA430" s="729"/>
      <c r="AB430" s="729"/>
      <c r="AC430" s="729"/>
      <c r="AD430" s="729"/>
      <c r="AE430" s="729"/>
      <c r="AF430" s="729"/>
      <c r="AG430" s="729"/>
      <c r="AH430" s="729"/>
      <c r="AI430" s="729"/>
      <c r="AJ430" s="729"/>
    </row>
    <row r="431" spans="1:36">
      <c r="A431" s="674"/>
      <c r="B431" s="674"/>
      <c r="C431" s="674"/>
      <c r="D431" s="674"/>
      <c r="E431" s="674"/>
      <c r="F431" s="674"/>
      <c r="G431" s="674"/>
      <c r="H431" s="674"/>
      <c r="I431" s="674"/>
      <c r="J431" s="674"/>
      <c r="K431" s="674"/>
      <c r="L431" s="674"/>
      <c r="M431" s="674"/>
      <c r="N431" s="674"/>
      <c r="O431" s="674"/>
      <c r="P431" s="674"/>
      <c r="Q431" s="674"/>
      <c r="R431" s="957"/>
      <c r="S431" s="674"/>
      <c r="T431" s="674"/>
      <c r="U431" s="674"/>
      <c r="V431" s="729"/>
      <c r="W431" s="729"/>
      <c r="X431" s="729"/>
      <c r="Y431" s="729"/>
      <c r="Z431" s="729"/>
      <c r="AA431" s="729"/>
      <c r="AB431" s="729"/>
      <c r="AC431" s="729"/>
      <c r="AD431" s="729"/>
      <c r="AE431" s="729"/>
      <c r="AF431" s="729"/>
      <c r="AG431" s="729"/>
      <c r="AH431" s="729"/>
      <c r="AI431" s="729"/>
      <c r="AJ431" s="729"/>
    </row>
    <row r="432" spans="1:36">
      <c r="A432" s="674"/>
      <c r="B432" s="674"/>
      <c r="C432" s="674"/>
      <c r="D432" s="674"/>
      <c r="E432" s="674"/>
      <c r="F432" s="674"/>
      <c r="G432" s="674"/>
      <c r="H432" s="674"/>
      <c r="I432" s="674"/>
      <c r="J432" s="674"/>
      <c r="K432" s="674"/>
      <c r="L432" s="674"/>
      <c r="M432" s="674"/>
      <c r="N432" s="674"/>
      <c r="O432" s="674"/>
      <c r="P432" s="674"/>
      <c r="Q432" s="674"/>
      <c r="R432" s="957"/>
      <c r="S432" s="674"/>
      <c r="T432" s="674"/>
      <c r="U432" s="674"/>
      <c r="V432" s="729"/>
      <c r="W432" s="729"/>
      <c r="X432" s="729"/>
      <c r="Y432" s="729"/>
      <c r="Z432" s="729"/>
      <c r="AA432" s="729"/>
      <c r="AB432" s="729"/>
      <c r="AC432" s="729"/>
      <c r="AD432" s="729"/>
      <c r="AE432" s="729"/>
      <c r="AF432" s="729"/>
      <c r="AG432" s="729"/>
      <c r="AH432" s="729"/>
      <c r="AI432" s="729"/>
      <c r="AJ432" s="729"/>
    </row>
    <row r="433" spans="1:36">
      <c r="A433" s="682"/>
      <c r="B433" s="993" t="s">
        <v>625</v>
      </c>
      <c r="C433" s="682"/>
      <c r="D433" s="682"/>
      <c r="E433" s="682"/>
      <c r="F433" s="682"/>
      <c r="G433" s="682"/>
      <c r="H433" s="682"/>
      <c r="I433" s="682"/>
      <c r="J433" s="682"/>
      <c r="K433" s="682"/>
      <c r="L433" s="682"/>
      <c r="M433" s="682"/>
      <c r="N433" s="682"/>
      <c r="O433" s="682"/>
      <c r="P433" s="682"/>
      <c r="Q433" s="682"/>
      <c r="R433" s="553"/>
      <c r="S433" s="682"/>
      <c r="T433" s="682"/>
      <c r="U433" s="682"/>
      <c r="V433" s="729"/>
      <c r="W433" s="729"/>
      <c r="X433" s="729"/>
      <c r="Y433" s="729"/>
      <c r="Z433" s="729"/>
      <c r="AA433" s="729"/>
      <c r="AB433" s="729"/>
      <c r="AC433" s="729"/>
      <c r="AD433" s="729"/>
      <c r="AE433" s="729"/>
      <c r="AF433" s="729"/>
      <c r="AG433" s="729"/>
      <c r="AH433" s="729"/>
      <c r="AI433" s="729"/>
      <c r="AJ433" s="729"/>
    </row>
    <row r="434" spans="1:36" ht="30" customHeight="1">
      <c r="A434" s="467"/>
      <c r="B434" s="461" t="s">
        <v>371</v>
      </c>
      <c r="C434" s="461"/>
      <c r="D434" s="461"/>
      <c r="E434" s="461" t="s">
        <v>475</v>
      </c>
      <c r="F434" s="461" t="s">
        <v>476</v>
      </c>
      <c r="G434" s="461" t="s">
        <v>477</v>
      </c>
      <c r="H434" s="461" t="s">
        <v>626</v>
      </c>
      <c r="I434" s="461" t="s">
        <v>627</v>
      </c>
      <c r="J434" s="461" t="s">
        <v>628</v>
      </c>
      <c r="K434" s="461" t="s">
        <v>629</v>
      </c>
      <c r="L434" s="461"/>
      <c r="M434" s="461"/>
      <c r="N434" s="461"/>
      <c r="O434" s="461"/>
      <c r="P434" s="461"/>
      <c r="Q434" s="461"/>
      <c r="R434" s="461"/>
      <c r="S434" s="461"/>
      <c r="T434" s="461"/>
      <c r="U434" s="461"/>
      <c r="V434" s="729"/>
      <c r="W434" s="729"/>
      <c r="X434" s="729"/>
      <c r="Y434" s="729"/>
      <c r="Z434" s="729"/>
      <c r="AA434" s="729"/>
      <c r="AB434" s="729"/>
      <c r="AC434" s="729"/>
      <c r="AD434" s="729"/>
      <c r="AE434" s="729"/>
      <c r="AF434" s="729"/>
      <c r="AG434" s="729"/>
      <c r="AH434" s="729"/>
      <c r="AI434" s="729"/>
      <c r="AJ434" s="729"/>
    </row>
    <row r="435" spans="1:36">
      <c r="A435" s="674"/>
      <c r="B435" s="709" t="s">
        <v>209</v>
      </c>
      <c r="C435" s="1025"/>
      <c r="D435" s="1025"/>
      <c r="E435" s="1026">
        <f>F168/1000000</f>
        <v>254.495081</v>
      </c>
      <c r="F435" s="1026">
        <f>F171/1000000</f>
        <v>-7.8805490000000002</v>
      </c>
      <c r="G435" s="1026">
        <f>(F174+F175+F176)/1000000</f>
        <v>-17.231358</v>
      </c>
      <c r="H435" s="1026">
        <f>F179/1000000</f>
        <v>229.383174</v>
      </c>
      <c r="I435" s="143">
        <f>F180/1000000</f>
        <v>460.842174</v>
      </c>
      <c r="J435" s="143">
        <f>F184/1000000</f>
        <v>229.383174</v>
      </c>
      <c r="K435" s="143">
        <f>F185/1000000</f>
        <v>0</v>
      </c>
      <c r="L435" s="674"/>
      <c r="M435" s="674"/>
      <c r="N435" s="674"/>
      <c r="O435" s="674"/>
      <c r="P435" s="674"/>
      <c r="Q435" s="674"/>
      <c r="R435" s="957"/>
      <c r="S435" s="674"/>
      <c r="T435" s="674"/>
      <c r="U435" s="674"/>
      <c r="V435" s="729"/>
      <c r="W435" s="729"/>
      <c r="X435" s="729"/>
      <c r="Y435" s="729"/>
      <c r="Z435" s="729"/>
      <c r="AA435" s="729"/>
      <c r="AB435" s="729"/>
      <c r="AC435" s="729"/>
      <c r="AD435" s="729"/>
      <c r="AE435" s="729"/>
      <c r="AF435" s="729"/>
      <c r="AG435" s="729"/>
      <c r="AH435" s="729"/>
      <c r="AI435" s="729"/>
      <c r="AJ435" s="729"/>
    </row>
    <row r="436" spans="1:36">
      <c r="A436" s="674"/>
      <c r="B436" s="709" t="s">
        <v>324</v>
      </c>
      <c r="C436" s="1025"/>
      <c r="D436" s="1025"/>
      <c r="E436" s="1026">
        <f>G168/1000000</f>
        <v>-267.33078899999998</v>
      </c>
      <c r="F436" s="1026">
        <f>G171/1000000</f>
        <v>-6.729228</v>
      </c>
      <c r="G436" s="1026">
        <f>(G174+G175+G176)/1000000</f>
        <v>5.6945129999999997</v>
      </c>
      <c r="H436" s="1026">
        <f>G179/1000000</f>
        <v>-268.36550399999999</v>
      </c>
      <c r="I436" s="143">
        <f>G180/1000000</f>
        <v>157.22912199999999</v>
      </c>
      <c r="J436" s="143">
        <f>G184/1000000</f>
        <v>0</v>
      </c>
      <c r="K436" s="143">
        <f>G185/1000000</f>
        <v>74.229877999999999</v>
      </c>
      <c r="L436" s="674"/>
      <c r="M436" s="674"/>
      <c r="N436" s="674"/>
      <c r="O436" s="674"/>
      <c r="P436" s="674"/>
      <c r="Q436" s="674"/>
      <c r="R436" s="957"/>
      <c r="S436" s="674"/>
      <c r="T436" s="674"/>
      <c r="U436" s="674"/>
      <c r="V436" s="729"/>
      <c r="W436" s="729"/>
      <c r="X436" s="729"/>
      <c r="Y436" s="729"/>
      <c r="Z436" s="729"/>
      <c r="AA436" s="729"/>
      <c r="AB436" s="729"/>
      <c r="AC436" s="729"/>
      <c r="AD436" s="729"/>
      <c r="AE436" s="729"/>
      <c r="AF436" s="729"/>
      <c r="AG436" s="729"/>
      <c r="AH436" s="729"/>
      <c r="AI436" s="729"/>
      <c r="AJ436" s="729"/>
    </row>
    <row r="437" spans="1:36">
      <c r="A437" s="674"/>
      <c r="B437" s="709" t="s">
        <v>325</v>
      </c>
      <c r="C437" s="1025"/>
      <c r="D437" s="1025"/>
      <c r="E437" s="1026">
        <f>H168/1000000</f>
        <v>51.916595999999998</v>
      </c>
      <c r="F437" s="1026">
        <f>H171/1000000</f>
        <v>-0.98551800000000001</v>
      </c>
      <c r="G437" s="1026">
        <f>(H174+H175+H176)/1000000</f>
        <v>23.825706</v>
      </c>
      <c r="H437" s="1026">
        <f>H179/1000000</f>
        <v>74.756783999999996</v>
      </c>
      <c r="I437" s="143">
        <f>H180/1000000</f>
        <v>195.058323</v>
      </c>
      <c r="J437" s="143">
        <f>H184/1000000</f>
        <v>0</v>
      </c>
      <c r="K437" s="143">
        <f>H185/1000000</f>
        <v>36.400677000000002</v>
      </c>
      <c r="L437" s="674"/>
      <c r="M437" s="674"/>
      <c r="N437" s="674"/>
      <c r="O437" s="674"/>
      <c r="P437" s="674"/>
      <c r="Q437" s="674"/>
      <c r="R437" s="957"/>
      <c r="S437" s="674"/>
      <c r="T437" s="674"/>
      <c r="U437" s="674"/>
      <c r="V437" s="729"/>
      <c r="W437" s="729"/>
      <c r="X437" s="729"/>
      <c r="Y437" s="729"/>
      <c r="Z437" s="729"/>
      <c r="AA437" s="729"/>
      <c r="AB437" s="729"/>
      <c r="AC437" s="729"/>
      <c r="AD437" s="729"/>
      <c r="AE437" s="729"/>
      <c r="AF437" s="729"/>
      <c r="AG437" s="729"/>
      <c r="AH437" s="729"/>
      <c r="AI437" s="729"/>
      <c r="AJ437" s="729"/>
    </row>
    <row r="438" spans="1:36">
      <c r="A438" s="674"/>
      <c r="B438" s="709" t="s">
        <v>326</v>
      </c>
      <c r="C438" s="1025"/>
      <c r="D438" s="1025"/>
      <c r="E438" s="1026">
        <f>I168/1000000</f>
        <v>89.724697366666661</v>
      </c>
      <c r="F438" s="1026">
        <f>I171/1000000</f>
        <v>-3213.6097863666669</v>
      </c>
      <c r="G438" s="1026">
        <f>(I174+I175+I176)/1000000</f>
        <v>-649.70875100000001</v>
      </c>
      <c r="H438" s="1026">
        <f>I179/1000000</f>
        <v>-3773.59384</v>
      </c>
      <c r="I438" s="143">
        <f>I180/1000000</f>
        <v>-3504.105129</v>
      </c>
      <c r="J438" s="143">
        <f>I184/1000000</f>
        <v>0</v>
      </c>
      <c r="K438" s="143">
        <f>I185/1000000</f>
        <v>3735.5641289999999</v>
      </c>
      <c r="L438" s="674"/>
      <c r="M438" s="674"/>
      <c r="N438" s="674"/>
      <c r="O438" s="674"/>
      <c r="P438" s="674"/>
      <c r="Q438" s="674"/>
      <c r="R438" s="957"/>
      <c r="S438" s="674"/>
      <c r="T438" s="674"/>
      <c r="U438" s="674"/>
      <c r="V438" s="729"/>
      <c r="W438" s="729"/>
      <c r="X438" s="729"/>
      <c r="Y438" s="729"/>
      <c r="Z438" s="729"/>
      <c r="AA438" s="729"/>
      <c r="AB438" s="729"/>
      <c r="AC438" s="729"/>
      <c r="AD438" s="729"/>
      <c r="AE438" s="729"/>
      <c r="AF438" s="729"/>
      <c r="AG438" s="729"/>
      <c r="AH438" s="729"/>
      <c r="AI438" s="729"/>
      <c r="AJ438" s="729"/>
    </row>
    <row r="439" spans="1:36">
      <c r="A439" s="674"/>
      <c r="B439" s="709" t="s">
        <v>327</v>
      </c>
      <c r="C439" s="1025"/>
      <c r="D439" s="1025"/>
      <c r="E439" s="1026">
        <f>J168/1000000</f>
        <v>39.321053916666663</v>
      </c>
      <c r="F439" s="1026">
        <f>J171/1000000</f>
        <v>3149.8284250833335</v>
      </c>
      <c r="G439" s="1026">
        <f>(J174+J175+J176)/1000000</f>
        <v>643.92263500000001</v>
      </c>
      <c r="H439" s="1026">
        <f>J179/1000000</f>
        <v>-112.934816</v>
      </c>
      <c r="I439" s="143">
        <f>J180/1000000</f>
        <v>244.82234500000001</v>
      </c>
      <c r="J439" s="143">
        <f>J184/1000000</f>
        <v>13.363345000000001</v>
      </c>
      <c r="K439" s="143">
        <f>J185/1000000</f>
        <v>0</v>
      </c>
      <c r="L439" s="674"/>
      <c r="M439" s="674"/>
      <c r="N439" s="674"/>
      <c r="O439" s="674"/>
      <c r="P439" s="674"/>
      <c r="Q439" s="674"/>
      <c r="R439" s="957"/>
      <c r="S439" s="674"/>
      <c r="T439" s="674"/>
      <c r="U439" s="674"/>
      <c r="V439" s="729"/>
      <c r="W439" s="729"/>
      <c r="X439" s="729"/>
      <c r="Y439" s="729"/>
      <c r="Z439" s="729"/>
      <c r="AA439" s="729"/>
      <c r="AB439" s="729"/>
      <c r="AC439" s="729"/>
      <c r="AD439" s="729"/>
      <c r="AE439" s="729"/>
      <c r="AF439" s="729"/>
      <c r="AG439" s="729"/>
      <c r="AH439" s="729"/>
      <c r="AI439" s="729"/>
      <c r="AJ439" s="729"/>
    </row>
    <row r="440" spans="1:36">
      <c r="A440" s="674"/>
      <c r="B440" s="709" t="s">
        <v>328</v>
      </c>
      <c r="C440" s="1025"/>
      <c r="D440" s="1025"/>
      <c r="E440" s="1026">
        <f>K168/1000000</f>
        <v>-105.08256643333334</v>
      </c>
      <c r="F440" s="1026">
        <f>K171/1000000</f>
        <v>-3.766258566666667</v>
      </c>
      <c r="G440" s="1026">
        <f>(K174+K175+K176)/1000000</f>
        <v>-17.168520000000001</v>
      </c>
      <c r="H440" s="1026">
        <f>K179/1000000</f>
        <v>-129.38098299999999</v>
      </c>
      <c r="I440" s="143">
        <f>K180/1000000</f>
        <v>115.441362</v>
      </c>
      <c r="J440" s="143">
        <f>K184/1000000</f>
        <v>0</v>
      </c>
      <c r="K440" s="143">
        <f>K185/1000000</f>
        <v>116.01763800000001</v>
      </c>
      <c r="L440" s="674"/>
      <c r="M440" s="674"/>
      <c r="N440" s="674"/>
      <c r="O440" s="674"/>
      <c r="P440" s="674"/>
      <c r="Q440" s="674"/>
      <c r="R440" s="957"/>
      <c r="S440" s="674"/>
      <c r="T440" s="674"/>
      <c r="U440" s="674"/>
      <c r="V440" s="729"/>
      <c r="W440" s="729"/>
      <c r="X440" s="729"/>
      <c r="Y440" s="729"/>
      <c r="Z440" s="729"/>
      <c r="AA440" s="729"/>
      <c r="AB440" s="729"/>
      <c r="AC440" s="729"/>
      <c r="AD440" s="729"/>
      <c r="AE440" s="729"/>
      <c r="AF440" s="729"/>
      <c r="AG440" s="729"/>
      <c r="AH440" s="729"/>
      <c r="AI440" s="729"/>
      <c r="AJ440" s="729"/>
    </row>
    <row r="441" spans="1:36">
      <c r="A441" s="674"/>
      <c r="B441" s="709" t="s">
        <v>329</v>
      </c>
      <c r="C441" s="1025"/>
      <c r="D441" s="1025"/>
      <c r="E441" s="1026">
        <f>L168/1000000</f>
        <v>55.719874566666668</v>
      </c>
      <c r="F441" s="1026">
        <f>L171/1000000</f>
        <v>-7.3600919999999999</v>
      </c>
      <c r="G441" s="1026">
        <f>(L174+L175+L176)/1000000</f>
        <v>21.272048000000002</v>
      </c>
      <c r="H441" s="1026">
        <f>L179/1000000</f>
        <v>48.580582566666671</v>
      </c>
      <c r="I441" s="143">
        <f>L180/1000000</f>
        <v>164.02194456666666</v>
      </c>
      <c r="J441" s="143">
        <f>L184/1000000</f>
        <v>0</v>
      </c>
      <c r="K441" s="143">
        <f>L185/1000000</f>
        <v>67.437055433333342</v>
      </c>
      <c r="L441" s="674"/>
      <c r="M441" s="674"/>
      <c r="N441" s="674"/>
      <c r="O441" s="674"/>
      <c r="P441" s="674"/>
      <c r="Q441" s="674"/>
      <c r="R441" s="957"/>
      <c r="S441" s="674"/>
      <c r="T441" s="674"/>
      <c r="U441" s="674"/>
      <c r="V441" s="729"/>
      <c r="W441" s="729"/>
      <c r="X441" s="729"/>
      <c r="Y441" s="729"/>
      <c r="Z441" s="729"/>
      <c r="AA441" s="729"/>
      <c r="AB441" s="729"/>
      <c r="AC441" s="729"/>
      <c r="AD441" s="729"/>
      <c r="AE441" s="729"/>
      <c r="AF441" s="729"/>
      <c r="AG441" s="729"/>
      <c r="AH441" s="729"/>
      <c r="AI441" s="729"/>
      <c r="AJ441" s="729"/>
    </row>
    <row r="442" spans="1:36">
      <c r="A442" s="674"/>
      <c r="B442" s="709" t="s">
        <v>330</v>
      </c>
      <c r="C442" s="1025"/>
      <c r="D442" s="1025"/>
      <c r="E442" s="1026">
        <f>M168/1000000</f>
        <v>-1784.9021601575398</v>
      </c>
      <c r="F442" s="1026">
        <f>M171/1000000</f>
        <v>-7.3600919999999999</v>
      </c>
      <c r="G442" s="1026">
        <f>(M174+M175+M176)/1000000</f>
        <v>2620.5152330000001</v>
      </c>
      <c r="H442" s="1026">
        <f>M179/1000000</f>
        <v>-1792.2622521575399</v>
      </c>
      <c r="I442" s="143">
        <f>M180/1000000</f>
        <v>-1617.9953261575399</v>
      </c>
      <c r="J442" s="143">
        <f>M184/1000000</f>
        <v>0</v>
      </c>
      <c r="K442" s="143">
        <f>M185/1000000</f>
        <v>1849.4543261575398</v>
      </c>
      <c r="L442" s="674"/>
      <c r="M442" s="674"/>
      <c r="N442" s="674"/>
      <c r="O442" s="674"/>
      <c r="P442" s="674"/>
      <c r="Q442" s="674"/>
      <c r="R442" s="957"/>
      <c r="S442" s="674"/>
      <c r="T442" s="674"/>
      <c r="U442" s="674"/>
      <c r="V442" s="729"/>
      <c r="W442" s="729"/>
      <c r="X442" s="729"/>
      <c r="Y442" s="729"/>
      <c r="Z442" s="729"/>
      <c r="AA442" s="729"/>
      <c r="AB442" s="729"/>
      <c r="AC442" s="729"/>
      <c r="AD442" s="729"/>
      <c r="AE442" s="729"/>
      <c r="AF442" s="729"/>
      <c r="AG442" s="729"/>
      <c r="AH442" s="729"/>
      <c r="AI442" s="729"/>
      <c r="AJ442" s="729"/>
    </row>
    <row r="443" spans="1:36">
      <c r="A443" s="674"/>
      <c r="B443" s="709" t="s">
        <v>331</v>
      </c>
      <c r="C443" s="1025"/>
      <c r="D443" s="1025"/>
      <c r="E443" s="1026">
        <f>N168/1000000</f>
        <v>320.87654044770619</v>
      </c>
      <c r="F443" s="1026">
        <f>N171/1000000</f>
        <v>-7.3600919999999999</v>
      </c>
      <c r="G443" s="1026">
        <f>(N174+N175+N176)/1000000</f>
        <v>0</v>
      </c>
      <c r="H443" s="1026">
        <f>N179/1000000</f>
        <v>313.51644844770618</v>
      </c>
      <c r="I443" s="143">
        <f>N180/1000000</f>
        <v>-1304.4788777098336</v>
      </c>
      <c r="J443" s="143">
        <f>N184/1000000</f>
        <v>0</v>
      </c>
      <c r="K443" s="143">
        <f>N185/1000000</f>
        <v>1535.9378777098336</v>
      </c>
      <c r="L443" s="674"/>
      <c r="M443" s="674"/>
      <c r="N443" s="674"/>
      <c r="O443" s="674"/>
      <c r="P443" s="674"/>
      <c r="Q443" s="674"/>
      <c r="R443" s="957"/>
      <c r="S443" s="674"/>
      <c r="T443" s="674"/>
      <c r="U443" s="674"/>
      <c r="V443" s="729"/>
      <c r="W443" s="729"/>
      <c r="X443" s="729"/>
      <c r="Y443" s="729"/>
      <c r="Z443" s="729"/>
      <c r="AA443" s="729"/>
      <c r="AB443" s="729"/>
      <c r="AC443" s="729"/>
      <c r="AD443" s="729"/>
      <c r="AE443" s="729"/>
      <c r="AF443" s="729"/>
      <c r="AG443" s="729"/>
      <c r="AH443" s="729"/>
      <c r="AI443" s="729"/>
      <c r="AJ443" s="729"/>
    </row>
    <row r="444" spans="1:36">
      <c r="A444" s="674"/>
      <c r="B444" s="709" t="s">
        <v>332</v>
      </c>
      <c r="C444" s="1025"/>
      <c r="D444" s="1025"/>
      <c r="E444" s="1026">
        <f>O168/1000000</f>
        <v>380.31713721845222</v>
      </c>
      <c r="F444" s="1026">
        <f>O171/1000000</f>
        <v>-7.3600919999999999</v>
      </c>
      <c r="G444" s="1026">
        <f>(O174+O175+O176)/1000000</f>
        <v>0</v>
      </c>
      <c r="H444" s="1026">
        <f>O179/1000000</f>
        <v>372.95704521845221</v>
      </c>
      <c r="I444" s="143">
        <f>O180/1000000</f>
        <v>-931.52183249138136</v>
      </c>
      <c r="J444" s="143">
        <f>O184/1000000</f>
        <v>0</v>
      </c>
      <c r="K444" s="143">
        <f>O185/1000000</f>
        <v>1162.9808324913813</v>
      </c>
      <c r="L444" s="674"/>
      <c r="M444" s="674"/>
      <c r="N444" s="674"/>
      <c r="O444" s="674"/>
      <c r="P444" s="674"/>
      <c r="Q444" s="674"/>
      <c r="R444" s="957"/>
      <c r="S444" s="674"/>
      <c r="T444" s="674"/>
      <c r="U444" s="674"/>
      <c r="V444" s="729"/>
      <c r="W444" s="729"/>
      <c r="X444" s="729"/>
      <c r="Y444" s="729"/>
      <c r="Z444" s="729"/>
      <c r="AA444" s="729"/>
      <c r="AB444" s="729"/>
      <c r="AC444" s="729"/>
      <c r="AD444" s="729"/>
      <c r="AE444" s="729"/>
      <c r="AF444" s="729"/>
      <c r="AG444" s="729"/>
      <c r="AH444" s="729"/>
      <c r="AI444" s="729"/>
      <c r="AJ444" s="729"/>
    </row>
    <row r="445" spans="1:36">
      <c r="A445" s="674"/>
      <c r="B445" s="709" t="s">
        <v>333</v>
      </c>
      <c r="C445" s="1025"/>
      <c r="D445" s="1025"/>
      <c r="E445" s="1026">
        <f>P168/1000000</f>
        <v>440.33072201206608</v>
      </c>
      <c r="F445" s="1026">
        <f>P171/1000000</f>
        <v>-7.3600919999999999</v>
      </c>
      <c r="G445" s="1026">
        <f>(P174+P175+P176)/1000000</f>
        <v>0</v>
      </c>
      <c r="H445" s="1026">
        <f>P179/1000000</f>
        <v>432.97063001206607</v>
      </c>
      <c r="I445" s="143">
        <f>P180/1000000</f>
        <v>-498.55120247931535</v>
      </c>
      <c r="J445" s="143">
        <f>P184/1000000</f>
        <v>0</v>
      </c>
      <c r="K445" s="143">
        <f>P185/1000000</f>
        <v>730.01020247931524</v>
      </c>
      <c r="L445" s="674"/>
      <c r="M445" s="674"/>
      <c r="N445" s="674"/>
      <c r="O445" s="674"/>
      <c r="P445" s="674"/>
      <c r="Q445" s="674"/>
      <c r="R445" s="957"/>
      <c r="S445" s="674"/>
      <c r="T445" s="674"/>
      <c r="U445" s="674"/>
      <c r="V445" s="729"/>
      <c r="W445" s="729"/>
      <c r="X445" s="729"/>
      <c r="Y445" s="729"/>
      <c r="Z445" s="729"/>
      <c r="AA445" s="729"/>
      <c r="AB445" s="729"/>
      <c r="AC445" s="729"/>
      <c r="AD445" s="729"/>
      <c r="AE445" s="729"/>
      <c r="AF445" s="729"/>
      <c r="AG445" s="729"/>
      <c r="AH445" s="729"/>
      <c r="AI445" s="729"/>
      <c r="AJ445" s="729"/>
    </row>
    <row r="446" spans="1:36">
      <c r="A446" s="674"/>
      <c r="B446" s="1027" t="s">
        <v>334</v>
      </c>
      <c r="C446" s="1028"/>
      <c r="D446" s="1028"/>
      <c r="E446" s="1029">
        <f>Q168/1000000</f>
        <v>488.27045215483435</v>
      </c>
      <c r="F446" s="1029">
        <f>Q171/1000000</f>
        <v>-7.3600919999999999</v>
      </c>
      <c r="G446" s="1029">
        <f>(Q174+Q175+Q176)/1000000</f>
        <v>0</v>
      </c>
      <c r="H446" s="1029">
        <f>Q179/1000000</f>
        <v>480.91036015483434</v>
      </c>
      <c r="I446" s="1030">
        <f>Q180/1000000</f>
        <v>-17.64084232448101</v>
      </c>
      <c r="J446" s="1030">
        <f>Q184/1000000</f>
        <v>0</v>
      </c>
      <c r="K446" s="1030">
        <f>Q185/1000000</f>
        <v>249.09984232448102</v>
      </c>
      <c r="L446" s="674"/>
      <c r="M446" s="674"/>
      <c r="N446" s="674"/>
      <c r="O446" s="674"/>
      <c r="P446" s="674"/>
      <c r="Q446" s="674"/>
      <c r="R446" s="957"/>
      <c r="S446" s="674"/>
      <c r="T446" s="674"/>
      <c r="U446" s="674"/>
      <c r="V446" s="729"/>
      <c r="W446" s="729"/>
      <c r="X446" s="729"/>
      <c r="Y446" s="729"/>
      <c r="Z446" s="729"/>
      <c r="AA446" s="729"/>
      <c r="AB446" s="729"/>
      <c r="AC446" s="729"/>
      <c r="AD446" s="729"/>
      <c r="AE446" s="729"/>
      <c r="AF446" s="729"/>
      <c r="AG446" s="729"/>
      <c r="AH446" s="729"/>
      <c r="AI446" s="729"/>
      <c r="AJ446" s="729"/>
    </row>
    <row r="447" spans="1:36">
      <c r="A447" s="674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4"/>
      <c r="P447" s="674"/>
      <c r="Q447" s="674"/>
      <c r="R447" s="957"/>
      <c r="S447" s="674"/>
      <c r="T447" s="674"/>
      <c r="U447" s="674"/>
      <c r="V447" s="729"/>
      <c r="W447" s="729"/>
      <c r="X447" s="729"/>
      <c r="Y447" s="729"/>
      <c r="Z447" s="729"/>
      <c r="AA447" s="729"/>
      <c r="AB447" s="729"/>
      <c r="AC447" s="729"/>
      <c r="AD447" s="729"/>
      <c r="AE447" s="729"/>
      <c r="AF447" s="729"/>
      <c r="AG447" s="729"/>
      <c r="AH447" s="729"/>
      <c r="AI447" s="729"/>
      <c r="AJ447" s="729"/>
    </row>
    <row r="448" spans="1:36">
      <c r="A448" s="682"/>
      <c r="B448" s="814" t="s">
        <v>630</v>
      </c>
      <c r="C448" s="814"/>
      <c r="D448" s="814"/>
      <c r="E448" s="814"/>
      <c r="F448" s="814"/>
      <c r="G448" s="814"/>
      <c r="H448" s="814"/>
      <c r="I448" s="814"/>
      <c r="J448" s="814"/>
      <c r="K448" s="814"/>
      <c r="L448" s="814"/>
      <c r="M448" s="814"/>
      <c r="N448" s="814"/>
      <c r="O448" s="814"/>
      <c r="P448" s="814"/>
      <c r="Q448" s="814"/>
      <c r="R448" s="994"/>
      <c r="S448" s="814"/>
      <c r="T448" s="682"/>
      <c r="U448" s="682"/>
      <c r="V448" s="729"/>
      <c r="W448" s="729"/>
      <c r="X448" s="729"/>
      <c r="Y448" s="729"/>
      <c r="Z448" s="729"/>
      <c r="AA448" s="729"/>
      <c r="AB448" s="729"/>
      <c r="AC448" s="729"/>
      <c r="AD448" s="729"/>
      <c r="AE448" s="729"/>
      <c r="AF448" s="729"/>
      <c r="AG448" s="729"/>
      <c r="AH448" s="729"/>
      <c r="AI448" s="729"/>
      <c r="AJ448" s="729"/>
    </row>
    <row r="449" spans="1:36" ht="15" thickBot="1">
      <c r="A449" s="674"/>
      <c r="B449" s="136" t="s">
        <v>631</v>
      </c>
      <c r="C449" s="136"/>
      <c r="D449" s="136"/>
      <c r="E449" s="136"/>
      <c r="F449" s="99" t="s">
        <v>209</v>
      </c>
      <c r="G449" s="403">
        <v>46079</v>
      </c>
      <c r="H449" s="403">
        <v>46107</v>
      </c>
      <c r="I449" s="99" t="s">
        <v>326</v>
      </c>
      <c r="J449" s="403">
        <v>46168</v>
      </c>
      <c r="K449" s="403">
        <v>46199</v>
      </c>
      <c r="L449" s="403">
        <v>46229</v>
      </c>
      <c r="M449" s="99" t="s">
        <v>330</v>
      </c>
      <c r="N449" s="403">
        <v>46291</v>
      </c>
      <c r="O449" s="403">
        <v>46321</v>
      </c>
      <c r="P449" s="403">
        <v>46352</v>
      </c>
      <c r="Q449" s="99" t="s">
        <v>334</v>
      </c>
      <c r="R449" s="137"/>
      <c r="S449" s="136" t="s">
        <v>632</v>
      </c>
      <c r="T449" s="674"/>
      <c r="U449" s="674"/>
      <c r="V449" s="729"/>
      <c r="W449" s="729"/>
      <c r="X449" s="729"/>
      <c r="Y449" s="729"/>
      <c r="Z449" s="729"/>
      <c r="AA449" s="729"/>
      <c r="AB449" s="729"/>
      <c r="AC449" s="729"/>
      <c r="AD449" s="729"/>
      <c r="AE449" s="729"/>
      <c r="AF449" s="729"/>
      <c r="AG449" s="729"/>
      <c r="AH449" s="729"/>
      <c r="AI449" s="729"/>
      <c r="AJ449" s="729"/>
    </row>
    <row r="450" spans="1:36" ht="15" thickTop="1">
      <c r="A450" s="674"/>
      <c r="B450" s="817" t="s">
        <v>633</v>
      </c>
      <c r="C450" s="817"/>
      <c r="D450" s="817"/>
      <c r="E450" s="817"/>
      <c r="F450" s="1031">
        <f t="shared" ref="F450:Q450" si="297">F186-F183</f>
        <v>229383174</v>
      </c>
      <c r="G450" s="1031">
        <f t="shared" si="297"/>
        <v>-74229878</v>
      </c>
      <c r="H450" s="1031">
        <f t="shared" si="297"/>
        <v>-36400677</v>
      </c>
      <c r="I450" s="1031">
        <f t="shared" si="297"/>
        <v>126298161</v>
      </c>
      <c r="J450" s="1031">
        <f>J186-J183</f>
        <v>13363345</v>
      </c>
      <c r="K450" s="1031">
        <f t="shared" si="297"/>
        <v>-116017638</v>
      </c>
      <c r="L450" s="1031">
        <f t="shared" si="297"/>
        <v>-57192074</v>
      </c>
      <c r="M450" s="1031">
        <f t="shared" si="297"/>
        <v>-1849454326.1575398</v>
      </c>
      <c r="N450" s="1031">
        <f t="shared" si="297"/>
        <v>-1535937877.7098336</v>
      </c>
      <c r="O450" s="1031">
        <f t="shared" si="297"/>
        <v>-1162980832.4913814</v>
      </c>
      <c r="P450" s="1031">
        <f t="shared" si="297"/>
        <v>-730010202.47931528</v>
      </c>
      <c r="Q450" s="1031">
        <f t="shared" si="297"/>
        <v>-249099842.32448101</v>
      </c>
      <c r="R450" s="1032"/>
      <c r="S450" s="1031">
        <f>MIN(F450:Q450)</f>
        <v>-1849454326.1575398</v>
      </c>
      <c r="T450" s="674"/>
      <c r="U450" s="674"/>
      <c r="V450" s="729"/>
      <c r="W450" s="729"/>
      <c r="X450" s="729"/>
      <c r="Y450" s="729"/>
      <c r="Z450" s="729"/>
      <c r="AA450" s="729"/>
      <c r="AB450" s="729"/>
      <c r="AC450" s="729"/>
      <c r="AD450" s="729"/>
      <c r="AE450" s="729"/>
      <c r="AF450" s="729"/>
      <c r="AG450" s="729"/>
      <c r="AH450" s="729"/>
      <c r="AI450" s="729"/>
      <c r="AJ450" s="729"/>
    </row>
    <row r="451" spans="1:36">
      <c r="A451" s="674"/>
      <c r="B451" s="674" t="s">
        <v>634</v>
      </c>
      <c r="C451" s="674"/>
      <c r="D451" s="674"/>
      <c r="E451" s="674"/>
      <c r="F451" s="674" t="str">
        <f t="shared" ref="F451:Q451" si="298">IF(F186&lt;F183,"ALERTA: Caja bajo mínimo","OK")</f>
        <v>OK</v>
      </c>
      <c r="G451" s="674" t="str">
        <f t="shared" si="298"/>
        <v>ALERTA: Caja bajo mínimo</v>
      </c>
      <c r="H451" s="674" t="str">
        <f t="shared" si="298"/>
        <v>ALERTA: Caja bajo mínimo</v>
      </c>
      <c r="I451" s="674" t="str">
        <f t="shared" si="298"/>
        <v>OK</v>
      </c>
      <c r="J451" s="674" t="str">
        <f>IF(J186&lt;J183,"ALERTA: Caja bajo mínimo","OK")</f>
        <v>OK</v>
      </c>
      <c r="K451" s="674" t="str">
        <f t="shared" si="298"/>
        <v>ALERTA: Caja bajo mínimo</v>
      </c>
      <c r="L451" s="674" t="str">
        <f t="shared" si="298"/>
        <v>ALERTA: Caja bajo mínimo</v>
      </c>
      <c r="M451" s="674" t="str">
        <f t="shared" si="298"/>
        <v>ALERTA: Caja bajo mínimo</v>
      </c>
      <c r="N451" s="674" t="str">
        <f t="shared" si="298"/>
        <v>ALERTA: Caja bajo mínimo</v>
      </c>
      <c r="O451" s="674" t="str">
        <f t="shared" si="298"/>
        <v>ALERTA: Caja bajo mínimo</v>
      </c>
      <c r="P451" s="674" t="str">
        <f t="shared" si="298"/>
        <v>ALERTA: Caja bajo mínimo</v>
      </c>
      <c r="Q451" s="674" t="str">
        <f t="shared" si="298"/>
        <v>ALERTA: Caja bajo mínimo</v>
      </c>
      <c r="R451" s="957"/>
      <c r="S451" s="674" t="str">
        <f>IF(COUNTIF(F451:Q451,"ALERTA*")&gt;0,"ALERTA","OK")</f>
        <v>ALERTA</v>
      </c>
      <c r="T451" s="674"/>
      <c r="U451" s="674"/>
      <c r="V451" s="729"/>
      <c r="W451" s="729"/>
      <c r="X451" s="729"/>
      <c r="Y451" s="729"/>
      <c r="Z451" s="729"/>
      <c r="AA451" s="729"/>
      <c r="AB451" s="729"/>
      <c r="AC451" s="729"/>
      <c r="AD451" s="729"/>
      <c r="AE451" s="729"/>
      <c r="AF451" s="729"/>
      <c r="AG451" s="729"/>
      <c r="AH451" s="729"/>
      <c r="AI451" s="729"/>
      <c r="AJ451" s="729"/>
    </row>
    <row r="452" spans="1:36">
      <c r="A452" s="674"/>
      <c r="B452" s="674" t="s">
        <v>635</v>
      </c>
      <c r="C452" s="674"/>
      <c r="D452" s="674"/>
      <c r="E452" s="674"/>
      <c r="F452" s="819">
        <f t="shared" ref="F452:Q452" si="299">MAX(0,F183-F186)</f>
        <v>0</v>
      </c>
      <c r="G452" s="819">
        <f t="shared" si="299"/>
        <v>74229878</v>
      </c>
      <c r="H452" s="819">
        <f t="shared" si="299"/>
        <v>36400677</v>
      </c>
      <c r="I452" s="819">
        <f t="shared" si="299"/>
        <v>0</v>
      </c>
      <c r="J452" s="819">
        <f>MAX(0,J183-J186)</f>
        <v>0</v>
      </c>
      <c r="K452" s="819">
        <f t="shared" si="299"/>
        <v>116017638</v>
      </c>
      <c r="L452" s="819">
        <f t="shared" si="299"/>
        <v>57192074</v>
      </c>
      <c r="M452" s="819">
        <f t="shared" si="299"/>
        <v>1849454326.1575398</v>
      </c>
      <c r="N452" s="819">
        <f t="shared" si="299"/>
        <v>1535937877.7098336</v>
      </c>
      <c r="O452" s="819">
        <f t="shared" si="299"/>
        <v>1162980832.4913814</v>
      </c>
      <c r="P452" s="819">
        <f t="shared" si="299"/>
        <v>730010202.47931528</v>
      </c>
      <c r="Q452" s="819">
        <f t="shared" si="299"/>
        <v>249099842.32448101</v>
      </c>
      <c r="R452" s="1033"/>
      <c r="S452" s="819">
        <f>MAX(F452:Q452)</f>
        <v>1849454326.1575398</v>
      </c>
      <c r="T452" s="674"/>
      <c r="U452" s="674"/>
      <c r="V452" s="729"/>
      <c r="W452" s="729"/>
      <c r="X452" s="729"/>
      <c r="Y452" s="729"/>
      <c r="Z452" s="729"/>
      <c r="AA452" s="729"/>
      <c r="AB452" s="729"/>
      <c r="AC452" s="729"/>
      <c r="AD452" s="729"/>
      <c r="AE452" s="729"/>
      <c r="AF452" s="729"/>
      <c r="AG452" s="729"/>
      <c r="AH452" s="729"/>
      <c r="AI452" s="729"/>
      <c r="AJ452" s="729"/>
    </row>
    <row r="453" spans="1:36">
      <c r="A453" s="674"/>
      <c r="B453" s="674" t="s">
        <v>636</v>
      </c>
      <c r="C453" s="674"/>
      <c r="D453" s="674"/>
      <c r="E453" s="674"/>
      <c r="F453" s="819">
        <f t="shared" ref="F453:Q453" si="300">F78-F186</f>
        <v>-35247548</v>
      </c>
      <c r="G453" s="819">
        <f t="shared" si="300"/>
        <v>-36927583</v>
      </c>
      <c r="H453" s="819">
        <f t="shared" si="300"/>
        <v>74430388</v>
      </c>
      <c r="I453" s="819">
        <f t="shared" si="300"/>
        <v>0</v>
      </c>
      <c r="J453" s="819">
        <f>J78-J186</f>
        <v>0</v>
      </c>
      <c r="K453" s="819">
        <f t="shared" si="300"/>
        <v>0</v>
      </c>
      <c r="L453" s="819">
        <f t="shared" si="300"/>
        <v>0</v>
      </c>
      <c r="M453" s="819">
        <f t="shared" si="300"/>
        <v>0</v>
      </c>
      <c r="N453" s="819">
        <f t="shared" si="300"/>
        <v>0</v>
      </c>
      <c r="O453" s="819">
        <f t="shared" si="300"/>
        <v>0</v>
      </c>
      <c r="P453" s="819">
        <f t="shared" si="300"/>
        <v>0</v>
      </c>
      <c r="Q453" s="819">
        <f t="shared" si="300"/>
        <v>0</v>
      </c>
      <c r="R453" s="1033"/>
      <c r="S453" s="819" cm="1">
        <f t="array" ref="S453">SUMPRODUCT(ABS(F453:Q453))</f>
        <v>146605519</v>
      </c>
      <c r="T453" s="674"/>
      <c r="U453" s="674"/>
      <c r="V453" s="729"/>
      <c r="W453" s="729"/>
      <c r="X453" s="729"/>
      <c r="Y453" s="729"/>
      <c r="Z453" s="729"/>
      <c r="AA453" s="729"/>
      <c r="AB453" s="729"/>
      <c r="AC453" s="729"/>
      <c r="AD453" s="729"/>
      <c r="AE453" s="729"/>
      <c r="AF453" s="729"/>
      <c r="AG453" s="729"/>
      <c r="AH453" s="729"/>
      <c r="AI453" s="729"/>
      <c r="AJ453" s="729"/>
    </row>
    <row r="454" spans="1:36">
      <c r="A454" s="674"/>
      <c r="B454" s="674" t="s">
        <v>637</v>
      </c>
      <c r="C454" s="674"/>
      <c r="D454" s="674"/>
      <c r="E454" s="674"/>
      <c r="F454" s="819">
        <f t="shared" ref="F454:Q454" si="301">(F164+F165+F166)-F219</f>
        <v>16556092</v>
      </c>
      <c r="G454" s="819">
        <f t="shared" si="301"/>
        <v>-93459020</v>
      </c>
      <c r="H454" s="819">
        <f t="shared" si="301"/>
        <v>-118146924</v>
      </c>
      <c r="I454" s="819">
        <f t="shared" si="301"/>
        <v>15569292</v>
      </c>
      <c r="J454" s="819">
        <f>(J164+J165+J166)-J219</f>
        <v>0</v>
      </c>
      <c r="K454" s="819">
        <f t="shared" si="301"/>
        <v>0</v>
      </c>
      <c r="L454" s="819">
        <f t="shared" si="301"/>
        <v>0</v>
      </c>
      <c r="M454" s="819">
        <f t="shared" si="301"/>
        <v>0</v>
      </c>
      <c r="N454" s="819">
        <f t="shared" si="301"/>
        <v>0</v>
      </c>
      <c r="O454" s="819">
        <f t="shared" si="301"/>
        <v>0</v>
      </c>
      <c r="P454" s="819">
        <f t="shared" si="301"/>
        <v>0</v>
      </c>
      <c r="Q454" s="819">
        <f t="shared" si="301"/>
        <v>0</v>
      </c>
      <c r="R454" s="1033"/>
      <c r="S454" s="819" cm="1">
        <f t="array" ref="S454">SUMPRODUCT(ABS(J454:Q454))</f>
        <v>0</v>
      </c>
      <c r="T454" s="674"/>
      <c r="U454" s="674"/>
      <c r="V454" s="729"/>
      <c r="W454" s="729"/>
      <c r="X454" s="729"/>
      <c r="Y454" s="729"/>
      <c r="Z454" s="729"/>
      <c r="AA454" s="729"/>
      <c r="AB454" s="729"/>
      <c r="AC454" s="729"/>
      <c r="AD454" s="729"/>
      <c r="AE454" s="729"/>
      <c r="AF454" s="729"/>
      <c r="AG454" s="729"/>
      <c r="AH454" s="729"/>
      <c r="AI454" s="729"/>
      <c r="AJ454" s="729"/>
    </row>
    <row r="455" spans="1:36">
      <c r="A455" s="674"/>
      <c r="B455" s="674" t="s">
        <v>638</v>
      </c>
      <c r="C455" s="674"/>
      <c r="D455" s="674"/>
      <c r="E455" s="674"/>
      <c r="F455" s="819">
        <f t="shared" ref="F455:Q455" si="302">F186-(F180+F142-F143)</f>
        <v>0</v>
      </c>
      <c r="G455" s="819">
        <f t="shared" si="302"/>
        <v>0</v>
      </c>
      <c r="H455" s="819">
        <f t="shared" si="302"/>
        <v>0</v>
      </c>
      <c r="I455" s="819">
        <f t="shared" si="302"/>
        <v>3861862290</v>
      </c>
      <c r="J455" s="819">
        <f>J186-(J180+J142-J143)</f>
        <v>0</v>
      </c>
      <c r="K455" s="819">
        <f t="shared" si="302"/>
        <v>0</v>
      </c>
      <c r="L455" s="819">
        <f t="shared" si="302"/>
        <v>10244981.433333337</v>
      </c>
      <c r="M455" s="819">
        <f t="shared" si="302"/>
        <v>0</v>
      </c>
      <c r="N455" s="819">
        <f t="shared" si="302"/>
        <v>0</v>
      </c>
      <c r="O455" s="819">
        <f t="shared" si="302"/>
        <v>0</v>
      </c>
      <c r="P455" s="819">
        <f t="shared" si="302"/>
        <v>0</v>
      </c>
      <c r="Q455" s="819">
        <f t="shared" si="302"/>
        <v>0</v>
      </c>
      <c r="R455" s="1033"/>
      <c r="S455" s="819" cm="1">
        <f t="array" ref="S455">SUMPRODUCT(ABS(J455:Q455))</f>
        <v>10244981.433333337</v>
      </c>
      <c r="T455" s="674"/>
      <c r="U455" s="674"/>
      <c r="V455" s="729"/>
      <c r="W455" s="729"/>
      <c r="X455" s="729"/>
      <c r="Y455" s="729"/>
      <c r="Z455" s="729"/>
      <c r="AA455" s="729"/>
      <c r="AB455" s="729"/>
      <c r="AC455" s="729"/>
      <c r="AD455" s="729"/>
      <c r="AE455" s="729"/>
      <c r="AF455" s="729"/>
      <c r="AG455" s="729"/>
      <c r="AH455" s="729"/>
      <c r="AI455" s="729"/>
      <c r="AJ455" s="729"/>
    </row>
    <row r="456" spans="1:36">
      <c r="A456" s="674"/>
      <c r="B456" s="674" t="s">
        <v>639</v>
      </c>
      <c r="C456" s="674"/>
      <c r="D456" s="674"/>
      <c r="E456" s="674"/>
      <c r="F456" s="819">
        <f t="shared" ref="F456:Q456" si="303">MAX(0,F183-F186)</f>
        <v>0</v>
      </c>
      <c r="G456" s="819">
        <f t="shared" si="303"/>
        <v>74229878</v>
      </c>
      <c r="H456" s="819">
        <f t="shared" si="303"/>
        <v>36400677</v>
      </c>
      <c r="I456" s="819">
        <f t="shared" si="303"/>
        <v>0</v>
      </c>
      <c r="J456" s="819">
        <f>MAX(0,J183-J186)</f>
        <v>0</v>
      </c>
      <c r="K456" s="819">
        <f t="shared" si="303"/>
        <v>116017638</v>
      </c>
      <c r="L456" s="819">
        <f t="shared" si="303"/>
        <v>57192074</v>
      </c>
      <c r="M456" s="819">
        <f t="shared" si="303"/>
        <v>1849454326.1575398</v>
      </c>
      <c r="N456" s="819">
        <f t="shared" si="303"/>
        <v>1535937877.7098336</v>
      </c>
      <c r="O456" s="819">
        <f t="shared" si="303"/>
        <v>1162980832.4913814</v>
      </c>
      <c r="P456" s="819">
        <f t="shared" si="303"/>
        <v>730010202.47931528</v>
      </c>
      <c r="Q456" s="819">
        <f t="shared" si="303"/>
        <v>249099842.32448101</v>
      </c>
      <c r="R456" s="1033"/>
      <c r="S456" s="819">
        <f>MAX(F456:Q456)</f>
        <v>1849454326.1575398</v>
      </c>
      <c r="T456" s="674"/>
      <c r="U456" s="674"/>
      <c r="V456" s="729"/>
      <c r="W456" s="729"/>
      <c r="X456" s="729"/>
      <c r="Y456" s="729"/>
      <c r="Z456" s="729"/>
      <c r="AA456" s="729"/>
      <c r="AB456" s="729"/>
      <c r="AC456" s="729"/>
      <c r="AD456" s="729"/>
      <c r="AE456" s="729"/>
      <c r="AF456" s="729"/>
      <c r="AG456" s="729"/>
      <c r="AH456" s="729"/>
      <c r="AI456" s="729"/>
      <c r="AJ456" s="729"/>
    </row>
    <row r="457" spans="1:36">
      <c r="A457" s="674"/>
      <c r="B457" s="674"/>
      <c r="C457" s="674"/>
      <c r="D457" s="674"/>
      <c r="E457" s="674"/>
      <c r="F457" s="674"/>
      <c r="G457" s="674"/>
      <c r="H457" s="674"/>
      <c r="I457" s="674"/>
      <c r="J457" s="674"/>
      <c r="K457" s="674"/>
      <c r="L457" s="674"/>
      <c r="M457" s="674"/>
      <c r="N457" s="674"/>
      <c r="O457" s="674"/>
      <c r="P457" s="674"/>
      <c r="Q457" s="674"/>
      <c r="R457" s="957"/>
      <c r="S457" s="674"/>
      <c r="T457" s="674"/>
      <c r="U457" s="674"/>
      <c r="V457" s="729"/>
      <c r="W457" s="729"/>
      <c r="X457" s="729"/>
      <c r="Y457" s="729"/>
      <c r="Z457" s="729"/>
      <c r="AA457" s="729"/>
      <c r="AB457" s="729"/>
      <c r="AC457" s="729"/>
      <c r="AD457" s="729"/>
      <c r="AE457" s="729"/>
      <c r="AF457" s="729"/>
      <c r="AG457" s="729"/>
      <c r="AH457" s="729"/>
      <c r="AI457" s="729"/>
      <c r="AJ457" s="729"/>
    </row>
    <row r="458" spans="1:36">
      <c r="A458" s="674"/>
      <c r="B458" s="674"/>
      <c r="C458" s="674"/>
      <c r="D458" s="674"/>
      <c r="E458" s="674"/>
      <c r="F458" s="674"/>
      <c r="G458" s="674"/>
      <c r="H458" s="674"/>
      <c r="I458" s="674"/>
      <c r="J458" s="674"/>
      <c r="K458" s="674"/>
      <c r="L458" s="674"/>
      <c r="M458" s="674"/>
      <c r="N458" s="674"/>
      <c r="O458" s="674"/>
      <c r="P458" s="674"/>
      <c r="Q458" s="674"/>
      <c r="R458" s="957"/>
      <c r="S458" s="674"/>
      <c r="T458" s="674"/>
      <c r="U458" s="674"/>
      <c r="V458" s="729"/>
      <c r="W458" s="729"/>
      <c r="X458" s="729"/>
      <c r="Y458" s="729"/>
      <c r="Z458" s="729"/>
      <c r="AA458" s="729"/>
      <c r="AB458" s="729"/>
      <c r="AC458" s="729"/>
      <c r="AD458" s="729"/>
      <c r="AE458" s="729"/>
      <c r="AF458" s="729"/>
      <c r="AG458" s="729"/>
      <c r="AH458" s="729"/>
      <c r="AI458" s="729"/>
      <c r="AJ458" s="729"/>
    </row>
    <row r="459" spans="1:36">
      <c r="A459" s="682"/>
      <c r="B459" s="814" t="s">
        <v>640</v>
      </c>
      <c r="C459" s="814"/>
      <c r="D459" s="814"/>
      <c r="E459" s="814"/>
      <c r="F459" s="814"/>
      <c r="G459" s="814"/>
      <c r="H459" s="814"/>
      <c r="I459" s="814"/>
      <c r="J459" s="814"/>
      <c r="K459" s="814"/>
      <c r="L459" s="814"/>
      <c r="M459" s="814"/>
      <c r="N459" s="814"/>
      <c r="O459" s="814"/>
      <c r="P459" s="814"/>
      <c r="Q459" s="814"/>
      <c r="R459" s="994"/>
      <c r="S459" s="814"/>
      <c r="T459" s="682"/>
      <c r="U459" s="682"/>
      <c r="V459" s="729"/>
      <c r="W459" s="729"/>
      <c r="X459" s="729"/>
      <c r="Y459" s="729"/>
      <c r="Z459" s="729"/>
      <c r="AA459" s="729"/>
      <c r="AB459" s="729"/>
      <c r="AC459" s="729"/>
      <c r="AD459" s="729"/>
      <c r="AE459" s="729"/>
      <c r="AF459" s="729"/>
      <c r="AG459" s="729"/>
      <c r="AH459" s="729"/>
      <c r="AI459" s="729"/>
      <c r="AJ459" s="729"/>
    </row>
    <row r="460" spans="1:36">
      <c r="A460" s="674"/>
      <c r="B460" s="136" t="s">
        <v>281</v>
      </c>
      <c r="C460" s="136"/>
      <c r="D460" s="136"/>
      <c r="E460" s="136"/>
      <c r="F460" s="99" t="s">
        <v>209</v>
      </c>
      <c r="G460" s="403">
        <v>46079</v>
      </c>
      <c r="H460" s="403">
        <v>46107</v>
      </c>
      <c r="I460" s="99" t="s">
        <v>326</v>
      </c>
      <c r="J460" s="403">
        <v>46168</v>
      </c>
      <c r="K460" s="403">
        <v>46199</v>
      </c>
      <c r="L460" s="403">
        <v>46229</v>
      </c>
      <c r="M460" s="99" t="s">
        <v>330</v>
      </c>
      <c r="N460" s="403">
        <v>46291</v>
      </c>
      <c r="O460" s="403">
        <v>46321</v>
      </c>
      <c r="P460" s="403">
        <v>46352</v>
      </c>
      <c r="Q460" s="99" t="s">
        <v>334</v>
      </c>
      <c r="R460" s="137"/>
      <c r="S460" s="136" t="s">
        <v>16</v>
      </c>
      <c r="T460" s="674"/>
      <c r="U460" s="674"/>
      <c r="V460" s="729"/>
      <c r="W460" s="729"/>
      <c r="X460" s="729"/>
      <c r="Y460" s="729"/>
      <c r="Z460" s="729"/>
      <c r="AA460" s="729"/>
      <c r="AB460" s="729"/>
      <c r="AC460" s="729"/>
      <c r="AD460" s="729"/>
      <c r="AE460" s="729"/>
      <c r="AF460" s="729"/>
      <c r="AG460" s="729"/>
      <c r="AH460" s="729"/>
      <c r="AI460" s="729"/>
      <c r="AJ460" s="729"/>
    </row>
    <row r="461" spans="1:36">
      <c r="A461" s="674"/>
      <c r="B461" s="674" t="s">
        <v>268</v>
      </c>
      <c r="C461" s="674"/>
      <c r="D461" s="674"/>
      <c r="E461" s="674"/>
      <c r="F461" s="819">
        <f t="shared" ref="F461:Q461" si="304">F162</f>
        <v>63485497</v>
      </c>
      <c r="G461" s="819">
        <f t="shared" si="304"/>
        <v>54048915</v>
      </c>
      <c r="H461" s="819">
        <f t="shared" si="304"/>
        <v>-37938007</v>
      </c>
      <c r="I461" s="819">
        <f t="shared" si="304"/>
        <v>706203</v>
      </c>
      <c r="J461" s="819">
        <f t="shared" si="304"/>
        <v>108374968</v>
      </c>
      <c r="K461" s="819">
        <f t="shared" si="304"/>
        <v>33343650</v>
      </c>
      <c r="L461" s="819">
        <f t="shared" si="304"/>
        <v>24707052</v>
      </c>
      <c r="M461" s="819">
        <f t="shared" si="304"/>
        <v>481598027.51429355</v>
      </c>
      <c r="N461" s="819">
        <f t="shared" si="304"/>
        <v>540979725.34821498</v>
      </c>
      <c r="O461" s="819">
        <f t="shared" si="304"/>
        <v>600362061.25395238</v>
      </c>
      <c r="P461" s="819">
        <f t="shared" si="304"/>
        <v>648818170.99697471</v>
      </c>
      <c r="Q461" s="819">
        <f t="shared" si="304"/>
        <v>708201751.31999445</v>
      </c>
      <c r="R461" s="1033"/>
      <c r="S461" s="819">
        <f t="shared" ref="S461:S472" si="305">SUM(F461:Q461)</f>
        <v>3226688014.4334302</v>
      </c>
      <c r="T461" s="674"/>
      <c r="U461" s="674"/>
      <c r="V461" s="729"/>
      <c r="W461" s="729"/>
      <c r="X461" s="729"/>
      <c r="Y461" s="729"/>
      <c r="Z461" s="729"/>
      <c r="AA461" s="729"/>
      <c r="AB461" s="729"/>
      <c r="AC461" s="729"/>
      <c r="AD461" s="729"/>
      <c r="AE461" s="729"/>
      <c r="AF461" s="729"/>
      <c r="AG461" s="729"/>
      <c r="AH461" s="729"/>
      <c r="AI461" s="729"/>
      <c r="AJ461" s="729"/>
    </row>
    <row r="462" spans="1:36">
      <c r="A462" s="674"/>
      <c r="B462" s="674" t="s">
        <v>641</v>
      </c>
      <c r="C462" s="674"/>
      <c r="D462" s="674"/>
      <c r="E462" s="674"/>
      <c r="F462" s="819">
        <f t="shared" ref="F462:Q462" si="306">F167</f>
        <v>0</v>
      </c>
      <c r="G462" s="819">
        <f t="shared" si="306"/>
        <v>0</v>
      </c>
      <c r="H462" s="819">
        <f t="shared" si="306"/>
        <v>0</v>
      </c>
      <c r="I462" s="819">
        <f t="shared" si="306"/>
        <v>3718833.3666666667</v>
      </c>
      <c r="J462" s="819">
        <f t="shared" si="306"/>
        <v>57217015.916666664</v>
      </c>
      <c r="K462" s="819">
        <f t="shared" si="306"/>
        <v>3766258.5666666669</v>
      </c>
      <c r="L462" s="819">
        <f t="shared" si="306"/>
        <v>3766258.5666666669</v>
      </c>
      <c r="M462" s="819">
        <f t="shared" si="306"/>
        <v>3826155.7905555558</v>
      </c>
      <c r="N462" s="819">
        <f t="shared" si="306"/>
        <v>3885054.7273796294</v>
      </c>
      <c r="O462" s="819">
        <f t="shared" si="306"/>
        <v>3942972.0152566358</v>
      </c>
      <c r="P462" s="819">
        <f t="shared" si="306"/>
        <v>3999924.0150023582</v>
      </c>
      <c r="Q462" s="819">
        <f t="shared" si="306"/>
        <v>4055926.8147523189</v>
      </c>
      <c r="R462" s="1033"/>
      <c r="S462" s="819">
        <f t="shared" si="305"/>
        <v>88178399.779613167</v>
      </c>
      <c r="T462" s="674"/>
      <c r="U462" s="674"/>
      <c r="V462" s="729"/>
      <c r="W462" s="729"/>
      <c r="X462" s="729"/>
      <c r="Y462" s="729"/>
      <c r="Z462" s="729"/>
      <c r="AA462" s="729"/>
      <c r="AB462" s="729"/>
      <c r="AC462" s="729"/>
      <c r="AD462" s="729"/>
      <c r="AE462" s="729"/>
      <c r="AF462" s="729"/>
      <c r="AG462" s="729"/>
      <c r="AH462" s="729"/>
      <c r="AI462" s="729"/>
      <c r="AJ462" s="729"/>
    </row>
    <row r="463" spans="1:36">
      <c r="A463" s="674"/>
      <c r="B463" s="674" t="s">
        <v>642</v>
      </c>
      <c r="C463" s="674"/>
      <c r="D463" s="674"/>
      <c r="E463" s="674"/>
      <c r="F463" s="819">
        <f t="shared" ref="F463:Q463" si="307">F164</f>
        <v>212934420</v>
      </c>
      <c r="G463" s="819">
        <f t="shared" si="307"/>
        <v>-234778390</v>
      </c>
      <c r="H463" s="819">
        <f t="shared" si="307"/>
        <v>68580158</v>
      </c>
      <c r="I463" s="819">
        <f t="shared" si="307"/>
        <v>78000110</v>
      </c>
      <c r="J463" s="819">
        <f t="shared" si="307"/>
        <v>-62756988</v>
      </c>
      <c r="K463" s="819">
        <f t="shared" si="307"/>
        <v>-124084410</v>
      </c>
      <c r="L463" s="819">
        <f t="shared" si="307"/>
        <v>110973187</v>
      </c>
      <c r="M463" s="819">
        <f t="shared" si="307"/>
        <v>-2717695085</v>
      </c>
      <c r="N463" s="819">
        <f t="shared" si="307"/>
        <v>-255963000</v>
      </c>
      <c r="O463" s="819">
        <f t="shared" si="307"/>
        <v>-255963000</v>
      </c>
      <c r="P463" s="819">
        <f t="shared" si="307"/>
        <v>-255963000</v>
      </c>
      <c r="Q463" s="819">
        <f t="shared" si="307"/>
        <v>-255963000</v>
      </c>
      <c r="R463" s="1033"/>
      <c r="S463" s="819">
        <f t="shared" si="305"/>
        <v>-3692678998</v>
      </c>
      <c r="T463" s="674"/>
      <c r="U463" s="674"/>
      <c r="V463" s="729"/>
      <c r="W463" s="729"/>
      <c r="X463" s="729"/>
      <c r="Y463" s="729"/>
      <c r="Z463" s="729"/>
      <c r="AA463" s="729"/>
      <c r="AB463" s="729"/>
      <c r="AC463" s="729"/>
      <c r="AD463" s="729"/>
      <c r="AE463" s="729"/>
      <c r="AF463" s="729"/>
      <c r="AG463" s="729"/>
      <c r="AH463" s="729"/>
      <c r="AI463" s="729"/>
      <c r="AJ463" s="729"/>
    </row>
    <row r="464" spans="1:36">
      <c r="A464" s="674"/>
      <c r="B464" s="674" t="s">
        <v>643</v>
      </c>
      <c r="C464" s="674"/>
      <c r="D464" s="674"/>
      <c r="E464" s="674"/>
      <c r="F464" s="819">
        <f t="shared" ref="F464:Q464" si="308">F165</f>
        <v>3802084</v>
      </c>
      <c r="G464" s="819">
        <f t="shared" si="308"/>
        <v>-74042934</v>
      </c>
      <c r="H464" s="819">
        <f t="shared" si="308"/>
        <v>-2504439</v>
      </c>
      <c r="I464" s="819">
        <f t="shared" si="308"/>
        <v>8373490</v>
      </c>
      <c r="J464" s="819">
        <f t="shared" si="308"/>
        <v>-61530713</v>
      </c>
      <c r="K464" s="819">
        <f t="shared" si="308"/>
        <v>-18920144</v>
      </c>
      <c r="L464" s="819">
        <f t="shared" si="308"/>
        <v>-79630602</v>
      </c>
      <c r="M464" s="819">
        <f t="shared" si="308"/>
        <v>207276200.72222209</v>
      </c>
      <c r="N464" s="819">
        <f t="shared" si="308"/>
        <v>0</v>
      </c>
      <c r="O464" s="819">
        <f t="shared" si="308"/>
        <v>0</v>
      </c>
      <c r="P464" s="819">
        <f t="shared" si="308"/>
        <v>17383875.600000024</v>
      </c>
      <c r="Q464" s="819">
        <f t="shared" si="308"/>
        <v>0</v>
      </c>
      <c r="R464" s="1033"/>
      <c r="S464" s="819">
        <f t="shared" si="305"/>
        <v>206818.32222211361</v>
      </c>
      <c r="T464" s="674"/>
      <c r="U464" s="674"/>
      <c r="V464" s="729"/>
      <c r="W464" s="729"/>
      <c r="X464" s="729"/>
      <c r="Y464" s="729"/>
      <c r="Z464" s="729"/>
      <c r="AA464" s="729"/>
      <c r="AB464" s="729"/>
      <c r="AC464" s="729"/>
      <c r="AD464" s="729"/>
      <c r="AE464" s="729"/>
      <c r="AF464" s="729"/>
      <c r="AG464" s="729"/>
      <c r="AH464" s="729"/>
      <c r="AI464" s="729"/>
      <c r="AJ464" s="729"/>
    </row>
    <row r="465" spans="1:36" ht="15" thickBot="1">
      <c r="A465" s="674"/>
      <c r="B465" s="674" t="s">
        <v>644</v>
      </c>
      <c r="C465" s="674"/>
      <c r="D465" s="674"/>
      <c r="E465" s="674"/>
      <c r="F465" s="819">
        <f t="shared" ref="F465:Q465" si="309">F166</f>
        <v>-25726920</v>
      </c>
      <c r="G465" s="819">
        <f t="shared" si="309"/>
        <v>-12558380</v>
      </c>
      <c r="H465" s="819">
        <f t="shared" si="309"/>
        <v>23778884</v>
      </c>
      <c r="I465" s="819">
        <f t="shared" si="309"/>
        <v>-1073939</v>
      </c>
      <c r="J465" s="819">
        <f t="shared" si="309"/>
        <v>-1983229</v>
      </c>
      <c r="K465" s="819">
        <f t="shared" si="309"/>
        <v>812079</v>
      </c>
      <c r="L465" s="819">
        <f t="shared" si="309"/>
        <v>-4096021</v>
      </c>
      <c r="M465" s="819">
        <f t="shared" si="309"/>
        <v>240092540.8153888</v>
      </c>
      <c r="N465" s="819">
        <f t="shared" si="309"/>
        <v>31974760.372111559</v>
      </c>
      <c r="O465" s="819">
        <f t="shared" si="309"/>
        <v>31975103.949243188</v>
      </c>
      <c r="P465" s="819">
        <f t="shared" si="309"/>
        <v>26091751.400088966</v>
      </c>
      <c r="Q465" s="819">
        <f t="shared" si="309"/>
        <v>31975774.02008754</v>
      </c>
      <c r="R465" s="1033"/>
      <c r="S465" s="819">
        <f t="shared" si="305"/>
        <v>341262404.55692005</v>
      </c>
      <c r="T465" s="674"/>
      <c r="U465" s="674"/>
      <c r="V465" s="729"/>
      <c r="W465" s="729"/>
      <c r="X465" s="729"/>
      <c r="Y465" s="729"/>
      <c r="Z465" s="729"/>
      <c r="AA465" s="729"/>
      <c r="AB465" s="729"/>
      <c r="AC465" s="729"/>
      <c r="AD465" s="729"/>
      <c r="AE465" s="729"/>
      <c r="AF465" s="729"/>
      <c r="AG465" s="729"/>
      <c r="AH465" s="729"/>
      <c r="AI465" s="729"/>
      <c r="AJ465" s="729"/>
    </row>
    <row r="466" spans="1:36" ht="15" thickTop="1">
      <c r="A466" s="674"/>
      <c r="B466" s="817" t="s">
        <v>645</v>
      </c>
      <c r="C466" s="817"/>
      <c r="D466" s="817"/>
      <c r="E466" s="817"/>
      <c r="F466" s="1031">
        <f t="shared" ref="F466:Q466" si="310">F168</f>
        <v>254495081</v>
      </c>
      <c r="G466" s="1031">
        <f t="shared" si="310"/>
        <v>-267330789</v>
      </c>
      <c r="H466" s="1031">
        <f t="shared" si="310"/>
        <v>51916596</v>
      </c>
      <c r="I466" s="1031">
        <f t="shared" si="310"/>
        <v>89724697.36666666</v>
      </c>
      <c r="J466" s="1031">
        <f t="shared" si="310"/>
        <v>39321053.916666664</v>
      </c>
      <c r="K466" s="1031">
        <f t="shared" si="310"/>
        <v>-105082566.43333334</v>
      </c>
      <c r="L466" s="1031">
        <f t="shared" si="310"/>
        <v>55719874.56666667</v>
      </c>
      <c r="M466" s="1031">
        <f t="shared" si="310"/>
        <v>-1784902160.1575398</v>
      </c>
      <c r="N466" s="1031">
        <f t="shared" si="310"/>
        <v>320876540.44770616</v>
      </c>
      <c r="O466" s="1031">
        <f t="shared" si="310"/>
        <v>380317137.21845222</v>
      </c>
      <c r="P466" s="1031">
        <f t="shared" si="310"/>
        <v>440330722.01206607</v>
      </c>
      <c r="Q466" s="1031">
        <f t="shared" si="310"/>
        <v>488270452.15483433</v>
      </c>
      <c r="R466" s="1032"/>
      <c r="S466" s="1031">
        <f t="shared" si="305"/>
        <v>-36343360.907814264</v>
      </c>
      <c r="T466" s="674"/>
      <c r="U466" s="674"/>
      <c r="V466" s="729"/>
      <c r="W466" s="729"/>
      <c r="X466" s="729"/>
      <c r="Y466" s="729"/>
      <c r="Z466" s="729"/>
      <c r="AA466" s="729"/>
      <c r="AB466" s="729"/>
      <c r="AC466" s="729"/>
      <c r="AD466" s="729"/>
      <c r="AE466" s="729"/>
      <c r="AF466" s="729"/>
      <c r="AG466" s="729"/>
      <c r="AH466" s="729"/>
      <c r="AI466" s="729"/>
      <c r="AJ466" s="729"/>
    </row>
    <row r="467" spans="1:36">
      <c r="A467" s="674"/>
      <c r="B467" s="674" t="s">
        <v>646</v>
      </c>
      <c r="C467" s="674"/>
      <c r="D467" s="674"/>
      <c r="E467" s="674"/>
      <c r="F467" s="819">
        <f t="shared" ref="F467:Q467" si="311">F171</f>
        <v>-7880549</v>
      </c>
      <c r="G467" s="819">
        <f t="shared" si="311"/>
        <v>-6729228</v>
      </c>
      <c r="H467" s="819">
        <f t="shared" si="311"/>
        <v>-985518</v>
      </c>
      <c r="I467" s="819">
        <f t="shared" si="311"/>
        <v>-3213609786.3666668</v>
      </c>
      <c r="J467" s="819">
        <f t="shared" si="311"/>
        <v>3149828425.0833335</v>
      </c>
      <c r="K467" s="819">
        <f t="shared" si="311"/>
        <v>-3766258.5666666669</v>
      </c>
      <c r="L467" s="819">
        <f t="shared" si="311"/>
        <v>-7360092</v>
      </c>
      <c r="M467" s="819">
        <f t="shared" si="311"/>
        <v>-7360092</v>
      </c>
      <c r="N467" s="819">
        <f t="shared" si="311"/>
        <v>-7360092</v>
      </c>
      <c r="O467" s="819">
        <f t="shared" si="311"/>
        <v>-7360092</v>
      </c>
      <c r="P467" s="819">
        <f t="shared" si="311"/>
        <v>-7360092</v>
      </c>
      <c r="Q467" s="819">
        <f t="shared" si="311"/>
        <v>-7360092</v>
      </c>
      <c r="R467" s="824"/>
      <c r="S467" s="819">
        <f t="shared" si="305"/>
        <v>-127303466.84999996</v>
      </c>
      <c r="T467" s="674"/>
      <c r="U467" s="674"/>
      <c r="V467" s="729"/>
      <c r="W467" s="729"/>
      <c r="X467" s="729"/>
      <c r="Y467" s="729"/>
      <c r="Z467" s="729"/>
      <c r="AA467" s="729"/>
      <c r="AB467" s="729"/>
      <c r="AC467" s="729"/>
      <c r="AD467" s="729"/>
      <c r="AE467" s="729"/>
      <c r="AF467" s="729"/>
      <c r="AG467" s="729"/>
      <c r="AH467" s="729"/>
      <c r="AI467" s="729"/>
      <c r="AJ467" s="729"/>
    </row>
    <row r="468" spans="1:36" ht="15" thickBot="1">
      <c r="A468" s="674"/>
      <c r="B468" s="674" t="s">
        <v>647</v>
      </c>
      <c r="C468" s="674"/>
      <c r="D468" s="674"/>
      <c r="E468" s="674"/>
      <c r="F468" s="819">
        <f t="shared" ref="F468:Q468" si="312">F179-F168-F171</f>
        <v>-17231358</v>
      </c>
      <c r="G468" s="819">
        <f t="shared" si="312"/>
        <v>5694513</v>
      </c>
      <c r="H468" s="819">
        <f t="shared" si="312"/>
        <v>23825706</v>
      </c>
      <c r="I468" s="819">
        <f t="shared" si="312"/>
        <v>-649708751</v>
      </c>
      <c r="J468" s="819">
        <f t="shared" si="312"/>
        <v>-3302084295</v>
      </c>
      <c r="K468" s="819">
        <f t="shared" si="312"/>
        <v>-20532157.999999996</v>
      </c>
      <c r="L468" s="819">
        <f t="shared" si="312"/>
        <v>220800</v>
      </c>
      <c r="M468" s="819">
        <f t="shared" si="312"/>
        <v>0</v>
      </c>
      <c r="N468" s="819">
        <f t="shared" si="312"/>
        <v>0</v>
      </c>
      <c r="O468" s="819">
        <f t="shared" si="312"/>
        <v>0</v>
      </c>
      <c r="P468" s="819">
        <f t="shared" si="312"/>
        <v>0</v>
      </c>
      <c r="Q468" s="819">
        <f t="shared" si="312"/>
        <v>0</v>
      </c>
      <c r="R468" s="824"/>
      <c r="S468" s="819">
        <f t="shared" si="305"/>
        <v>-3959815543</v>
      </c>
      <c r="T468" s="674"/>
      <c r="U468" s="674"/>
      <c r="V468" s="729"/>
      <c r="W468" s="729"/>
      <c r="X468" s="729"/>
      <c r="Y468" s="729"/>
      <c r="Z468" s="729"/>
      <c r="AA468" s="729"/>
      <c r="AB468" s="729"/>
      <c r="AC468" s="729"/>
      <c r="AD468" s="729"/>
      <c r="AE468" s="729"/>
      <c r="AF468" s="729"/>
      <c r="AG468" s="729"/>
      <c r="AH468" s="729"/>
      <c r="AI468" s="729"/>
      <c r="AJ468" s="729"/>
    </row>
    <row r="469" spans="1:36" ht="15" thickTop="1">
      <c r="A469" s="674"/>
      <c r="B469" s="817" t="s">
        <v>648</v>
      </c>
      <c r="C469" s="817"/>
      <c r="D469" s="817"/>
      <c r="E469" s="817"/>
      <c r="F469" s="1031">
        <f t="shared" ref="F469:Q469" si="313">F179</f>
        <v>229383174</v>
      </c>
      <c r="G469" s="1031">
        <f t="shared" si="313"/>
        <v>-268365504</v>
      </c>
      <c r="H469" s="1031">
        <f t="shared" si="313"/>
        <v>74756784</v>
      </c>
      <c r="I469" s="1031">
        <f t="shared" si="313"/>
        <v>-3773593840</v>
      </c>
      <c r="J469" s="1031">
        <f t="shared" si="313"/>
        <v>-112934816</v>
      </c>
      <c r="K469" s="1031">
        <f t="shared" si="313"/>
        <v>-129380983</v>
      </c>
      <c r="L469" s="1031">
        <f t="shared" si="313"/>
        <v>48580582.56666667</v>
      </c>
      <c r="M469" s="1031">
        <f t="shared" si="313"/>
        <v>-1792262252.1575398</v>
      </c>
      <c r="N469" s="1031">
        <f t="shared" si="313"/>
        <v>313516448.44770616</v>
      </c>
      <c r="O469" s="1031">
        <f t="shared" si="313"/>
        <v>372957045.21845222</v>
      </c>
      <c r="P469" s="1031">
        <f t="shared" si="313"/>
        <v>432970630.01206607</v>
      </c>
      <c r="Q469" s="1031">
        <f t="shared" si="313"/>
        <v>480910360.15483433</v>
      </c>
      <c r="R469" s="1034"/>
      <c r="S469" s="1031">
        <f t="shared" si="305"/>
        <v>-4123462370.7578149</v>
      </c>
      <c r="T469" s="674"/>
      <c r="U469" s="674"/>
      <c r="V469" s="729"/>
      <c r="W469" s="729"/>
      <c r="X469" s="729"/>
      <c r="Y469" s="729"/>
      <c r="Z469" s="729"/>
      <c r="AA469" s="729"/>
      <c r="AB469" s="729"/>
      <c r="AC469" s="729"/>
      <c r="AD469" s="729"/>
      <c r="AE469" s="729"/>
      <c r="AF469" s="729"/>
      <c r="AG469" s="729"/>
      <c r="AH469" s="729"/>
      <c r="AI469" s="729"/>
      <c r="AJ469" s="729"/>
    </row>
    <row r="470" spans="1:36">
      <c r="A470" s="674"/>
      <c r="B470" s="674" t="s">
        <v>649</v>
      </c>
      <c r="C470" s="674"/>
      <c r="D470" s="674"/>
      <c r="E470" s="674"/>
      <c r="F470" s="819">
        <f t="shared" ref="F470:Q470" si="314">F142</f>
        <v>0</v>
      </c>
      <c r="G470" s="819">
        <f t="shared" si="314"/>
        <v>0</v>
      </c>
      <c r="H470" s="819">
        <f t="shared" si="314"/>
        <v>0</v>
      </c>
      <c r="I470" s="819">
        <f t="shared" si="314"/>
        <v>0</v>
      </c>
      <c r="J470" s="819">
        <f t="shared" si="314"/>
        <v>0</v>
      </c>
      <c r="K470" s="819">
        <f t="shared" si="314"/>
        <v>0</v>
      </c>
      <c r="L470" s="819">
        <f t="shared" si="314"/>
        <v>0</v>
      </c>
      <c r="M470" s="819">
        <f t="shared" si="314"/>
        <v>0</v>
      </c>
      <c r="N470" s="819">
        <f t="shared" si="314"/>
        <v>0</v>
      </c>
      <c r="O470" s="819">
        <f t="shared" si="314"/>
        <v>0</v>
      </c>
      <c r="P470" s="819">
        <f t="shared" si="314"/>
        <v>0</v>
      </c>
      <c r="Q470" s="819">
        <f t="shared" si="314"/>
        <v>0</v>
      </c>
      <c r="R470" s="824"/>
      <c r="S470" s="819">
        <f t="shared" si="305"/>
        <v>0</v>
      </c>
      <c r="T470" s="674"/>
      <c r="U470" s="674"/>
      <c r="V470" s="729"/>
      <c r="W470" s="729"/>
      <c r="X470" s="729"/>
      <c r="Y470" s="729"/>
      <c r="Z470" s="729"/>
      <c r="AA470" s="729"/>
      <c r="AB470" s="729"/>
      <c r="AC470" s="729"/>
      <c r="AD470" s="729"/>
      <c r="AE470" s="729"/>
      <c r="AF470" s="729"/>
      <c r="AG470" s="729"/>
      <c r="AH470" s="729"/>
      <c r="AI470" s="729"/>
      <c r="AJ470" s="729"/>
    </row>
    <row r="471" spans="1:36" ht="15" thickBot="1">
      <c r="A471" s="674"/>
      <c r="B471" s="674" t="s">
        <v>650</v>
      </c>
      <c r="C471" s="674"/>
      <c r="D471" s="674"/>
      <c r="E471" s="674"/>
      <c r="F471" s="819">
        <f t="shared" ref="F471:Q471" si="315">-F143</f>
        <v>0</v>
      </c>
      <c r="G471" s="819">
        <f t="shared" si="315"/>
        <v>0</v>
      </c>
      <c r="H471" s="819">
        <f t="shared" si="315"/>
        <v>0</v>
      </c>
      <c r="I471" s="819">
        <f t="shared" si="315"/>
        <v>0</v>
      </c>
      <c r="J471" s="819">
        <f t="shared" si="315"/>
        <v>0</v>
      </c>
      <c r="K471" s="819">
        <f t="shared" si="315"/>
        <v>0</v>
      </c>
      <c r="L471" s="819">
        <f t="shared" si="315"/>
        <v>0</v>
      </c>
      <c r="M471" s="819">
        <f t="shared" si="315"/>
        <v>0</v>
      </c>
      <c r="N471" s="819">
        <f t="shared" si="315"/>
        <v>0</v>
      </c>
      <c r="O471" s="819">
        <f t="shared" si="315"/>
        <v>0</v>
      </c>
      <c r="P471" s="819">
        <f t="shared" si="315"/>
        <v>0</v>
      </c>
      <c r="Q471" s="819">
        <f t="shared" si="315"/>
        <v>0</v>
      </c>
      <c r="R471" s="824"/>
      <c r="S471" s="819">
        <f t="shared" si="305"/>
        <v>0</v>
      </c>
      <c r="T471" s="674"/>
      <c r="U471" s="674"/>
      <c r="V471" s="729"/>
      <c r="W471" s="729"/>
      <c r="X471" s="729"/>
      <c r="Y471" s="729"/>
      <c r="Z471" s="729"/>
      <c r="AA471" s="729"/>
      <c r="AB471" s="729"/>
      <c r="AC471" s="729"/>
      <c r="AD471" s="729"/>
      <c r="AE471" s="729"/>
      <c r="AF471" s="729"/>
      <c r="AG471" s="729"/>
      <c r="AH471" s="729"/>
      <c r="AI471" s="729"/>
      <c r="AJ471" s="729"/>
    </row>
    <row r="472" spans="1:36" ht="15" thickTop="1">
      <c r="A472" s="674"/>
      <c r="B472" s="817" t="s">
        <v>651</v>
      </c>
      <c r="C472" s="817"/>
      <c r="D472" s="817"/>
      <c r="E472" s="817"/>
      <c r="F472" s="1031">
        <f t="shared" ref="F472:Q472" si="316">F179+F142-F143</f>
        <v>229383174</v>
      </c>
      <c r="G472" s="1031">
        <f t="shared" si="316"/>
        <v>-268365504</v>
      </c>
      <c r="H472" s="1031">
        <f t="shared" si="316"/>
        <v>74756784</v>
      </c>
      <c r="I472" s="1031">
        <f t="shared" si="316"/>
        <v>-3773593840</v>
      </c>
      <c r="J472" s="1031">
        <f t="shared" si="316"/>
        <v>-112934816</v>
      </c>
      <c r="K472" s="1031">
        <f t="shared" si="316"/>
        <v>-129380983</v>
      </c>
      <c r="L472" s="1031">
        <f t="shared" si="316"/>
        <v>48580582.56666667</v>
      </c>
      <c r="M472" s="1031">
        <f t="shared" si="316"/>
        <v>-1792262252.1575398</v>
      </c>
      <c r="N472" s="1031">
        <f t="shared" si="316"/>
        <v>313516448.44770616</v>
      </c>
      <c r="O472" s="1031">
        <f t="shared" si="316"/>
        <v>372957045.21845222</v>
      </c>
      <c r="P472" s="1031">
        <f t="shared" si="316"/>
        <v>432970630.01206607</v>
      </c>
      <c r="Q472" s="1031">
        <f t="shared" si="316"/>
        <v>480910360.15483433</v>
      </c>
      <c r="R472" s="1034"/>
      <c r="S472" s="1031">
        <f t="shared" si="305"/>
        <v>-4123462370.7578149</v>
      </c>
      <c r="T472" s="674"/>
      <c r="U472" s="674"/>
      <c r="V472" s="729"/>
      <c r="W472" s="729"/>
      <c r="X472" s="729"/>
      <c r="Y472" s="729"/>
      <c r="Z472" s="729"/>
      <c r="AA472" s="729"/>
      <c r="AB472" s="729"/>
      <c r="AC472" s="729"/>
      <c r="AD472" s="729"/>
      <c r="AE472" s="729"/>
      <c r="AF472" s="729"/>
      <c r="AG472" s="729"/>
      <c r="AH472" s="729"/>
      <c r="AI472" s="729"/>
      <c r="AJ472" s="729"/>
    </row>
    <row r="473" spans="1:36">
      <c r="A473" s="674"/>
      <c r="B473" s="678" t="s">
        <v>652</v>
      </c>
      <c r="C473" s="678"/>
      <c r="D473" s="678"/>
      <c r="E473" s="678"/>
      <c r="F473" s="853">
        <f t="shared" ref="F473:Q473" si="317">F186</f>
        <v>460842174</v>
      </c>
      <c r="G473" s="853">
        <f t="shared" si="317"/>
        <v>157229122</v>
      </c>
      <c r="H473" s="853">
        <f t="shared" si="317"/>
        <v>195058323</v>
      </c>
      <c r="I473" s="853">
        <f t="shared" si="317"/>
        <v>357757161</v>
      </c>
      <c r="J473" s="853">
        <f t="shared" si="317"/>
        <v>244822345</v>
      </c>
      <c r="K473" s="853">
        <f t="shared" si="317"/>
        <v>115441362</v>
      </c>
      <c r="L473" s="853">
        <f t="shared" si="317"/>
        <v>174266926</v>
      </c>
      <c r="M473" s="853">
        <f t="shared" si="317"/>
        <v>-1617995326.1575398</v>
      </c>
      <c r="N473" s="853">
        <f t="shared" si="317"/>
        <v>-1304478877.7098336</v>
      </c>
      <c r="O473" s="853">
        <f t="shared" si="317"/>
        <v>-931521832.49138141</v>
      </c>
      <c r="P473" s="853">
        <f t="shared" si="317"/>
        <v>-498551202.47931534</v>
      </c>
      <c r="Q473" s="853">
        <f t="shared" si="317"/>
        <v>-17640842.32448101</v>
      </c>
      <c r="R473" s="859"/>
      <c r="S473" s="853">
        <f>Q473</f>
        <v>-17640842.32448101</v>
      </c>
      <c r="T473" s="674"/>
      <c r="U473" s="674"/>
      <c r="V473" s="729"/>
      <c r="W473" s="729"/>
      <c r="X473" s="729"/>
      <c r="Y473" s="729"/>
      <c r="Z473" s="729"/>
      <c r="AA473" s="729"/>
      <c r="AB473" s="729"/>
      <c r="AC473" s="729"/>
      <c r="AD473" s="729"/>
      <c r="AE473" s="729"/>
      <c r="AF473" s="729"/>
      <c r="AG473" s="729"/>
      <c r="AH473" s="729"/>
      <c r="AI473" s="729"/>
      <c r="AJ473" s="729"/>
    </row>
    <row r="474" spans="1:36">
      <c r="A474" s="674"/>
      <c r="B474" s="674"/>
      <c r="C474" s="674"/>
      <c r="D474" s="674"/>
      <c r="E474" s="674"/>
      <c r="F474" s="674"/>
      <c r="G474" s="674"/>
      <c r="H474" s="674"/>
      <c r="I474" s="674"/>
      <c r="J474" s="674"/>
      <c r="K474" s="674"/>
      <c r="L474" s="674"/>
      <c r="M474" s="674"/>
      <c r="N474" s="674"/>
      <c r="O474" s="674"/>
      <c r="P474" s="674"/>
      <c r="Q474" s="674"/>
      <c r="R474" s="674"/>
      <c r="S474" s="674"/>
      <c r="T474" s="674"/>
      <c r="U474" s="674"/>
      <c r="V474" s="729"/>
      <c r="W474" s="729"/>
      <c r="X474" s="729"/>
      <c r="Y474" s="729"/>
      <c r="Z474" s="729"/>
      <c r="AA474" s="729"/>
      <c r="AB474" s="729"/>
      <c r="AC474" s="729"/>
      <c r="AD474" s="729"/>
      <c r="AE474" s="729"/>
      <c r="AF474" s="729"/>
      <c r="AG474" s="729"/>
      <c r="AH474" s="729"/>
      <c r="AI474" s="729"/>
      <c r="AJ474" s="729"/>
    </row>
    <row r="475" spans="1:36">
      <c r="A475" s="674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4"/>
      <c r="P475" s="674"/>
      <c r="Q475" s="674"/>
      <c r="R475" s="674"/>
      <c r="S475" s="674"/>
      <c r="T475" s="674"/>
      <c r="U475" s="674"/>
      <c r="V475" s="729"/>
      <c r="W475" s="729"/>
      <c r="X475" s="729"/>
      <c r="Y475" s="729"/>
      <c r="Z475" s="729"/>
      <c r="AA475" s="729"/>
      <c r="AB475" s="729"/>
      <c r="AC475" s="729"/>
      <c r="AD475" s="729"/>
      <c r="AE475" s="729"/>
      <c r="AF475" s="729"/>
      <c r="AG475" s="729"/>
      <c r="AH475" s="729"/>
      <c r="AI475" s="729"/>
      <c r="AJ475" s="729"/>
    </row>
    <row r="476" spans="1:36">
      <c r="A476" s="682"/>
      <c r="B476" s="814" t="s">
        <v>653</v>
      </c>
      <c r="C476" s="814"/>
      <c r="D476" s="814"/>
      <c r="E476" s="814"/>
      <c r="F476" s="814"/>
      <c r="G476" s="814"/>
      <c r="H476" s="814"/>
      <c r="I476" s="814"/>
      <c r="J476" s="814"/>
      <c r="K476" s="814"/>
      <c r="L476" s="814"/>
      <c r="M476" s="814"/>
      <c r="N476" s="814"/>
      <c r="O476" s="814"/>
      <c r="P476" s="814"/>
      <c r="Q476" s="814"/>
      <c r="R476" s="814"/>
      <c r="S476" s="814"/>
      <c r="T476" s="682"/>
      <c r="U476" s="682"/>
      <c r="V476" s="729"/>
      <c r="W476" s="729"/>
      <c r="X476" s="729"/>
      <c r="Y476" s="729"/>
      <c r="Z476" s="729"/>
      <c r="AA476" s="729"/>
      <c r="AB476" s="729"/>
      <c r="AC476" s="729"/>
      <c r="AD476" s="729"/>
      <c r="AE476" s="729"/>
      <c r="AF476" s="729"/>
      <c r="AG476" s="729"/>
      <c r="AH476" s="729"/>
      <c r="AI476" s="729"/>
      <c r="AJ476" s="729"/>
    </row>
    <row r="477" spans="1:36">
      <c r="A477" s="674"/>
      <c r="B477" s="678" t="s">
        <v>654</v>
      </c>
      <c r="C477" s="674" t="s">
        <v>655</v>
      </c>
      <c r="D477" s="674"/>
      <c r="E477" s="674"/>
      <c r="F477" s="674"/>
      <c r="G477" s="674"/>
      <c r="H477" s="674"/>
      <c r="I477" s="674"/>
      <c r="J477" s="674"/>
      <c r="K477" s="674"/>
      <c r="L477" s="674"/>
      <c r="M477" s="674"/>
      <c r="N477" s="674"/>
      <c r="O477" s="674"/>
      <c r="P477" s="674"/>
      <c r="Q477" s="674"/>
      <c r="R477" s="674"/>
      <c r="S477" s="674"/>
      <c r="T477" s="674"/>
      <c r="U477" s="674"/>
      <c r="V477" s="729"/>
      <c r="W477" s="729"/>
      <c r="X477" s="729"/>
      <c r="Y477" s="729"/>
      <c r="Z477" s="729"/>
      <c r="AA477" s="729"/>
      <c r="AB477" s="729"/>
      <c r="AC477" s="729"/>
      <c r="AD477" s="729"/>
      <c r="AE477" s="729"/>
      <c r="AF477" s="729"/>
      <c r="AG477" s="729"/>
      <c r="AH477" s="729"/>
      <c r="AI477" s="729"/>
      <c r="AJ477" s="729"/>
    </row>
    <row r="478" spans="1:36">
      <c r="A478" s="674"/>
      <c r="B478" s="678" t="s">
        <v>656</v>
      </c>
      <c r="C478" s="674" t="s">
        <v>657</v>
      </c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729"/>
      <c r="W478" s="729"/>
      <c r="X478" s="729"/>
      <c r="Y478" s="729"/>
      <c r="Z478" s="729"/>
      <c r="AA478" s="729"/>
      <c r="AB478" s="729"/>
      <c r="AC478" s="729"/>
      <c r="AD478" s="729"/>
      <c r="AE478" s="729"/>
      <c r="AF478" s="729"/>
      <c r="AG478" s="729"/>
      <c r="AH478" s="729"/>
      <c r="AI478" s="729"/>
      <c r="AJ478" s="729"/>
    </row>
    <row r="479" spans="1:36">
      <c r="A479" s="674"/>
      <c r="B479" s="678" t="s">
        <v>658</v>
      </c>
      <c r="C479" s="674" t="s">
        <v>659</v>
      </c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729"/>
      <c r="W479" s="729"/>
      <c r="X479" s="729"/>
      <c r="Y479" s="729"/>
      <c r="Z479" s="729"/>
      <c r="AA479" s="729"/>
      <c r="AB479" s="729"/>
      <c r="AC479" s="729"/>
      <c r="AD479" s="729"/>
      <c r="AE479" s="729"/>
      <c r="AF479" s="729"/>
      <c r="AG479" s="729"/>
      <c r="AH479" s="729"/>
      <c r="AI479" s="729"/>
      <c r="AJ479" s="729"/>
    </row>
    <row r="480" spans="1:36">
      <c r="A480" s="674"/>
      <c r="B480" s="678" t="s">
        <v>660</v>
      </c>
      <c r="C480" s="674" t="s">
        <v>661</v>
      </c>
      <c r="D480" s="674"/>
      <c r="E480" s="674"/>
      <c r="F480" s="674"/>
      <c r="G480" s="674"/>
      <c r="H480" s="674"/>
      <c r="I480" s="674"/>
      <c r="J480" s="674"/>
      <c r="K480" s="674"/>
      <c r="L480" s="674"/>
      <c r="M480" s="674"/>
      <c r="N480" s="674"/>
      <c r="O480" s="674"/>
      <c r="P480" s="674"/>
      <c r="Q480" s="674"/>
      <c r="R480" s="674"/>
      <c r="S480" s="674"/>
      <c r="T480" s="674"/>
      <c r="U480" s="674"/>
      <c r="V480" s="729"/>
      <c r="W480" s="729"/>
      <c r="X480" s="729"/>
      <c r="Y480" s="729"/>
      <c r="Z480" s="729"/>
      <c r="AA480" s="729"/>
      <c r="AB480" s="729"/>
      <c r="AC480" s="729"/>
      <c r="AD480" s="729"/>
      <c r="AE480" s="729"/>
      <c r="AF480" s="729"/>
      <c r="AG480" s="729"/>
      <c r="AH480" s="729"/>
      <c r="AI480" s="729"/>
      <c r="AJ480" s="729"/>
    </row>
    <row r="481" spans="1:36">
      <c r="A481" s="674"/>
      <c r="B481" s="678" t="s">
        <v>656</v>
      </c>
      <c r="C481" s="674" t="s">
        <v>662</v>
      </c>
      <c r="D481" s="674"/>
      <c r="E481" s="674"/>
      <c r="F481" s="674"/>
      <c r="G481" s="674"/>
      <c r="H481" s="674"/>
      <c r="I481" s="674"/>
      <c r="J481" s="674"/>
      <c r="K481" s="674"/>
      <c r="L481" s="674"/>
      <c r="M481" s="674"/>
      <c r="N481" s="674"/>
      <c r="O481" s="674"/>
      <c r="P481" s="674"/>
      <c r="Q481" s="674"/>
      <c r="R481" s="674"/>
      <c r="S481" s="674"/>
      <c r="T481" s="674"/>
      <c r="U481" s="674"/>
      <c r="V481" s="729"/>
      <c r="W481" s="729"/>
      <c r="X481" s="729"/>
      <c r="Y481" s="729"/>
      <c r="Z481" s="729"/>
      <c r="AA481" s="729"/>
      <c r="AB481" s="729"/>
      <c r="AC481" s="729"/>
      <c r="AD481" s="729"/>
      <c r="AE481" s="729"/>
      <c r="AF481" s="729"/>
      <c r="AG481" s="729"/>
      <c r="AH481" s="729"/>
      <c r="AI481" s="729"/>
      <c r="AJ481" s="729"/>
    </row>
    <row r="482" spans="1:36">
      <c r="A482" s="674"/>
      <c r="B482" s="678" t="s">
        <v>663</v>
      </c>
      <c r="C482" s="674" t="s">
        <v>664</v>
      </c>
      <c r="D482" s="674"/>
      <c r="E482" s="674"/>
      <c r="F482" s="674"/>
      <c r="G482" s="674"/>
      <c r="H482" s="674"/>
      <c r="I482" s="674"/>
      <c r="J482" s="674"/>
      <c r="K482" s="674"/>
      <c r="L482" s="674"/>
      <c r="M482" s="674"/>
      <c r="N482" s="674"/>
      <c r="O482" s="674"/>
      <c r="P482" s="674"/>
      <c r="Q482" s="674"/>
      <c r="R482" s="674"/>
      <c r="S482" s="674"/>
      <c r="T482" s="674"/>
      <c r="U482" s="674"/>
      <c r="V482" s="729"/>
      <c r="W482" s="729"/>
      <c r="X482" s="729"/>
      <c r="Y482" s="729"/>
      <c r="Z482" s="729"/>
      <c r="AA482" s="729"/>
      <c r="AB482" s="729"/>
      <c r="AC482" s="729"/>
      <c r="AD482" s="729"/>
      <c r="AE482" s="729"/>
      <c r="AF482" s="729"/>
      <c r="AG482" s="729"/>
      <c r="AH482" s="729"/>
      <c r="AI482" s="729"/>
      <c r="AJ482" s="729"/>
    </row>
    <row r="483" spans="1:36">
      <c r="A483" s="674"/>
      <c r="B483" s="678" t="s">
        <v>665</v>
      </c>
      <c r="C483" s="674" t="s">
        <v>666</v>
      </c>
      <c r="D483" s="674"/>
      <c r="E483" s="674"/>
      <c r="F483" s="674"/>
      <c r="G483" s="674"/>
      <c r="H483" s="674"/>
      <c r="I483" s="674"/>
      <c r="J483" s="674"/>
      <c r="K483" s="674"/>
      <c r="L483" s="674"/>
      <c r="M483" s="674"/>
      <c r="N483" s="674"/>
      <c r="O483" s="674"/>
      <c r="P483" s="674"/>
      <c r="Q483" s="674"/>
      <c r="R483" s="674"/>
      <c r="S483" s="674"/>
      <c r="T483" s="674"/>
      <c r="U483" s="674"/>
      <c r="V483" s="729"/>
      <c r="W483" s="729"/>
      <c r="X483" s="729"/>
      <c r="Y483" s="729"/>
      <c r="Z483" s="729"/>
      <c r="AA483" s="729"/>
      <c r="AB483" s="729"/>
      <c r="AC483" s="729"/>
      <c r="AD483" s="729"/>
      <c r="AE483" s="729"/>
      <c r="AF483" s="729"/>
      <c r="AG483" s="729"/>
      <c r="AH483" s="729"/>
      <c r="AI483" s="729"/>
      <c r="AJ483" s="729"/>
    </row>
    <row r="484" spans="1:36">
      <c r="A484" s="674"/>
      <c r="B484" s="678" t="s">
        <v>667</v>
      </c>
      <c r="C484" s="674" t="s">
        <v>668</v>
      </c>
      <c r="D484" s="674"/>
      <c r="E484" s="674"/>
      <c r="F484" s="674"/>
      <c r="G484" s="674"/>
      <c r="H484" s="674"/>
      <c r="I484" s="674"/>
      <c r="J484" s="674"/>
      <c r="K484" s="674"/>
      <c r="L484" s="674"/>
      <c r="M484" s="674"/>
      <c r="N484" s="674"/>
      <c r="O484" s="674"/>
      <c r="P484" s="674"/>
      <c r="Q484" s="674"/>
      <c r="R484" s="674"/>
      <c r="S484" s="674"/>
      <c r="T484" s="674"/>
      <c r="U484" s="674"/>
      <c r="V484" s="729"/>
      <c r="W484" s="729"/>
      <c r="X484" s="729"/>
      <c r="Y484" s="729"/>
      <c r="Z484" s="729"/>
      <c r="AA484" s="729"/>
      <c r="AB484" s="729"/>
      <c r="AC484" s="729"/>
      <c r="AD484" s="729"/>
      <c r="AE484" s="729"/>
      <c r="AF484" s="729"/>
      <c r="AG484" s="729"/>
      <c r="AH484" s="729"/>
      <c r="AI484" s="729"/>
      <c r="AJ484" s="729"/>
    </row>
    <row r="485" spans="1:36">
      <c r="A485" s="729"/>
      <c r="B485" s="729"/>
      <c r="C485" s="729"/>
      <c r="D485" s="729"/>
      <c r="E485" s="729"/>
      <c r="F485" s="729"/>
      <c r="G485" s="729"/>
      <c r="H485" s="729"/>
      <c r="I485" s="729"/>
      <c r="J485" s="729"/>
      <c r="K485" s="729"/>
      <c r="L485" s="729"/>
      <c r="M485" s="729"/>
      <c r="N485" s="729"/>
      <c r="O485" s="729"/>
      <c r="P485" s="729"/>
      <c r="Q485" s="729"/>
      <c r="R485" s="729"/>
      <c r="S485" s="729"/>
      <c r="T485" s="729"/>
      <c r="U485" s="729"/>
      <c r="V485" s="729"/>
      <c r="W485" s="729"/>
      <c r="X485" s="729"/>
      <c r="Y485" s="729"/>
      <c r="Z485" s="729"/>
      <c r="AA485" s="729"/>
      <c r="AB485" s="729"/>
      <c r="AC485" s="729"/>
      <c r="AD485" s="729"/>
      <c r="AE485" s="729"/>
      <c r="AF485" s="729"/>
      <c r="AG485" s="729"/>
      <c r="AH485" s="729"/>
      <c r="AI485" s="729"/>
      <c r="AJ485" s="729"/>
    </row>
    <row r="486" spans="1:36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29"/>
      <c r="P486" s="729"/>
      <c r="Q486" s="729"/>
      <c r="R486" s="729"/>
      <c r="S486" s="729"/>
      <c r="T486" s="729"/>
      <c r="U486" s="729"/>
      <c r="V486" s="729"/>
      <c r="W486" s="729"/>
      <c r="X486" s="729"/>
      <c r="Y486" s="729"/>
      <c r="Z486" s="729"/>
      <c r="AA486" s="729"/>
      <c r="AB486" s="729"/>
      <c r="AC486" s="729"/>
      <c r="AD486" s="729"/>
      <c r="AE486" s="729"/>
      <c r="AF486" s="729"/>
      <c r="AG486" s="729"/>
      <c r="AH486" s="729"/>
      <c r="AI486" s="729"/>
      <c r="AJ486" s="729"/>
    </row>
    <row r="487" spans="1:36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29"/>
      <c r="P487" s="729"/>
      <c r="Q487" s="729"/>
      <c r="R487" s="729"/>
      <c r="S487" s="729"/>
      <c r="T487" s="729"/>
      <c r="U487" s="729"/>
      <c r="V487" s="729"/>
      <c r="W487" s="729"/>
      <c r="X487" s="729"/>
      <c r="Y487" s="729"/>
      <c r="Z487" s="729"/>
      <c r="AA487" s="729"/>
      <c r="AB487" s="729"/>
      <c r="AC487" s="729"/>
      <c r="AD487" s="729"/>
      <c r="AE487" s="729"/>
      <c r="AF487" s="729"/>
      <c r="AG487" s="729"/>
      <c r="AH487" s="729"/>
      <c r="AI487" s="729"/>
      <c r="AJ487" s="729"/>
    </row>
    <row r="488" spans="1:36">
      <c r="A488" s="729"/>
      <c r="B488" s="729"/>
      <c r="C488" s="729"/>
      <c r="D488" s="729"/>
      <c r="E488" s="729"/>
      <c r="F488" s="729"/>
      <c r="G488" s="729"/>
      <c r="H488" s="729"/>
      <c r="I488" s="729"/>
      <c r="J488" s="729"/>
      <c r="K488" s="729"/>
      <c r="L488" s="729"/>
      <c r="M488" s="729"/>
      <c r="N488" s="729"/>
      <c r="O488" s="729"/>
      <c r="P488" s="729"/>
      <c r="Q488" s="729"/>
      <c r="R488" s="729"/>
      <c r="S488" s="729"/>
      <c r="T488" s="729"/>
      <c r="U488" s="729"/>
      <c r="V488" s="729"/>
      <c r="W488" s="729"/>
      <c r="X488" s="729"/>
      <c r="Y488" s="729"/>
      <c r="Z488" s="729"/>
      <c r="AA488" s="729"/>
      <c r="AB488" s="729"/>
      <c r="AC488" s="729"/>
      <c r="AD488" s="729"/>
      <c r="AE488" s="729"/>
      <c r="AF488" s="729"/>
      <c r="AG488" s="729"/>
      <c r="AH488" s="729"/>
      <c r="AI488" s="729"/>
      <c r="AJ488" s="729"/>
    </row>
    <row r="489" spans="1:36">
      <c r="A489" s="729"/>
      <c r="B489" s="729"/>
      <c r="C489" s="729"/>
      <c r="D489" s="729"/>
      <c r="E489" s="729"/>
      <c r="F489" s="729"/>
      <c r="G489" s="729"/>
      <c r="H489" s="729"/>
      <c r="I489" s="729"/>
      <c r="J489" s="729"/>
      <c r="K489" s="729"/>
      <c r="L489" s="729"/>
      <c r="M489" s="729"/>
      <c r="N489" s="729"/>
      <c r="O489" s="729"/>
      <c r="P489" s="729"/>
      <c r="Q489" s="729"/>
      <c r="R489" s="729"/>
      <c r="S489" s="729"/>
      <c r="T489" s="729"/>
      <c r="U489" s="729"/>
      <c r="V489" s="729"/>
      <c r="W489" s="729"/>
      <c r="X489" s="729"/>
      <c r="Y489" s="729"/>
      <c r="Z489" s="729"/>
      <c r="AA489" s="729"/>
      <c r="AB489" s="729"/>
      <c r="AC489" s="729"/>
      <c r="AD489" s="729"/>
      <c r="AE489" s="729"/>
      <c r="AF489" s="729"/>
      <c r="AG489" s="729"/>
      <c r="AH489" s="729"/>
      <c r="AI489" s="729"/>
      <c r="AJ489" s="729"/>
    </row>
    <row r="490" spans="1:36">
      <c r="A490" s="729"/>
      <c r="B490" s="729"/>
      <c r="C490" s="729"/>
      <c r="D490" s="729"/>
      <c r="E490" s="729"/>
      <c r="F490" s="729"/>
      <c r="G490" s="729"/>
      <c r="H490" s="729"/>
      <c r="I490" s="729"/>
      <c r="J490" s="729"/>
      <c r="K490" s="729"/>
      <c r="L490" s="729"/>
      <c r="M490" s="729"/>
      <c r="N490" s="729"/>
      <c r="O490" s="729"/>
      <c r="P490" s="729"/>
      <c r="Q490" s="729"/>
      <c r="R490" s="729"/>
      <c r="S490" s="729"/>
      <c r="T490" s="729"/>
      <c r="U490" s="729"/>
      <c r="V490" s="729"/>
      <c r="W490" s="729"/>
      <c r="X490" s="729"/>
      <c r="Y490" s="729"/>
      <c r="Z490" s="729"/>
      <c r="AA490" s="729"/>
      <c r="AB490" s="729"/>
      <c r="AC490" s="729"/>
      <c r="AD490" s="729"/>
      <c r="AE490" s="729"/>
      <c r="AF490" s="729"/>
      <c r="AG490" s="729"/>
      <c r="AH490" s="729"/>
      <c r="AI490" s="729"/>
      <c r="AJ490" s="729"/>
    </row>
    <row r="491" spans="1:36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29"/>
      <c r="P491" s="729"/>
      <c r="Q491" s="729"/>
      <c r="R491" s="729"/>
      <c r="S491" s="729"/>
      <c r="T491" s="729"/>
      <c r="U491" s="729"/>
      <c r="V491" s="729"/>
      <c r="W491" s="729"/>
      <c r="X491" s="729"/>
      <c r="Y491" s="729"/>
      <c r="Z491" s="729"/>
      <c r="AA491" s="729"/>
      <c r="AB491" s="729"/>
      <c r="AC491" s="729"/>
      <c r="AD491" s="729"/>
      <c r="AE491" s="729"/>
      <c r="AF491" s="729"/>
      <c r="AG491" s="729"/>
      <c r="AH491" s="729"/>
      <c r="AI491" s="729"/>
      <c r="AJ491" s="729"/>
    </row>
    <row r="492" spans="1:36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29"/>
      <c r="P492" s="729"/>
      <c r="Q492" s="729"/>
      <c r="R492" s="729"/>
      <c r="S492" s="729"/>
      <c r="T492" s="729"/>
      <c r="U492" s="729"/>
      <c r="V492" s="729"/>
      <c r="W492" s="729"/>
      <c r="X492" s="729"/>
      <c r="Y492" s="729"/>
      <c r="Z492" s="729"/>
      <c r="AA492" s="729"/>
      <c r="AB492" s="729"/>
      <c r="AC492" s="729"/>
      <c r="AD492" s="729"/>
      <c r="AE492" s="729"/>
      <c r="AF492" s="729"/>
      <c r="AG492" s="729"/>
      <c r="AH492" s="729"/>
      <c r="AI492" s="729"/>
      <c r="AJ492" s="729"/>
    </row>
    <row r="493" spans="1:36">
      <c r="A493" s="729"/>
      <c r="B493" s="729"/>
      <c r="C493" s="729"/>
      <c r="D493" s="729"/>
      <c r="E493" s="729"/>
      <c r="F493" s="729"/>
      <c r="G493" s="729"/>
      <c r="H493" s="729"/>
      <c r="I493" s="729"/>
      <c r="J493" s="729"/>
      <c r="K493" s="729"/>
      <c r="L493" s="729"/>
      <c r="M493" s="729"/>
      <c r="N493" s="729"/>
      <c r="O493" s="729"/>
      <c r="P493" s="729"/>
      <c r="Q493" s="729"/>
      <c r="R493" s="729"/>
      <c r="S493" s="729"/>
      <c r="T493" s="729"/>
      <c r="U493" s="729"/>
      <c r="V493" s="729"/>
      <c r="W493" s="729"/>
      <c r="X493" s="729"/>
      <c r="Y493" s="729"/>
      <c r="Z493" s="729"/>
      <c r="AA493" s="729"/>
      <c r="AB493" s="729"/>
      <c r="AC493" s="729"/>
      <c r="AD493" s="729"/>
      <c r="AE493" s="729"/>
      <c r="AF493" s="729"/>
      <c r="AG493" s="729"/>
      <c r="AH493" s="729"/>
      <c r="AI493" s="729"/>
      <c r="AJ493" s="729"/>
    </row>
    <row r="494" spans="1:36">
      <c r="A494" s="729"/>
      <c r="B494" s="729"/>
      <c r="C494" s="729"/>
      <c r="D494" s="729"/>
      <c r="E494" s="729"/>
      <c r="F494" s="729"/>
      <c r="G494" s="729"/>
      <c r="H494" s="729"/>
      <c r="I494" s="729"/>
      <c r="J494" s="729"/>
      <c r="K494" s="729"/>
      <c r="L494" s="729"/>
      <c r="M494" s="729"/>
      <c r="N494" s="729"/>
      <c r="O494" s="729"/>
      <c r="P494" s="729"/>
      <c r="Q494" s="729"/>
      <c r="R494" s="729"/>
      <c r="S494" s="729"/>
      <c r="T494" s="729"/>
      <c r="U494" s="729"/>
      <c r="V494" s="729"/>
      <c r="W494" s="729"/>
      <c r="X494" s="729"/>
      <c r="Y494" s="729"/>
      <c r="Z494" s="729"/>
      <c r="AA494" s="729"/>
      <c r="AB494" s="729"/>
      <c r="AC494" s="729"/>
      <c r="AD494" s="729"/>
      <c r="AE494" s="729"/>
      <c r="AF494" s="729"/>
      <c r="AG494" s="729"/>
      <c r="AH494" s="729"/>
      <c r="AI494" s="729"/>
      <c r="AJ494" s="729"/>
    </row>
    <row r="495" spans="1:36">
      <c r="A495" s="729"/>
      <c r="B495" s="729"/>
      <c r="C495" s="729"/>
      <c r="D495" s="729"/>
      <c r="E495" s="729"/>
      <c r="F495" s="729"/>
      <c r="G495" s="729"/>
      <c r="H495" s="729"/>
      <c r="I495" s="729"/>
      <c r="J495" s="729"/>
      <c r="K495" s="729"/>
      <c r="L495" s="729"/>
      <c r="M495" s="729"/>
      <c r="N495" s="729"/>
      <c r="O495" s="729"/>
      <c r="P495" s="729"/>
      <c r="Q495" s="729"/>
      <c r="R495" s="729"/>
      <c r="S495" s="729"/>
      <c r="T495" s="729"/>
      <c r="U495" s="729"/>
      <c r="V495" s="729"/>
      <c r="W495" s="729"/>
      <c r="X495" s="729"/>
      <c r="Y495" s="729"/>
      <c r="Z495" s="729"/>
      <c r="AA495" s="729"/>
      <c r="AB495" s="729"/>
      <c r="AC495" s="729"/>
      <c r="AD495" s="729"/>
      <c r="AE495" s="729"/>
      <c r="AF495" s="729"/>
      <c r="AG495" s="729"/>
      <c r="AH495" s="729"/>
      <c r="AI495" s="729"/>
      <c r="AJ495" s="729"/>
    </row>
    <row r="496" spans="1:36">
      <c r="A496" s="729"/>
      <c r="B496" s="729"/>
      <c r="C496" s="729"/>
      <c r="D496" s="729"/>
      <c r="E496" s="729"/>
      <c r="F496" s="729"/>
      <c r="G496" s="729"/>
      <c r="H496" s="729"/>
      <c r="I496" s="729"/>
      <c r="J496" s="729"/>
      <c r="K496" s="729"/>
      <c r="L496" s="729"/>
      <c r="M496" s="729"/>
      <c r="N496" s="729"/>
      <c r="O496" s="729"/>
      <c r="P496" s="729"/>
      <c r="Q496" s="729"/>
      <c r="R496" s="729"/>
      <c r="S496" s="729"/>
      <c r="T496" s="729"/>
      <c r="U496" s="729"/>
      <c r="V496" s="729"/>
      <c r="W496" s="729"/>
      <c r="X496" s="729"/>
      <c r="Y496" s="729"/>
      <c r="Z496" s="729"/>
      <c r="AA496" s="729"/>
      <c r="AB496" s="729"/>
      <c r="AC496" s="729"/>
      <c r="AD496" s="729"/>
      <c r="AE496" s="729"/>
      <c r="AF496" s="729"/>
      <c r="AG496" s="729"/>
      <c r="AH496" s="729"/>
      <c r="AI496" s="729"/>
      <c r="AJ496" s="729"/>
    </row>
    <row r="497" spans="1:36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29"/>
      <c r="P497" s="729"/>
      <c r="Q497" s="729"/>
      <c r="R497" s="729"/>
      <c r="S497" s="729"/>
      <c r="T497" s="729"/>
      <c r="U497" s="729"/>
      <c r="V497" s="729"/>
      <c r="W497" s="729"/>
      <c r="X497" s="729"/>
      <c r="Y497" s="729"/>
      <c r="Z497" s="729"/>
      <c r="AA497" s="729"/>
      <c r="AB497" s="729"/>
      <c r="AC497" s="729"/>
      <c r="AD497" s="729"/>
      <c r="AE497" s="729"/>
      <c r="AF497" s="729"/>
      <c r="AG497" s="729"/>
      <c r="AH497" s="729"/>
      <c r="AI497" s="729"/>
      <c r="AJ497" s="729"/>
    </row>
    <row r="498" spans="1:36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29"/>
      <c r="P498" s="729"/>
      <c r="Q498" s="729"/>
      <c r="R498" s="729"/>
      <c r="S498" s="729"/>
      <c r="T498" s="729"/>
      <c r="U498" s="729"/>
      <c r="V498" s="729"/>
      <c r="W498" s="729"/>
      <c r="X498" s="729"/>
      <c r="Y498" s="729"/>
      <c r="Z498" s="729"/>
      <c r="AA498" s="729"/>
      <c r="AB498" s="729"/>
      <c r="AC498" s="729"/>
      <c r="AD498" s="729"/>
      <c r="AE498" s="729"/>
      <c r="AF498" s="729"/>
      <c r="AG498" s="729"/>
      <c r="AH498" s="729"/>
      <c r="AI498" s="729"/>
      <c r="AJ498" s="729"/>
    </row>
    <row r="499" spans="1:36">
      <c r="A499" s="729"/>
      <c r="B499" s="729"/>
      <c r="C499" s="729"/>
      <c r="D499" s="729"/>
      <c r="E499" s="729"/>
      <c r="F499" s="729"/>
      <c r="G499" s="729"/>
      <c r="H499" s="729"/>
      <c r="I499" s="729"/>
      <c r="J499" s="729"/>
      <c r="K499" s="729"/>
      <c r="L499" s="729"/>
      <c r="M499" s="729"/>
      <c r="N499" s="729"/>
      <c r="O499" s="729"/>
      <c r="P499" s="729"/>
      <c r="Q499" s="729"/>
      <c r="R499" s="729"/>
      <c r="S499" s="729"/>
      <c r="T499" s="729"/>
      <c r="U499" s="729"/>
      <c r="V499" s="729"/>
      <c r="W499" s="729"/>
      <c r="X499" s="729"/>
      <c r="Y499" s="729"/>
      <c r="Z499" s="729"/>
      <c r="AA499" s="729"/>
      <c r="AB499" s="729"/>
      <c r="AC499" s="729"/>
      <c r="AD499" s="729"/>
      <c r="AE499" s="729"/>
      <c r="AF499" s="729"/>
      <c r="AG499" s="729"/>
      <c r="AH499" s="729"/>
      <c r="AI499" s="729"/>
      <c r="AJ499" s="729"/>
    </row>
    <row r="500" spans="1:36">
      <c r="A500" s="729"/>
      <c r="B500" s="729"/>
      <c r="C500" s="729"/>
      <c r="D500" s="729"/>
      <c r="E500" s="729"/>
      <c r="F500" s="729"/>
      <c r="G500" s="729"/>
      <c r="H500" s="729"/>
      <c r="I500" s="729"/>
      <c r="J500" s="729"/>
      <c r="K500" s="729"/>
      <c r="L500" s="729"/>
      <c r="M500" s="729"/>
      <c r="N500" s="729"/>
      <c r="O500" s="729"/>
      <c r="P500" s="729"/>
      <c r="Q500" s="729"/>
      <c r="R500" s="729"/>
      <c r="S500" s="729"/>
      <c r="T500" s="729"/>
      <c r="U500" s="729"/>
      <c r="V500" s="729"/>
      <c r="W500" s="729"/>
      <c r="X500" s="729"/>
      <c r="Y500" s="729"/>
      <c r="Z500" s="729"/>
      <c r="AA500" s="729"/>
      <c r="AB500" s="729"/>
      <c r="AC500" s="729"/>
      <c r="AD500" s="729"/>
      <c r="AE500" s="729"/>
      <c r="AF500" s="729"/>
      <c r="AG500" s="729"/>
      <c r="AH500" s="729"/>
      <c r="AI500" s="729"/>
      <c r="AJ500" s="729"/>
    </row>
    <row r="501" spans="1:36">
      <c r="A501" s="729"/>
      <c r="B501" s="729"/>
      <c r="C501" s="729"/>
      <c r="D501" s="729"/>
      <c r="E501" s="729"/>
      <c r="F501" s="729"/>
      <c r="G501" s="729"/>
      <c r="H501" s="729"/>
      <c r="I501" s="729"/>
      <c r="J501" s="729"/>
      <c r="K501" s="729"/>
      <c r="L501" s="729"/>
      <c r="M501" s="729"/>
      <c r="N501" s="729"/>
      <c r="O501" s="729"/>
      <c r="P501" s="729"/>
      <c r="Q501" s="729"/>
      <c r="R501" s="729"/>
      <c r="S501" s="729"/>
      <c r="T501" s="729"/>
      <c r="U501" s="729"/>
      <c r="V501" s="729"/>
      <c r="W501" s="729"/>
      <c r="X501" s="729"/>
      <c r="Y501" s="729"/>
      <c r="Z501" s="729"/>
      <c r="AA501" s="729"/>
      <c r="AB501" s="729"/>
      <c r="AC501" s="729"/>
      <c r="AD501" s="729"/>
      <c r="AE501" s="729"/>
      <c r="AF501" s="729"/>
      <c r="AG501" s="729"/>
      <c r="AH501" s="729"/>
      <c r="AI501" s="729"/>
      <c r="AJ501" s="729"/>
    </row>
    <row r="502" spans="1:36">
      <c r="A502" s="729"/>
      <c r="B502" s="729"/>
      <c r="C502" s="729"/>
      <c r="D502" s="729"/>
      <c r="E502" s="729"/>
      <c r="F502" s="729"/>
      <c r="G502" s="729"/>
      <c r="H502" s="729"/>
      <c r="I502" s="729"/>
      <c r="J502" s="729"/>
      <c r="K502" s="729"/>
      <c r="L502" s="729"/>
      <c r="M502" s="729"/>
      <c r="N502" s="729"/>
      <c r="O502" s="729"/>
      <c r="P502" s="729"/>
      <c r="Q502" s="729"/>
      <c r="R502" s="729"/>
      <c r="S502" s="729"/>
      <c r="T502" s="729"/>
      <c r="U502" s="729"/>
      <c r="V502" s="729"/>
      <c r="W502" s="729"/>
      <c r="X502" s="729"/>
      <c r="Y502" s="729"/>
      <c r="Z502" s="729"/>
      <c r="AA502" s="729"/>
      <c r="AB502" s="729"/>
      <c r="AC502" s="729"/>
      <c r="AD502" s="729"/>
      <c r="AE502" s="729"/>
      <c r="AF502" s="729"/>
      <c r="AG502" s="729"/>
      <c r="AH502" s="729"/>
      <c r="AI502" s="729"/>
      <c r="AJ502" s="729"/>
    </row>
    <row r="503" spans="1:36">
      <c r="A503" s="729"/>
      <c r="B503" s="729"/>
      <c r="C503" s="729"/>
      <c r="D503" s="729"/>
      <c r="E503" s="729"/>
      <c r="F503" s="729"/>
      <c r="G503" s="729"/>
      <c r="H503" s="729"/>
      <c r="I503" s="729"/>
      <c r="J503" s="729"/>
      <c r="K503" s="729"/>
      <c r="L503" s="729"/>
      <c r="M503" s="729"/>
      <c r="N503" s="729"/>
      <c r="O503" s="729"/>
      <c r="P503" s="729"/>
      <c r="Q503" s="729"/>
      <c r="R503" s="729"/>
      <c r="S503" s="729"/>
      <c r="T503" s="729"/>
      <c r="U503" s="729"/>
      <c r="V503" s="729"/>
      <c r="W503" s="729"/>
      <c r="X503" s="729"/>
      <c r="Y503" s="729"/>
      <c r="Z503" s="729"/>
      <c r="AA503" s="729"/>
      <c r="AB503" s="729"/>
      <c r="AC503" s="729"/>
      <c r="AD503" s="729"/>
      <c r="AE503" s="729"/>
      <c r="AF503" s="729"/>
      <c r="AG503" s="729"/>
      <c r="AH503" s="729"/>
      <c r="AI503" s="729"/>
      <c r="AJ503" s="729"/>
    </row>
    <row r="504" spans="1:36">
      <c r="A504" s="729"/>
      <c r="B504" s="729"/>
      <c r="C504" s="729"/>
      <c r="D504" s="729"/>
      <c r="E504" s="729"/>
      <c r="F504" s="729"/>
      <c r="G504" s="729"/>
      <c r="H504" s="729"/>
      <c r="I504" s="729"/>
      <c r="J504" s="729"/>
      <c r="K504" s="729"/>
      <c r="L504" s="729"/>
      <c r="M504" s="729"/>
      <c r="N504" s="729"/>
      <c r="O504" s="729"/>
      <c r="P504" s="729"/>
      <c r="Q504" s="729"/>
      <c r="R504" s="729"/>
      <c r="S504" s="729"/>
      <c r="T504" s="729"/>
      <c r="U504" s="729"/>
      <c r="V504" s="729"/>
      <c r="W504" s="729"/>
      <c r="X504" s="729"/>
      <c r="Y504" s="729"/>
      <c r="Z504" s="729"/>
      <c r="AA504" s="729"/>
      <c r="AB504" s="729"/>
      <c r="AC504" s="729"/>
      <c r="AD504" s="729"/>
      <c r="AE504" s="729"/>
      <c r="AF504" s="729"/>
      <c r="AG504" s="729"/>
      <c r="AH504" s="729"/>
      <c r="AI504" s="729"/>
      <c r="AJ504" s="729"/>
    </row>
    <row r="505" spans="1:36">
      <c r="A505" s="729"/>
      <c r="B505" s="729"/>
      <c r="C505" s="729"/>
      <c r="D505" s="729"/>
      <c r="E505" s="729"/>
      <c r="F505" s="729"/>
      <c r="G505" s="729"/>
      <c r="H505" s="729"/>
      <c r="I505" s="729"/>
      <c r="J505" s="729"/>
      <c r="K505" s="729"/>
      <c r="L505" s="729"/>
      <c r="M505" s="729"/>
      <c r="N505" s="729"/>
      <c r="O505" s="729"/>
      <c r="P505" s="729"/>
      <c r="Q505" s="729"/>
      <c r="R505" s="729"/>
      <c r="S505" s="729"/>
      <c r="T505" s="729"/>
      <c r="U505" s="729"/>
      <c r="V505" s="729"/>
      <c r="W505" s="729"/>
      <c r="X505" s="729"/>
      <c r="Y505" s="729"/>
      <c r="Z505" s="729"/>
      <c r="AA505" s="729"/>
      <c r="AB505" s="729"/>
      <c r="AC505" s="729"/>
      <c r="AD505" s="729"/>
      <c r="AE505" s="729"/>
      <c r="AF505" s="729"/>
      <c r="AG505" s="729"/>
      <c r="AH505" s="729"/>
      <c r="AI505" s="729"/>
      <c r="AJ505" s="729"/>
    </row>
    <row r="506" spans="1:36">
      <c r="A506" s="729"/>
      <c r="B506" s="729"/>
      <c r="C506" s="729"/>
      <c r="D506" s="729"/>
      <c r="E506" s="729"/>
      <c r="F506" s="729"/>
      <c r="G506" s="729"/>
      <c r="H506" s="729"/>
      <c r="I506" s="729"/>
      <c r="J506" s="729"/>
      <c r="K506" s="729"/>
      <c r="L506" s="729"/>
      <c r="M506" s="729"/>
      <c r="N506" s="729"/>
      <c r="O506" s="729"/>
      <c r="P506" s="729"/>
      <c r="Q506" s="729"/>
      <c r="R506" s="729"/>
      <c r="S506" s="729"/>
      <c r="T506" s="729"/>
      <c r="U506" s="729"/>
      <c r="V506" s="729"/>
      <c r="W506" s="729"/>
      <c r="X506" s="729"/>
      <c r="Y506" s="729"/>
      <c r="Z506" s="729"/>
      <c r="AA506" s="729"/>
      <c r="AB506" s="729"/>
      <c r="AC506" s="729"/>
      <c r="AD506" s="729"/>
      <c r="AE506" s="729"/>
      <c r="AF506" s="729"/>
      <c r="AG506" s="729"/>
      <c r="AH506" s="729"/>
      <c r="AI506" s="729"/>
      <c r="AJ506" s="729"/>
    </row>
    <row r="507" spans="1:36">
      <c r="A507" s="729"/>
      <c r="B507" s="729"/>
      <c r="C507" s="729"/>
      <c r="D507" s="729"/>
      <c r="E507" s="729"/>
      <c r="F507" s="729"/>
      <c r="G507" s="729"/>
      <c r="H507" s="729"/>
      <c r="I507" s="729"/>
      <c r="J507" s="729"/>
      <c r="K507" s="729"/>
      <c r="L507" s="729"/>
      <c r="M507" s="729"/>
      <c r="N507" s="729"/>
      <c r="O507" s="729"/>
      <c r="P507" s="729"/>
      <c r="Q507" s="729"/>
      <c r="R507" s="729"/>
      <c r="S507" s="729"/>
      <c r="T507" s="729"/>
      <c r="U507" s="729"/>
      <c r="V507" s="729"/>
      <c r="W507" s="729"/>
      <c r="X507" s="729"/>
      <c r="Y507" s="729"/>
      <c r="Z507" s="729"/>
      <c r="AA507" s="729"/>
      <c r="AB507" s="729"/>
      <c r="AC507" s="729"/>
      <c r="AD507" s="729"/>
      <c r="AE507" s="729"/>
      <c r="AF507" s="729"/>
      <c r="AG507" s="729"/>
      <c r="AH507" s="729"/>
      <c r="AI507" s="729"/>
      <c r="AJ507" s="729"/>
    </row>
    <row r="508" spans="1:36">
      <c r="A508" s="729"/>
      <c r="B508" s="729"/>
      <c r="C508" s="729"/>
      <c r="D508" s="729"/>
      <c r="E508" s="729"/>
      <c r="F508" s="729"/>
      <c r="G508" s="729"/>
      <c r="H508" s="729"/>
      <c r="I508" s="729"/>
      <c r="J508" s="729"/>
      <c r="K508" s="729"/>
      <c r="L508" s="729"/>
      <c r="M508" s="729"/>
      <c r="N508" s="729"/>
      <c r="O508" s="729"/>
      <c r="P508" s="729"/>
      <c r="Q508" s="729"/>
      <c r="R508" s="729"/>
      <c r="S508" s="729"/>
      <c r="T508" s="729"/>
      <c r="U508" s="729"/>
      <c r="V508" s="729"/>
      <c r="W508" s="729"/>
      <c r="X508" s="729"/>
      <c r="Y508" s="729"/>
      <c r="Z508" s="729"/>
      <c r="AA508" s="729"/>
      <c r="AB508" s="729"/>
      <c r="AC508" s="729"/>
      <c r="AD508" s="729"/>
      <c r="AE508" s="729"/>
      <c r="AF508" s="729"/>
      <c r="AG508" s="729"/>
      <c r="AH508" s="729"/>
      <c r="AI508" s="729"/>
      <c r="AJ508" s="729"/>
    </row>
    <row r="509" spans="1:36">
      <c r="A509" s="729"/>
      <c r="B509" s="729"/>
      <c r="C509" s="729"/>
      <c r="D509" s="729"/>
      <c r="E509" s="729"/>
      <c r="F509" s="729"/>
      <c r="G509" s="729"/>
      <c r="H509" s="729"/>
      <c r="I509" s="729"/>
      <c r="J509" s="729"/>
      <c r="K509" s="729"/>
      <c r="L509" s="729"/>
      <c r="M509" s="729"/>
      <c r="N509" s="729"/>
      <c r="O509" s="729"/>
      <c r="P509" s="729"/>
      <c r="Q509" s="729"/>
      <c r="R509" s="729"/>
      <c r="S509" s="729"/>
      <c r="T509" s="729"/>
      <c r="U509" s="729"/>
      <c r="V509" s="729"/>
      <c r="W509" s="729"/>
      <c r="X509" s="729"/>
      <c r="Y509" s="729"/>
      <c r="Z509" s="729"/>
      <c r="AA509" s="729"/>
      <c r="AB509" s="729"/>
      <c r="AC509" s="729"/>
      <c r="AD509" s="729"/>
      <c r="AE509" s="729"/>
      <c r="AF509" s="729"/>
      <c r="AG509" s="729"/>
      <c r="AH509" s="729"/>
      <c r="AI509" s="729"/>
      <c r="AJ509" s="729"/>
    </row>
    <row r="510" spans="1:36">
      <c r="A510" s="729"/>
      <c r="B510" s="729"/>
      <c r="C510" s="729"/>
      <c r="D510" s="729"/>
      <c r="E510" s="729"/>
      <c r="F510" s="729"/>
      <c r="G510" s="729"/>
      <c r="H510" s="729"/>
      <c r="I510" s="729"/>
      <c r="J510" s="729"/>
      <c r="K510" s="729"/>
      <c r="L510" s="729"/>
      <c r="M510" s="729"/>
      <c r="N510" s="729"/>
      <c r="O510" s="729"/>
      <c r="P510" s="729"/>
      <c r="Q510" s="729"/>
      <c r="R510" s="729"/>
      <c r="S510" s="729"/>
      <c r="T510" s="729"/>
      <c r="U510" s="729"/>
      <c r="V510" s="729"/>
      <c r="W510" s="729"/>
      <c r="X510" s="729"/>
      <c r="Y510" s="729"/>
      <c r="Z510" s="729"/>
      <c r="AA510" s="729"/>
      <c r="AB510" s="729"/>
      <c r="AC510" s="729"/>
      <c r="AD510" s="729"/>
      <c r="AE510" s="729"/>
      <c r="AF510" s="729"/>
      <c r="AG510" s="729"/>
      <c r="AH510" s="729"/>
      <c r="AI510" s="729"/>
      <c r="AJ510" s="729"/>
    </row>
    <row r="511" spans="1:36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29"/>
      <c r="P511" s="729"/>
      <c r="Q511" s="729"/>
      <c r="R511" s="729"/>
      <c r="S511" s="729"/>
      <c r="T511" s="729"/>
      <c r="U511" s="729"/>
      <c r="V511" s="729"/>
      <c r="W511" s="729"/>
      <c r="X511" s="729"/>
      <c r="Y511" s="729"/>
      <c r="Z511" s="729"/>
      <c r="AA511" s="729"/>
      <c r="AB511" s="729"/>
      <c r="AC511" s="729"/>
      <c r="AD511" s="729"/>
      <c r="AE511" s="729"/>
      <c r="AF511" s="729"/>
      <c r="AG511" s="729"/>
      <c r="AH511" s="729"/>
      <c r="AI511" s="729"/>
      <c r="AJ511" s="729"/>
    </row>
    <row r="512" spans="1:36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29"/>
      <c r="P512" s="729"/>
      <c r="Q512" s="729"/>
      <c r="R512" s="729"/>
      <c r="S512" s="729"/>
      <c r="T512" s="729"/>
      <c r="U512" s="729"/>
      <c r="V512" s="729"/>
      <c r="W512" s="729"/>
      <c r="X512" s="729"/>
      <c r="Y512" s="729"/>
      <c r="Z512" s="729"/>
      <c r="AA512" s="729"/>
      <c r="AB512" s="729"/>
      <c r="AC512" s="729"/>
      <c r="AD512" s="729"/>
      <c r="AE512" s="729"/>
      <c r="AF512" s="729"/>
      <c r="AG512" s="729"/>
      <c r="AH512" s="729"/>
      <c r="AI512" s="729"/>
      <c r="AJ512" s="729"/>
    </row>
    <row r="513" spans="1:36">
      <c r="A513" s="729"/>
      <c r="B513" s="729"/>
      <c r="C513" s="729"/>
      <c r="D513" s="729"/>
      <c r="E513" s="729"/>
      <c r="F513" s="729"/>
      <c r="G513" s="729"/>
      <c r="H513" s="729"/>
      <c r="I513" s="729"/>
      <c r="J513" s="729"/>
      <c r="K513" s="729"/>
      <c r="L513" s="729"/>
      <c r="M513" s="729"/>
      <c r="N513" s="729"/>
      <c r="O513" s="729"/>
      <c r="P513" s="729"/>
      <c r="Q513" s="729"/>
      <c r="R513" s="729"/>
      <c r="S513" s="729"/>
      <c r="T513" s="729"/>
      <c r="U513" s="729"/>
      <c r="V513" s="729"/>
      <c r="W513" s="729"/>
      <c r="X513" s="729"/>
      <c r="Y513" s="729"/>
      <c r="Z513" s="729"/>
      <c r="AA513" s="729"/>
      <c r="AB513" s="729"/>
      <c r="AC513" s="729"/>
      <c r="AD513" s="729"/>
      <c r="AE513" s="729"/>
      <c r="AF513" s="729"/>
      <c r="AG513" s="729"/>
      <c r="AH513" s="729"/>
      <c r="AI513" s="729"/>
      <c r="AJ513" s="729"/>
    </row>
    <row r="514" spans="1:36">
      <c r="A514" s="729"/>
      <c r="B514" s="729"/>
      <c r="C514" s="729"/>
      <c r="D514" s="729"/>
      <c r="E514" s="729"/>
      <c r="F514" s="729"/>
      <c r="G514" s="729"/>
      <c r="H514" s="729"/>
      <c r="I514" s="729"/>
      <c r="J514" s="729"/>
      <c r="K514" s="729"/>
      <c r="L514" s="729"/>
      <c r="M514" s="729"/>
      <c r="N514" s="729"/>
      <c r="O514" s="729"/>
      <c r="P514" s="729"/>
      <c r="Q514" s="729"/>
      <c r="R514" s="729"/>
      <c r="S514" s="729"/>
      <c r="T514" s="729"/>
      <c r="U514" s="729"/>
      <c r="V514" s="729"/>
      <c r="W514" s="729"/>
      <c r="X514" s="729"/>
      <c r="Y514" s="729"/>
      <c r="Z514" s="729"/>
      <c r="AA514" s="729"/>
      <c r="AB514" s="729"/>
      <c r="AC514" s="729"/>
      <c r="AD514" s="729"/>
      <c r="AE514" s="729"/>
      <c r="AF514" s="729"/>
      <c r="AG514" s="729"/>
      <c r="AH514" s="729"/>
      <c r="AI514" s="729"/>
      <c r="AJ514" s="729"/>
    </row>
    <row r="515" spans="1:36">
      <c r="A515" s="729"/>
      <c r="B515" s="729"/>
      <c r="C515" s="729"/>
      <c r="D515" s="729"/>
      <c r="E515" s="729"/>
      <c r="F515" s="729"/>
      <c r="G515" s="729"/>
      <c r="H515" s="729"/>
      <c r="I515" s="729"/>
      <c r="J515" s="729"/>
      <c r="K515" s="729"/>
      <c r="L515" s="729"/>
      <c r="M515" s="729"/>
      <c r="N515" s="729"/>
      <c r="O515" s="729"/>
      <c r="P515" s="729"/>
      <c r="Q515" s="729"/>
      <c r="R515" s="729"/>
      <c r="S515" s="729"/>
      <c r="T515" s="729"/>
      <c r="U515" s="729"/>
      <c r="V515" s="729"/>
      <c r="W515" s="729"/>
      <c r="X515" s="729"/>
      <c r="Y515" s="729"/>
      <c r="Z515" s="729"/>
      <c r="AA515" s="729"/>
      <c r="AB515" s="729"/>
      <c r="AC515" s="729"/>
      <c r="AD515" s="729"/>
      <c r="AE515" s="729"/>
      <c r="AF515" s="729"/>
      <c r="AG515" s="729"/>
      <c r="AH515" s="729"/>
      <c r="AI515" s="729"/>
      <c r="AJ515" s="729"/>
    </row>
    <row r="516" spans="1:36">
      <c r="A516" s="729"/>
      <c r="B516" s="729"/>
      <c r="C516" s="729"/>
      <c r="D516" s="729"/>
      <c r="E516" s="729"/>
      <c r="F516" s="729"/>
      <c r="G516" s="729"/>
      <c r="H516" s="729"/>
      <c r="I516" s="729"/>
      <c r="J516" s="729"/>
      <c r="K516" s="729"/>
      <c r="L516" s="729"/>
      <c r="M516" s="729"/>
      <c r="N516" s="729"/>
      <c r="O516" s="729"/>
      <c r="P516" s="729"/>
      <c r="Q516" s="729"/>
      <c r="R516" s="729"/>
      <c r="S516" s="729"/>
      <c r="T516" s="729"/>
      <c r="U516" s="729"/>
      <c r="V516" s="729"/>
      <c r="W516" s="729"/>
      <c r="X516" s="729"/>
      <c r="Y516" s="729"/>
      <c r="Z516" s="729"/>
      <c r="AA516" s="729"/>
      <c r="AB516" s="729"/>
      <c r="AC516" s="729"/>
      <c r="AD516" s="729"/>
      <c r="AE516" s="729"/>
      <c r="AF516" s="729"/>
      <c r="AG516" s="729"/>
      <c r="AH516" s="729"/>
      <c r="AI516" s="729"/>
      <c r="AJ516" s="729"/>
    </row>
    <row r="517" spans="1:36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29"/>
      <c r="P517" s="729"/>
      <c r="Q517" s="729"/>
      <c r="R517" s="729"/>
      <c r="S517" s="729"/>
      <c r="T517" s="729"/>
      <c r="U517" s="729"/>
      <c r="V517" s="729"/>
      <c r="W517" s="729"/>
      <c r="X517" s="729"/>
      <c r="Y517" s="729"/>
      <c r="Z517" s="729"/>
      <c r="AA517" s="729"/>
      <c r="AB517" s="729"/>
      <c r="AC517" s="729"/>
      <c r="AD517" s="729"/>
      <c r="AE517" s="729"/>
      <c r="AF517" s="729"/>
      <c r="AG517" s="729"/>
      <c r="AH517" s="729"/>
      <c r="AI517" s="729"/>
      <c r="AJ517" s="729"/>
    </row>
    <row r="518" spans="1:36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29"/>
      <c r="P518" s="729"/>
      <c r="Q518" s="729"/>
      <c r="R518" s="729"/>
      <c r="S518" s="729"/>
      <c r="T518" s="729"/>
      <c r="U518" s="729"/>
      <c r="V518" s="729"/>
      <c r="W518" s="729"/>
      <c r="X518" s="729"/>
      <c r="Y518" s="729"/>
      <c r="Z518" s="729"/>
      <c r="AA518" s="729"/>
      <c r="AB518" s="729"/>
      <c r="AC518" s="729"/>
      <c r="AD518" s="729"/>
      <c r="AE518" s="729"/>
      <c r="AF518" s="729"/>
      <c r="AG518" s="729"/>
      <c r="AH518" s="729"/>
      <c r="AI518" s="729"/>
      <c r="AJ518" s="729"/>
    </row>
    <row r="519" spans="1:36">
      <c r="A519" s="729"/>
      <c r="B519" s="729"/>
      <c r="C519" s="729"/>
      <c r="D519" s="729"/>
      <c r="E519" s="729"/>
      <c r="F519" s="729"/>
      <c r="G519" s="729"/>
      <c r="H519" s="729"/>
      <c r="I519" s="729"/>
      <c r="J519" s="729"/>
      <c r="K519" s="729"/>
      <c r="L519" s="729"/>
      <c r="M519" s="729"/>
      <c r="N519" s="729"/>
      <c r="O519" s="729"/>
      <c r="P519" s="729"/>
      <c r="Q519" s="729"/>
      <c r="R519" s="729"/>
      <c r="S519" s="729"/>
      <c r="T519" s="729"/>
      <c r="U519" s="729"/>
      <c r="V519" s="729"/>
      <c r="W519" s="729"/>
      <c r="X519" s="729"/>
      <c r="Y519" s="729"/>
      <c r="Z519" s="729"/>
      <c r="AA519" s="729"/>
      <c r="AB519" s="729"/>
      <c r="AC519" s="729"/>
      <c r="AD519" s="729"/>
      <c r="AE519" s="729"/>
      <c r="AF519" s="729"/>
      <c r="AG519" s="729"/>
      <c r="AH519" s="729"/>
      <c r="AI519" s="729"/>
      <c r="AJ519" s="729"/>
    </row>
    <row r="520" spans="1:36">
      <c r="A520" s="729"/>
      <c r="B520" s="729"/>
      <c r="C520" s="729"/>
      <c r="D520" s="729"/>
      <c r="E520" s="729"/>
      <c r="F520" s="729"/>
      <c r="G520" s="729"/>
      <c r="H520" s="729"/>
      <c r="I520" s="729"/>
      <c r="J520" s="729"/>
      <c r="K520" s="729"/>
      <c r="L520" s="729"/>
      <c r="M520" s="729"/>
      <c r="N520" s="729"/>
      <c r="O520" s="729"/>
      <c r="P520" s="729"/>
      <c r="Q520" s="729"/>
      <c r="R520" s="729"/>
      <c r="S520" s="729"/>
      <c r="T520" s="729"/>
      <c r="U520" s="729"/>
      <c r="V520" s="729"/>
      <c r="W520" s="729"/>
      <c r="X520" s="729"/>
      <c r="Y520" s="729"/>
      <c r="Z520" s="729"/>
      <c r="AA520" s="729"/>
      <c r="AB520" s="729"/>
      <c r="AC520" s="729"/>
      <c r="AD520" s="729"/>
      <c r="AE520" s="729"/>
      <c r="AF520" s="729"/>
      <c r="AG520" s="729"/>
      <c r="AH520" s="729"/>
      <c r="AI520" s="729"/>
      <c r="AJ520" s="729"/>
    </row>
    <row r="521" spans="1:36">
      <c r="A521" s="729"/>
      <c r="B521" s="729"/>
      <c r="C521" s="729"/>
      <c r="D521" s="729"/>
      <c r="E521" s="729"/>
      <c r="F521" s="729"/>
      <c r="G521" s="729"/>
      <c r="H521" s="729"/>
      <c r="I521" s="729"/>
      <c r="J521" s="729"/>
      <c r="K521" s="729"/>
      <c r="L521" s="729"/>
      <c r="M521" s="729"/>
      <c r="N521" s="729"/>
      <c r="O521" s="729"/>
      <c r="P521" s="729"/>
      <c r="Q521" s="729"/>
      <c r="R521" s="729"/>
      <c r="S521" s="729"/>
      <c r="T521" s="729"/>
      <c r="U521" s="729"/>
      <c r="V521" s="729"/>
      <c r="W521" s="729"/>
      <c r="X521" s="729"/>
      <c r="Y521" s="729"/>
      <c r="Z521" s="729"/>
      <c r="AA521" s="729"/>
      <c r="AB521" s="729"/>
      <c r="AC521" s="729"/>
      <c r="AD521" s="729"/>
      <c r="AE521" s="729"/>
      <c r="AF521" s="729"/>
      <c r="AG521" s="729"/>
      <c r="AH521" s="729"/>
      <c r="AI521" s="729"/>
      <c r="AJ521" s="729"/>
    </row>
    <row r="522" spans="1:36">
      <c r="A522" s="729"/>
      <c r="B522" s="729"/>
      <c r="C522" s="729"/>
      <c r="D522" s="729"/>
      <c r="E522" s="729"/>
      <c r="F522" s="729"/>
      <c r="G522" s="729"/>
      <c r="H522" s="729"/>
      <c r="I522" s="729"/>
      <c r="J522" s="729"/>
      <c r="K522" s="729"/>
      <c r="L522" s="729"/>
      <c r="M522" s="729"/>
      <c r="N522" s="729"/>
      <c r="O522" s="729"/>
      <c r="P522" s="729"/>
      <c r="Q522" s="729"/>
      <c r="R522" s="729"/>
      <c r="S522" s="729"/>
      <c r="T522" s="729"/>
      <c r="U522" s="729"/>
      <c r="V522" s="729"/>
      <c r="W522" s="729"/>
      <c r="X522" s="729"/>
      <c r="Y522" s="729"/>
      <c r="Z522" s="729"/>
      <c r="AA522" s="729"/>
      <c r="AB522" s="729"/>
      <c r="AC522" s="729"/>
      <c r="AD522" s="729"/>
      <c r="AE522" s="729"/>
      <c r="AF522" s="729"/>
      <c r="AG522" s="729"/>
      <c r="AH522" s="729"/>
      <c r="AI522" s="729"/>
      <c r="AJ522" s="729"/>
    </row>
    <row r="523" spans="1:36">
      <c r="A523" s="729"/>
      <c r="B523" s="729"/>
      <c r="C523" s="729"/>
      <c r="D523" s="729"/>
      <c r="E523" s="729"/>
      <c r="F523" s="729"/>
      <c r="G523" s="729"/>
      <c r="H523" s="729"/>
      <c r="I523" s="729"/>
      <c r="J523" s="729"/>
      <c r="K523" s="729"/>
      <c r="L523" s="729"/>
      <c r="M523" s="729"/>
      <c r="N523" s="729"/>
      <c r="O523" s="729"/>
      <c r="P523" s="729"/>
      <c r="Q523" s="729"/>
      <c r="R523" s="729"/>
      <c r="S523" s="729"/>
      <c r="T523" s="729"/>
      <c r="U523" s="729"/>
      <c r="V523" s="729"/>
      <c r="W523" s="729"/>
      <c r="X523" s="729"/>
      <c r="Y523" s="729"/>
      <c r="Z523" s="729"/>
      <c r="AA523" s="729"/>
      <c r="AB523" s="729"/>
      <c r="AC523" s="729"/>
      <c r="AD523" s="729"/>
      <c r="AE523" s="729"/>
      <c r="AF523" s="729"/>
      <c r="AG523" s="729"/>
      <c r="AH523" s="729"/>
      <c r="AI523" s="729"/>
      <c r="AJ523" s="729"/>
    </row>
    <row r="524" spans="1:36">
      <c r="A524" s="729"/>
      <c r="B524" s="729"/>
      <c r="C524" s="729"/>
      <c r="D524" s="729"/>
      <c r="E524" s="729"/>
      <c r="F524" s="729"/>
      <c r="G524" s="729"/>
      <c r="H524" s="729"/>
      <c r="I524" s="729"/>
      <c r="J524" s="729"/>
      <c r="K524" s="729"/>
      <c r="L524" s="729"/>
      <c r="M524" s="729"/>
      <c r="N524" s="729"/>
      <c r="O524" s="729"/>
      <c r="P524" s="729"/>
      <c r="Q524" s="729"/>
      <c r="R524" s="729"/>
      <c r="S524" s="729"/>
      <c r="T524" s="729"/>
      <c r="U524" s="729"/>
      <c r="V524" s="729"/>
      <c r="W524" s="729"/>
      <c r="X524" s="729"/>
      <c r="Y524" s="729"/>
      <c r="Z524" s="729"/>
      <c r="AA524" s="729"/>
      <c r="AB524" s="729"/>
      <c r="AC524" s="729"/>
      <c r="AD524" s="729"/>
      <c r="AE524" s="729"/>
      <c r="AF524" s="729"/>
      <c r="AG524" s="729"/>
      <c r="AH524" s="729"/>
      <c r="AI524" s="729"/>
      <c r="AJ524" s="729"/>
    </row>
    <row r="525" spans="1:36">
      <c r="A525" s="729"/>
      <c r="B525" s="729"/>
      <c r="C525" s="729"/>
      <c r="D525" s="729"/>
      <c r="E525" s="729"/>
      <c r="F525" s="729"/>
      <c r="G525" s="729"/>
      <c r="H525" s="729"/>
      <c r="I525" s="729"/>
      <c r="J525" s="729"/>
      <c r="K525" s="729"/>
      <c r="L525" s="729"/>
      <c r="M525" s="729"/>
      <c r="N525" s="729"/>
      <c r="O525" s="729"/>
      <c r="P525" s="729"/>
      <c r="Q525" s="729"/>
      <c r="R525" s="729"/>
      <c r="S525" s="729"/>
      <c r="T525" s="729"/>
      <c r="U525" s="729"/>
      <c r="V525" s="729"/>
      <c r="W525" s="729"/>
      <c r="X525" s="729"/>
      <c r="Y525" s="729"/>
      <c r="Z525" s="729"/>
      <c r="AA525" s="729"/>
      <c r="AB525" s="729"/>
      <c r="AC525" s="729"/>
      <c r="AD525" s="729"/>
      <c r="AE525" s="729"/>
      <c r="AF525" s="729"/>
      <c r="AG525" s="729"/>
      <c r="AH525" s="729"/>
      <c r="AI525" s="729"/>
      <c r="AJ525" s="729"/>
    </row>
    <row r="526" spans="1:36">
      <c r="A526" s="729"/>
      <c r="B526" s="729"/>
      <c r="C526" s="729"/>
      <c r="D526" s="729"/>
      <c r="E526" s="729"/>
      <c r="F526" s="729"/>
      <c r="G526" s="729"/>
      <c r="H526" s="729"/>
      <c r="I526" s="729"/>
      <c r="J526" s="729"/>
      <c r="K526" s="729"/>
      <c r="L526" s="729"/>
      <c r="M526" s="729"/>
      <c r="N526" s="729"/>
      <c r="O526" s="729"/>
      <c r="P526" s="729"/>
      <c r="Q526" s="729"/>
      <c r="R526" s="729"/>
      <c r="S526" s="729"/>
      <c r="T526" s="729"/>
      <c r="U526" s="729"/>
      <c r="V526" s="729"/>
      <c r="W526" s="729"/>
      <c r="X526" s="729"/>
      <c r="Y526" s="729"/>
      <c r="Z526" s="729"/>
      <c r="AA526" s="729"/>
      <c r="AB526" s="729"/>
      <c r="AC526" s="729"/>
      <c r="AD526" s="729"/>
      <c r="AE526" s="729"/>
      <c r="AF526" s="729"/>
      <c r="AG526" s="729"/>
      <c r="AH526" s="729"/>
      <c r="AI526" s="729"/>
      <c r="AJ526" s="729"/>
    </row>
    <row r="527" spans="1:36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29"/>
      <c r="P527" s="729"/>
      <c r="Q527" s="729"/>
      <c r="R527" s="729"/>
      <c r="S527" s="729"/>
      <c r="T527" s="729"/>
      <c r="U527" s="729"/>
      <c r="V527" s="729"/>
      <c r="W527" s="729"/>
      <c r="X527" s="729"/>
      <c r="Y527" s="729"/>
      <c r="Z527" s="729"/>
      <c r="AA527" s="729"/>
      <c r="AB527" s="729"/>
      <c r="AC527" s="729"/>
      <c r="AD527" s="729"/>
      <c r="AE527" s="729"/>
      <c r="AF527" s="729"/>
      <c r="AG527" s="729"/>
      <c r="AH527" s="729"/>
      <c r="AI527" s="729"/>
      <c r="AJ527" s="729"/>
    </row>
    <row r="528" spans="1:36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29"/>
      <c r="P528" s="729"/>
      <c r="Q528" s="729"/>
      <c r="R528" s="729"/>
      <c r="S528" s="729"/>
      <c r="T528" s="729"/>
      <c r="U528" s="729"/>
      <c r="V528" s="729"/>
      <c r="W528" s="729"/>
      <c r="X528" s="729"/>
      <c r="Y528" s="729"/>
      <c r="Z528" s="729"/>
      <c r="AA528" s="729"/>
      <c r="AB528" s="729"/>
      <c r="AC528" s="729"/>
      <c r="AD528" s="729"/>
      <c r="AE528" s="729"/>
      <c r="AF528" s="729"/>
      <c r="AG528" s="729"/>
      <c r="AH528" s="729"/>
      <c r="AI528" s="729"/>
      <c r="AJ528" s="729"/>
    </row>
    <row r="529" spans="1:36">
      <c r="A529" s="729"/>
      <c r="B529" s="729"/>
      <c r="C529" s="729"/>
      <c r="D529" s="729"/>
      <c r="E529" s="729"/>
      <c r="F529" s="729"/>
      <c r="G529" s="729"/>
      <c r="H529" s="729"/>
      <c r="I529" s="729"/>
      <c r="J529" s="729"/>
      <c r="K529" s="729"/>
      <c r="L529" s="729"/>
      <c r="M529" s="729"/>
      <c r="N529" s="729"/>
      <c r="O529" s="729"/>
      <c r="P529" s="729"/>
      <c r="Q529" s="729"/>
      <c r="R529" s="729"/>
      <c r="S529" s="729"/>
      <c r="T529" s="729"/>
      <c r="U529" s="729"/>
      <c r="V529" s="729"/>
      <c r="W529" s="729"/>
      <c r="X529" s="729"/>
      <c r="Y529" s="729"/>
      <c r="Z529" s="729"/>
      <c r="AA529" s="729"/>
      <c r="AB529" s="729"/>
      <c r="AC529" s="729"/>
      <c r="AD529" s="729"/>
      <c r="AE529" s="729"/>
      <c r="AF529" s="729"/>
      <c r="AG529" s="729"/>
      <c r="AH529" s="729"/>
      <c r="AI529" s="729"/>
      <c r="AJ529" s="729"/>
    </row>
    <row r="530" spans="1:36">
      <c r="A530" s="729"/>
      <c r="B530" s="729"/>
      <c r="C530" s="729"/>
      <c r="D530" s="729"/>
      <c r="E530" s="729"/>
      <c r="F530" s="729"/>
      <c r="G530" s="729"/>
      <c r="H530" s="729"/>
      <c r="I530" s="729"/>
      <c r="J530" s="729"/>
      <c r="K530" s="729"/>
      <c r="L530" s="729"/>
      <c r="M530" s="729"/>
      <c r="N530" s="729"/>
      <c r="O530" s="729"/>
      <c r="P530" s="729"/>
      <c r="Q530" s="729"/>
      <c r="R530" s="729"/>
      <c r="S530" s="729"/>
      <c r="T530" s="729"/>
      <c r="U530" s="729"/>
      <c r="V530" s="729"/>
      <c r="W530" s="729"/>
      <c r="X530" s="729"/>
      <c r="Y530" s="729"/>
      <c r="Z530" s="729"/>
      <c r="AA530" s="729"/>
      <c r="AB530" s="729"/>
      <c r="AC530" s="729"/>
      <c r="AD530" s="729"/>
      <c r="AE530" s="729"/>
      <c r="AF530" s="729"/>
      <c r="AG530" s="729"/>
      <c r="AH530" s="729"/>
      <c r="AI530" s="729"/>
      <c r="AJ530" s="729"/>
    </row>
    <row r="531" spans="1:36">
      <c r="A531" s="729"/>
      <c r="B531" s="729"/>
      <c r="C531" s="729"/>
      <c r="D531" s="729"/>
      <c r="E531" s="729"/>
      <c r="F531" s="729"/>
      <c r="G531" s="729"/>
      <c r="H531" s="729"/>
      <c r="I531" s="729"/>
      <c r="J531" s="729"/>
      <c r="K531" s="729"/>
      <c r="L531" s="729"/>
      <c r="M531" s="729"/>
      <c r="N531" s="729"/>
      <c r="O531" s="729"/>
      <c r="P531" s="729"/>
      <c r="Q531" s="729"/>
      <c r="R531" s="729"/>
      <c r="S531" s="729"/>
      <c r="T531" s="729"/>
      <c r="U531" s="729"/>
      <c r="V531" s="729"/>
      <c r="W531" s="729"/>
      <c r="X531" s="729"/>
      <c r="Y531" s="729"/>
      <c r="Z531" s="729"/>
      <c r="AA531" s="729"/>
      <c r="AB531" s="729"/>
      <c r="AC531" s="729"/>
      <c r="AD531" s="729"/>
      <c r="AE531" s="729"/>
      <c r="AF531" s="729"/>
      <c r="AG531" s="729"/>
      <c r="AH531" s="729"/>
      <c r="AI531" s="729"/>
      <c r="AJ531" s="729"/>
    </row>
    <row r="532" spans="1:36">
      <c r="A532" s="729"/>
      <c r="B532" s="729"/>
      <c r="C532" s="729"/>
      <c r="D532" s="729"/>
      <c r="E532" s="729"/>
      <c r="F532" s="729"/>
      <c r="G532" s="729"/>
      <c r="H532" s="729"/>
      <c r="I532" s="729"/>
      <c r="J532" s="729"/>
      <c r="K532" s="729"/>
      <c r="L532" s="729"/>
      <c r="M532" s="729"/>
      <c r="N532" s="729"/>
      <c r="O532" s="729"/>
      <c r="P532" s="729"/>
      <c r="Q532" s="729"/>
      <c r="R532" s="729"/>
      <c r="S532" s="729"/>
      <c r="T532" s="729"/>
      <c r="U532" s="729"/>
      <c r="V532" s="729"/>
      <c r="W532" s="729"/>
      <c r="X532" s="729"/>
      <c r="Y532" s="729"/>
      <c r="Z532" s="729"/>
      <c r="AA532" s="729"/>
      <c r="AB532" s="729"/>
      <c r="AC532" s="729"/>
      <c r="AD532" s="729"/>
      <c r="AE532" s="729"/>
      <c r="AF532" s="729"/>
      <c r="AG532" s="729"/>
      <c r="AH532" s="729"/>
      <c r="AI532" s="729"/>
      <c r="AJ532" s="729"/>
    </row>
    <row r="533" spans="1:36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29"/>
      <c r="P533" s="729"/>
      <c r="Q533" s="729"/>
      <c r="R533" s="729"/>
      <c r="S533" s="729"/>
      <c r="T533" s="729"/>
      <c r="U533" s="729"/>
      <c r="V533" s="729"/>
      <c r="W533" s="729"/>
      <c r="X533" s="729"/>
      <c r="Y533" s="729"/>
      <c r="Z533" s="729"/>
      <c r="AA533" s="729"/>
      <c r="AB533" s="729"/>
      <c r="AC533" s="729"/>
      <c r="AD533" s="729"/>
      <c r="AE533" s="729"/>
      <c r="AF533" s="729"/>
      <c r="AG533" s="729"/>
      <c r="AH533" s="729"/>
      <c r="AI533" s="729"/>
      <c r="AJ533" s="729"/>
    </row>
    <row r="534" spans="1:36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29"/>
      <c r="P534" s="729"/>
      <c r="Q534" s="729"/>
      <c r="R534" s="729"/>
      <c r="S534" s="729"/>
      <c r="T534" s="729"/>
      <c r="U534" s="729"/>
      <c r="V534" s="729"/>
      <c r="W534" s="729"/>
      <c r="X534" s="729"/>
      <c r="Y534" s="729"/>
      <c r="Z534" s="729"/>
      <c r="AA534" s="729"/>
      <c r="AB534" s="729"/>
      <c r="AC534" s="729"/>
      <c r="AD534" s="729"/>
      <c r="AE534" s="729"/>
      <c r="AF534" s="729"/>
      <c r="AG534" s="729"/>
      <c r="AH534" s="729"/>
      <c r="AI534" s="729"/>
      <c r="AJ534" s="729"/>
    </row>
    <row r="535" spans="1:36">
      <c r="A535" s="729"/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29"/>
      <c r="P535" s="729"/>
      <c r="Q535" s="729"/>
      <c r="R535" s="729"/>
      <c r="S535" s="729"/>
      <c r="T535" s="729"/>
      <c r="U535" s="729"/>
      <c r="V535" s="729"/>
      <c r="W535" s="729"/>
      <c r="X535" s="729"/>
      <c r="Y535" s="729"/>
      <c r="Z535" s="729"/>
      <c r="AA535" s="729"/>
      <c r="AB535" s="729"/>
      <c r="AC535" s="729"/>
      <c r="AD535" s="729"/>
      <c r="AE535" s="729"/>
      <c r="AF535" s="729"/>
      <c r="AG535" s="729"/>
      <c r="AH535" s="729"/>
      <c r="AI535" s="729"/>
      <c r="AJ535" s="729"/>
    </row>
    <row r="536" spans="1:36">
      <c r="A536" s="729"/>
      <c r="B536" s="729"/>
      <c r="C536" s="729"/>
      <c r="D536" s="729"/>
      <c r="E536" s="729"/>
      <c r="F536" s="729"/>
      <c r="G536" s="729"/>
      <c r="H536" s="729"/>
      <c r="I536" s="729"/>
      <c r="J536" s="729"/>
      <c r="K536" s="729"/>
      <c r="L536" s="729"/>
      <c r="M536" s="729"/>
      <c r="N536" s="729"/>
      <c r="O536" s="729"/>
      <c r="P536" s="729"/>
      <c r="Q536" s="729"/>
      <c r="R536" s="729"/>
      <c r="S536" s="729"/>
      <c r="T536" s="729"/>
      <c r="U536" s="729"/>
      <c r="V536" s="729"/>
      <c r="W536" s="729"/>
      <c r="X536" s="729"/>
      <c r="Y536" s="729"/>
      <c r="Z536" s="729"/>
      <c r="AA536" s="729"/>
      <c r="AB536" s="729"/>
      <c r="AC536" s="729"/>
      <c r="AD536" s="729"/>
      <c r="AE536" s="729"/>
      <c r="AF536" s="729"/>
      <c r="AG536" s="729"/>
      <c r="AH536" s="729"/>
      <c r="AI536" s="729"/>
      <c r="AJ536" s="729"/>
    </row>
    <row r="537" spans="1:36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29"/>
      <c r="P537" s="729"/>
      <c r="Q537" s="729"/>
      <c r="R537" s="729"/>
      <c r="S537" s="729"/>
      <c r="T537" s="729"/>
      <c r="U537" s="729"/>
      <c r="V537" s="729"/>
      <c r="W537" s="729"/>
      <c r="X537" s="729"/>
      <c r="Y537" s="729"/>
      <c r="Z537" s="729"/>
      <c r="AA537" s="729"/>
      <c r="AB537" s="729"/>
      <c r="AC537" s="729"/>
      <c r="AD537" s="729"/>
      <c r="AE537" s="729"/>
      <c r="AF537" s="729"/>
      <c r="AG537" s="729"/>
      <c r="AH537" s="729"/>
      <c r="AI537" s="729"/>
      <c r="AJ537" s="729"/>
    </row>
    <row r="538" spans="1:36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29"/>
      <c r="P538" s="729"/>
      <c r="Q538" s="729"/>
      <c r="R538" s="729"/>
      <c r="S538" s="729"/>
      <c r="T538" s="729"/>
      <c r="U538" s="729"/>
      <c r="V538" s="729"/>
      <c r="W538" s="729"/>
      <c r="X538" s="729"/>
      <c r="Y538" s="729"/>
      <c r="Z538" s="729"/>
      <c r="AA538" s="729"/>
      <c r="AB538" s="729"/>
      <c r="AC538" s="729"/>
      <c r="AD538" s="729"/>
      <c r="AE538" s="729"/>
      <c r="AF538" s="729"/>
      <c r="AG538" s="729"/>
      <c r="AH538" s="729"/>
      <c r="AI538" s="729"/>
      <c r="AJ538" s="729"/>
    </row>
    <row r="539" spans="1:36">
      <c r="A539" s="729"/>
      <c r="B539" s="729"/>
      <c r="C539" s="729"/>
      <c r="D539" s="729"/>
      <c r="E539" s="729"/>
      <c r="F539" s="729"/>
      <c r="G539" s="729"/>
      <c r="H539" s="729"/>
      <c r="I539" s="729"/>
      <c r="J539" s="729"/>
      <c r="K539" s="729"/>
      <c r="L539" s="729"/>
      <c r="M539" s="729"/>
      <c r="N539" s="729"/>
      <c r="O539" s="729"/>
      <c r="P539" s="729"/>
      <c r="Q539" s="729"/>
      <c r="R539" s="729"/>
      <c r="S539" s="729"/>
      <c r="T539" s="729"/>
      <c r="U539" s="729"/>
      <c r="V539" s="729"/>
      <c r="W539" s="729"/>
      <c r="X539" s="729"/>
      <c r="Y539" s="729"/>
      <c r="Z539" s="729"/>
      <c r="AA539" s="729"/>
      <c r="AB539" s="729"/>
      <c r="AC539" s="729"/>
      <c r="AD539" s="729"/>
      <c r="AE539" s="729"/>
      <c r="AF539" s="729"/>
      <c r="AG539" s="729"/>
      <c r="AH539" s="729"/>
      <c r="AI539" s="729"/>
      <c r="AJ539" s="729"/>
    </row>
    <row r="540" spans="1:36">
      <c r="A540" s="729"/>
      <c r="B540" s="729"/>
      <c r="C540" s="729"/>
      <c r="D540" s="729"/>
      <c r="E540" s="729"/>
      <c r="F540" s="729"/>
      <c r="G540" s="729"/>
      <c r="H540" s="729"/>
      <c r="I540" s="729"/>
      <c r="J540" s="729"/>
      <c r="K540" s="729"/>
      <c r="L540" s="729"/>
      <c r="M540" s="729"/>
      <c r="N540" s="729"/>
      <c r="O540" s="729"/>
      <c r="P540" s="729"/>
      <c r="Q540" s="729"/>
      <c r="R540" s="729"/>
      <c r="S540" s="729"/>
      <c r="T540" s="729"/>
      <c r="U540" s="729"/>
      <c r="V540" s="729"/>
      <c r="W540" s="729"/>
      <c r="X540" s="729"/>
      <c r="Y540" s="729"/>
      <c r="Z540" s="729"/>
      <c r="AA540" s="729"/>
      <c r="AB540" s="729"/>
      <c r="AC540" s="729"/>
      <c r="AD540" s="729"/>
      <c r="AE540" s="729"/>
      <c r="AF540" s="729"/>
      <c r="AG540" s="729"/>
      <c r="AH540" s="729"/>
      <c r="AI540" s="729"/>
      <c r="AJ540" s="729"/>
    </row>
    <row r="541" spans="1:36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29"/>
      <c r="P541" s="729"/>
      <c r="Q541" s="729"/>
      <c r="R541" s="729"/>
      <c r="S541" s="729"/>
      <c r="T541" s="729"/>
      <c r="U541" s="729"/>
      <c r="V541" s="729"/>
      <c r="W541" s="729"/>
      <c r="X541" s="729"/>
      <c r="Y541" s="729"/>
      <c r="Z541" s="729"/>
      <c r="AA541" s="729"/>
      <c r="AB541" s="729"/>
      <c r="AC541" s="729"/>
      <c r="AD541" s="729"/>
      <c r="AE541" s="729"/>
      <c r="AF541" s="729"/>
      <c r="AG541" s="729"/>
      <c r="AH541" s="729"/>
      <c r="AI541" s="729"/>
      <c r="AJ541" s="729"/>
    </row>
    <row r="542" spans="1:36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29"/>
      <c r="P542" s="729"/>
      <c r="Q542" s="729"/>
      <c r="R542" s="729"/>
      <c r="S542" s="729"/>
      <c r="T542" s="729"/>
      <c r="U542" s="729"/>
      <c r="V542" s="729"/>
      <c r="W542" s="729"/>
      <c r="X542" s="729"/>
      <c r="Y542" s="729"/>
      <c r="Z542" s="729"/>
      <c r="AA542" s="729"/>
      <c r="AB542" s="729"/>
      <c r="AC542" s="729"/>
      <c r="AD542" s="729"/>
      <c r="AE542" s="729"/>
      <c r="AF542" s="729"/>
      <c r="AG542" s="729"/>
      <c r="AH542" s="729"/>
      <c r="AI542" s="729"/>
      <c r="AJ542" s="729"/>
    </row>
    <row r="543" spans="1:36">
      <c r="A543" s="729"/>
      <c r="B543" s="729"/>
      <c r="C543" s="729"/>
      <c r="D543" s="729"/>
      <c r="E543" s="729"/>
      <c r="F543" s="729"/>
      <c r="G543" s="729"/>
      <c r="H543" s="729"/>
      <c r="I543" s="729"/>
      <c r="J543" s="729"/>
      <c r="K543" s="729"/>
      <c r="L543" s="729"/>
      <c r="M543" s="729"/>
      <c r="N543" s="729"/>
      <c r="O543" s="729"/>
      <c r="P543" s="729"/>
      <c r="Q543" s="729"/>
      <c r="R543" s="729"/>
      <c r="S543" s="729"/>
      <c r="T543" s="729"/>
      <c r="U543" s="729"/>
      <c r="V543" s="729"/>
      <c r="W543" s="729"/>
      <c r="X543" s="729"/>
      <c r="Y543" s="729"/>
      <c r="Z543" s="729"/>
      <c r="AA543" s="729"/>
      <c r="AB543" s="729"/>
      <c r="AC543" s="729"/>
      <c r="AD543" s="729"/>
      <c r="AE543" s="729"/>
      <c r="AF543" s="729"/>
      <c r="AG543" s="729"/>
      <c r="AH543" s="729"/>
      <c r="AI543" s="729"/>
      <c r="AJ543" s="729"/>
    </row>
    <row r="544" spans="1:36">
      <c r="A544" s="729"/>
      <c r="B544" s="729"/>
      <c r="C544" s="729"/>
      <c r="D544" s="729"/>
      <c r="E544" s="729"/>
      <c r="F544" s="729"/>
      <c r="G544" s="729"/>
      <c r="H544" s="729"/>
      <c r="I544" s="729"/>
      <c r="J544" s="729"/>
      <c r="K544" s="729"/>
      <c r="L544" s="729"/>
      <c r="M544" s="729"/>
      <c r="N544" s="729"/>
      <c r="O544" s="729"/>
      <c r="P544" s="729"/>
      <c r="Q544" s="729"/>
      <c r="R544" s="729"/>
      <c r="S544" s="729"/>
      <c r="T544" s="729"/>
      <c r="U544" s="729"/>
      <c r="V544" s="729"/>
      <c r="W544" s="729"/>
      <c r="X544" s="729"/>
      <c r="Y544" s="729"/>
      <c r="Z544" s="729"/>
      <c r="AA544" s="729"/>
      <c r="AB544" s="729"/>
      <c r="AC544" s="729"/>
      <c r="AD544" s="729"/>
      <c r="AE544" s="729"/>
      <c r="AF544" s="729"/>
      <c r="AG544" s="729"/>
      <c r="AH544" s="729"/>
      <c r="AI544" s="729"/>
      <c r="AJ544" s="729"/>
    </row>
    <row r="545" spans="1:36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29"/>
      <c r="P545" s="729"/>
      <c r="Q545" s="729"/>
      <c r="R545" s="729"/>
      <c r="S545" s="729"/>
      <c r="T545" s="729"/>
      <c r="U545" s="729"/>
      <c r="V545" s="729"/>
      <c r="W545" s="729"/>
      <c r="X545" s="729"/>
      <c r="Y545" s="729"/>
      <c r="Z545" s="729"/>
      <c r="AA545" s="729"/>
      <c r="AB545" s="729"/>
      <c r="AC545" s="729"/>
      <c r="AD545" s="729"/>
      <c r="AE545" s="729"/>
      <c r="AF545" s="729"/>
      <c r="AG545" s="729"/>
      <c r="AH545" s="729"/>
      <c r="AI545" s="729"/>
      <c r="AJ545" s="729"/>
    </row>
    <row r="546" spans="1:36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29"/>
      <c r="P546" s="729"/>
      <c r="Q546" s="729"/>
      <c r="R546" s="729"/>
      <c r="S546" s="729"/>
      <c r="T546" s="729"/>
      <c r="U546" s="729"/>
      <c r="V546" s="729"/>
      <c r="W546" s="729"/>
      <c r="X546" s="729"/>
      <c r="Y546" s="729"/>
      <c r="Z546" s="729"/>
      <c r="AA546" s="729"/>
      <c r="AB546" s="729"/>
      <c r="AC546" s="729"/>
      <c r="AD546" s="729"/>
      <c r="AE546" s="729"/>
      <c r="AF546" s="729"/>
      <c r="AG546" s="729"/>
      <c r="AH546" s="729"/>
      <c r="AI546" s="729"/>
      <c r="AJ546" s="729"/>
    </row>
    <row r="547" spans="1:36">
      <c r="A547" s="729"/>
      <c r="B547" s="729"/>
      <c r="C547" s="729"/>
      <c r="D547" s="729"/>
      <c r="E547" s="729"/>
      <c r="F547" s="729"/>
      <c r="G547" s="729"/>
      <c r="H547" s="729"/>
      <c r="I547" s="729"/>
      <c r="J547" s="729"/>
      <c r="K547" s="729"/>
      <c r="L547" s="729"/>
      <c r="M547" s="729"/>
      <c r="N547" s="729"/>
      <c r="O547" s="729"/>
      <c r="P547" s="729"/>
      <c r="Q547" s="729"/>
      <c r="R547" s="729"/>
      <c r="S547" s="729"/>
      <c r="T547" s="729"/>
      <c r="U547" s="729"/>
      <c r="V547" s="729"/>
      <c r="W547" s="729"/>
      <c r="X547" s="729"/>
      <c r="Y547" s="729"/>
      <c r="Z547" s="729"/>
      <c r="AA547" s="729"/>
      <c r="AB547" s="729"/>
      <c r="AC547" s="729"/>
      <c r="AD547" s="729"/>
      <c r="AE547" s="729"/>
      <c r="AF547" s="729"/>
      <c r="AG547" s="729"/>
      <c r="AH547" s="729"/>
      <c r="AI547" s="729"/>
      <c r="AJ547" s="729"/>
    </row>
    <row r="548" spans="1:36">
      <c r="A548" s="729"/>
      <c r="B548" s="729"/>
      <c r="C548" s="729"/>
      <c r="D548" s="729"/>
      <c r="E548" s="729"/>
      <c r="F548" s="729"/>
      <c r="G548" s="729"/>
      <c r="H548" s="729"/>
      <c r="I548" s="729"/>
      <c r="J548" s="729"/>
      <c r="K548" s="729"/>
      <c r="L548" s="729"/>
      <c r="M548" s="729"/>
      <c r="N548" s="729"/>
      <c r="O548" s="729"/>
      <c r="P548" s="729"/>
      <c r="Q548" s="729"/>
      <c r="R548" s="729"/>
      <c r="S548" s="729"/>
      <c r="T548" s="729"/>
      <c r="U548" s="729"/>
      <c r="V548" s="729"/>
      <c r="W548" s="729"/>
      <c r="X548" s="729"/>
      <c r="Y548" s="729"/>
      <c r="Z548" s="729"/>
      <c r="AA548" s="729"/>
      <c r="AB548" s="729"/>
      <c r="AC548" s="729"/>
      <c r="AD548" s="729"/>
      <c r="AE548" s="729"/>
      <c r="AF548" s="729"/>
      <c r="AG548" s="729"/>
      <c r="AH548" s="729"/>
      <c r="AI548" s="729"/>
      <c r="AJ548" s="729"/>
    </row>
    <row r="549" spans="1:36">
      <c r="A549" s="729"/>
      <c r="B549" s="729"/>
      <c r="C549" s="729"/>
      <c r="D549" s="729"/>
      <c r="E549" s="729"/>
      <c r="F549" s="729"/>
      <c r="G549" s="729"/>
      <c r="H549" s="729"/>
      <c r="I549" s="729"/>
      <c r="J549" s="729"/>
      <c r="K549" s="729"/>
      <c r="L549" s="729"/>
      <c r="M549" s="729"/>
      <c r="N549" s="729"/>
      <c r="O549" s="729"/>
      <c r="P549" s="729"/>
      <c r="Q549" s="729"/>
      <c r="R549" s="729"/>
      <c r="S549" s="729"/>
      <c r="T549" s="729"/>
      <c r="U549" s="729"/>
      <c r="V549" s="729"/>
      <c r="W549" s="729"/>
      <c r="X549" s="729"/>
      <c r="Y549" s="729"/>
      <c r="Z549" s="729"/>
      <c r="AA549" s="729"/>
      <c r="AB549" s="729"/>
      <c r="AC549" s="729"/>
      <c r="AD549" s="729"/>
      <c r="AE549" s="729"/>
      <c r="AF549" s="729"/>
      <c r="AG549" s="729"/>
      <c r="AH549" s="729"/>
      <c r="AI549" s="729"/>
      <c r="AJ549" s="729"/>
    </row>
    <row r="550" spans="1:36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29"/>
      <c r="P550" s="729"/>
      <c r="Q550" s="729"/>
      <c r="R550" s="729"/>
      <c r="S550" s="729"/>
      <c r="T550" s="729"/>
      <c r="U550" s="729"/>
      <c r="V550" s="729"/>
      <c r="W550" s="729"/>
      <c r="X550" s="729"/>
      <c r="Y550" s="729"/>
      <c r="Z550" s="729"/>
      <c r="AA550" s="729"/>
      <c r="AB550" s="729"/>
      <c r="AC550" s="729"/>
      <c r="AD550" s="729"/>
      <c r="AE550" s="729"/>
      <c r="AF550" s="729"/>
      <c r="AG550" s="729"/>
      <c r="AH550" s="729"/>
      <c r="AI550" s="729"/>
      <c r="AJ550" s="729"/>
    </row>
    <row r="551" spans="1:36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29"/>
      <c r="P551" s="729"/>
      <c r="Q551" s="729"/>
      <c r="R551" s="729"/>
      <c r="S551" s="729"/>
      <c r="T551" s="729"/>
      <c r="U551" s="729"/>
      <c r="V551" s="729"/>
      <c r="W551" s="729"/>
      <c r="X551" s="729"/>
      <c r="Y551" s="729"/>
      <c r="Z551" s="729"/>
      <c r="AA551" s="729"/>
      <c r="AB551" s="729"/>
      <c r="AC551" s="729"/>
      <c r="AD551" s="729"/>
      <c r="AE551" s="729"/>
      <c r="AF551" s="729"/>
      <c r="AG551" s="729"/>
      <c r="AH551" s="729"/>
      <c r="AI551" s="729"/>
      <c r="AJ551" s="729"/>
    </row>
    <row r="552" spans="1:36">
      <c r="A552" s="729"/>
      <c r="B552" s="729"/>
      <c r="C552" s="729"/>
      <c r="D552" s="729"/>
      <c r="E552" s="729"/>
      <c r="F552" s="729"/>
      <c r="G552" s="729"/>
      <c r="H552" s="729"/>
      <c r="I552" s="729"/>
      <c r="J552" s="729"/>
      <c r="K552" s="729"/>
      <c r="L552" s="729"/>
      <c r="M552" s="729"/>
      <c r="N552" s="729"/>
      <c r="O552" s="729"/>
      <c r="P552" s="729"/>
      <c r="Q552" s="729"/>
      <c r="R552" s="729"/>
      <c r="S552" s="729"/>
      <c r="T552" s="729"/>
      <c r="U552" s="729"/>
      <c r="V552" s="729"/>
      <c r="W552" s="729"/>
      <c r="X552" s="729"/>
      <c r="Y552" s="729"/>
      <c r="Z552" s="729"/>
      <c r="AA552" s="729"/>
      <c r="AB552" s="729"/>
      <c r="AC552" s="729"/>
      <c r="AD552" s="729"/>
      <c r="AE552" s="729"/>
      <c r="AF552" s="729"/>
      <c r="AG552" s="729"/>
      <c r="AH552" s="729"/>
      <c r="AI552" s="729"/>
      <c r="AJ552" s="729"/>
    </row>
    <row r="553" spans="1:36">
      <c r="A553" s="729"/>
      <c r="B553" s="729"/>
      <c r="C553" s="729"/>
      <c r="D553" s="729"/>
      <c r="E553" s="729"/>
      <c r="F553" s="729"/>
      <c r="G553" s="729"/>
      <c r="H553" s="729"/>
      <c r="I553" s="729"/>
      <c r="J553" s="729"/>
      <c r="K553" s="729"/>
      <c r="L553" s="729"/>
      <c r="M553" s="729"/>
      <c r="N553" s="729"/>
      <c r="O553" s="729"/>
      <c r="P553" s="729"/>
      <c r="Q553" s="729"/>
      <c r="R553" s="729"/>
      <c r="S553" s="729"/>
      <c r="T553" s="729"/>
      <c r="U553" s="729"/>
      <c r="V553" s="729"/>
      <c r="W553" s="729"/>
      <c r="X553" s="729"/>
      <c r="Y553" s="729"/>
      <c r="Z553" s="729"/>
      <c r="AA553" s="729"/>
      <c r="AB553" s="729"/>
      <c r="AC553" s="729"/>
      <c r="AD553" s="729"/>
      <c r="AE553" s="729"/>
      <c r="AF553" s="729"/>
      <c r="AG553" s="729"/>
      <c r="AH553" s="729"/>
      <c r="AI553" s="729"/>
      <c r="AJ553" s="729"/>
    </row>
    <row r="554" spans="1:36">
      <c r="A554" s="729"/>
      <c r="B554" s="729"/>
      <c r="C554" s="729"/>
      <c r="D554" s="729"/>
      <c r="E554" s="729"/>
      <c r="F554" s="729"/>
      <c r="G554" s="729"/>
      <c r="H554" s="729"/>
      <c r="I554" s="729"/>
      <c r="J554" s="729"/>
      <c r="K554" s="729"/>
      <c r="L554" s="729"/>
      <c r="M554" s="729"/>
      <c r="N554" s="729"/>
      <c r="O554" s="729"/>
      <c r="P554" s="729"/>
      <c r="Q554" s="729"/>
      <c r="R554" s="729"/>
      <c r="S554" s="729"/>
      <c r="T554" s="729"/>
      <c r="U554" s="729"/>
      <c r="V554" s="729"/>
      <c r="W554" s="729"/>
      <c r="X554" s="729"/>
      <c r="Y554" s="729"/>
      <c r="Z554" s="729"/>
      <c r="AA554" s="729"/>
      <c r="AB554" s="729"/>
      <c r="AC554" s="729"/>
      <c r="AD554" s="729"/>
      <c r="AE554" s="729"/>
      <c r="AF554" s="729"/>
      <c r="AG554" s="729"/>
      <c r="AH554" s="729"/>
      <c r="AI554" s="729"/>
      <c r="AJ554" s="729"/>
    </row>
    <row r="555" spans="1:36">
      <c r="A555" s="729"/>
      <c r="B555" s="729"/>
      <c r="C555" s="729"/>
      <c r="D555" s="729"/>
      <c r="E555" s="729"/>
      <c r="F555" s="729"/>
      <c r="G555" s="729"/>
      <c r="H555" s="729"/>
      <c r="I555" s="729"/>
      <c r="J555" s="729"/>
      <c r="K555" s="729"/>
      <c r="L555" s="729"/>
      <c r="M555" s="729"/>
      <c r="N555" s="729"/>
      <c r="O555" s="729"/>
      <c r="P555" s="729"/>
      <c r="Q555" s="729"/>
      <c r="R555" s="729"/>
      <c r="S555" s="729"/>
      <c r="T555" s="729"/>
      <c r="U555" s="729"/>
      <c r="V555" s="729"/>
      <c r="W555" s="729"/>
      <c r="X555" s="729"/>
      <c r="Y555" s="729"/>
      <c r="Z555" s="729"/>
      <c r="AA555" s="729"/>
      <c r="AB555" s="729"/>
      <c r="AC555" s="729"/>
      <c r="AD555" s="729"/>
      <c r="AE555" s="729"/>
      <c r="AF555" s="729"/>
      <c r="AG555" s="729"/>
      <c r="AH555" s="729"/>
      <c r="AI555" s="729"/>
      <c r="AJ555" s="729"/>
    </row>
    <row r="556" spans="1:36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29"/>
      <c r="P556" s="729"/>
      <c r="Q556" s="729"/>
      <c r="R556" s="729"/>
      <c r="S556" s="729"/>
      <c r="T556" s="729"/>
      <c r="U556" s="729"/>
      <c r="V556" s="729"/>
      <c r="W556" s="729"/>
      <c r="X556" s="729"/>
      <c r="Y556" s="729"/>
      <c r="Z556" s="729"/>
      <c r="AA556" s="729"/>
      <c r="AB556" s="729"/>
      <c r="AC556" s="729"/>
      <c r="AD556" s="729"/>
      <c r="AE556" s="729"/>
      <c r="AF556" s="729"/>
      <c r="AG556" s="729"/>
      <c r="AH556" s="729"/>
      <c r="AI556" s="729"/>
      <c r="AJ556" s="729"/>
    </row>
    <row r="557" spans="1:36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29"/>
      <c r="P557" s="729"/>
      <c r="Q557" s="729"/>
      <c r="R557" s="729"/>
      <c r="S557" s="729"/>
      <c r="T557" s="729"/>
      <c r="U557" s="729"/>
      <c r="V557" s="729"/>
      <c r="W557" s="729"/>
      <c r="X557" s="729"/>
      <c r="Y557" s="729"/>
      <c r="Z557" s="729"/>
      <c r="AA557" s="729"/>
      <c r="AB557" s="729"/>
      <c r="AC557" s="729"/>
      <c r="AD557" s="729"/>
      <c r="AE557" s="729"/>
      <c r="AF557" s="729"/>
      <c r="AG557" s="729"/>
      <c r="AH557" s="729"/>
      <c r="AI557" s="729"/>
      <c r="AJ557" s="729"/>
    </row>
    <row r="558" spans="1:36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729"/>
      <c r="P558" s="729"/>
      <c r="Q558" s="729"/>
      <c r="R558" s="729"/>
      <c r="S558" s="729"/>
      <c r="T558" s="729"/>
      <c r="U558" s="729"/>
      <c r="V558" s="729"/>
      <c r="W558" s="729"/>
      <c r="X558" s="729"/>
      <c r="Y558" s="729"/>
      <c r="Z558" s="729"/>
      <c r="AA558" s="729"/>
      <c r="AB558" s="729"/>
      <c r="AC558" s="729"/>
      <c r="AD558" s="729"/>
      <c r="AE558" s="729"/>
      <c r="AF558" s="729"/>
      <c r="AG558" s="729"/>
      <c r="AH558" s="729"/>
      <c r="AI558" s="729"/>
      <c r="AJ558" s="729"/>
    </row>
    <row r="559" spans="1:36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729"/>
      <c r="P559" s="729"/>
      <c r="Q559" s="729"/>
      <c r="R559" s="729"/>
      <c r="S559" s="729"/>
      <c r="T559" s="729"/>
      <c r="U559" s="729"/>
      <c r="V559" s="729"/>
      <c r="W559" s="729"/>
      <c r="X559" s="729"/>
      <c r="Y559" s="729"/>
      <c r="Z559" s="729"/>
      <c r="AA559" s="729"/>
      <c r="AB559" s="729"/>
      <c r="AC559" s="729"/>
      <c r="AD559" s="729"/>
      <c r="AE559" s="729"/>
      <c r="AF559" s="729"/>
      <c r="AG559" s="729"/>
      <c r="AH559" s="729"/>
      <c r="AI559" s="729"/>
      <c r="AJ559" s="729"/>
    </row>
    <row r="560" spans="1:36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729"/>
      <c r="P560" s="729"/>
      <c r="Q560" s="729"/>
      <c r="R560" s="729"/>
      <c r="S560" s="729"/>
      <c r="T560" s="729"/>
      <c r="U560" s="729"/>
      <c r="V560" s="729"/>
      <c r="W560" s="729"/>
      <c r="X560" s="729"/>
      <c r="Y560" s="729"/>
      <c r="Z560" s="729"/>
      <c r="AA560" s="729"/>
      <c r="AB560" s="729"/>
      <c r="AC560" s="729"/>
      <c r="AD560" s="729"/>
      <c r="AE560" s="729"/>
      <c r="AF560" s="729"/>
      <c r="AG560" s="729"/>
      <c r="AH560" s="729"/>
      <c r="AI560" s="729"/>
      <c r="AJ560" s="729"/>
    </row>
    <row r="561" spans="1:36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729"/>
      <c r="P561" s="729"/>
      <c r="Q561" s="729"/>
      <c r="R561" s="729"/>
      <c r="S561" s="729"/>
      <c r="T561" s="729"/>
      <c r="U561" s="729"/>
      <c r="V561" s="729"/>
      <c r="W561" s="729"/>
      <c r="X561" s="729"/>
      <c r="Y561" s="729"/>
      <c r="Z561" s="729"/>
      <c r="AA561" s="729"/>
      <c r="AB561" s="729"/>
      <c r="AC561" s="729"/>
      <c r="AD561" s="729"/>
      <c r="AE561" s="729"/>
      <c r="AF561" s="729"/>
      <c r="AG561" s="729"/>
      <c r="AH561" s="729"/>
      <c r="AI561" s="729"/>
      <c r="AJ561" s="729"/>
    </row>
    <row r="562" spans="1:36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729"/>
      <c r="P562" s="729"/>
      <c r="Q562" s="729"/>
      <c r="R562" s="729"/>
      <c r="S562" s="729"/>
      <c r="T562" s="729"/>
      <c r="U562" s="729"/>
      <c r="V562" s="729"/>
      <c r="W562" s="729"/>
      <c r="X562" s="729"/>
      <c r="Y562" s="729"/>
      <c r="Z562" s="729"/>
      <c r="AA562" s="729"/>
      <c r="AB562" s="729"/>
      <c r="AC562" s="729"/>
      <c r="AD562" s="729"/>
      <c r="AE562" s="729"/>
      <c r="AF562" s="729"/>
      <c r="AG562" s="729"/>
      <c r="AH562" s="729"/>
      <c r="AI562" s="729"/>
      <c r="AJ562" s="729"/>
    </row>
    <row r="563" spans="1:36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729"/>
      <c r="P563" s="729"/>
      <c r="Q563" s="729"/>
      <c r="R563" s="729"/>
      <c r="S563" s="729"/>
      <c r="T563" s="729"/>
      <c r="U563" s="729"/>
      <c r="V563" s="729"/>
      <c r="W563" s="729"/>
      <c r="X563" s="729"/>
      <c r="Y563" s="729"/>
      <c r="Z563" s="729"/>
      <c r="AA563" s="729"/>
      <c r="AB563" s="729"/>
      <c r="AC563" s="729"/>
      <c r="AD563" s="729"/>
      <c r="AE563" s="729"/>
      <c r="AF563" s="729"/>
      <c r="AG563" s="729"/>
      <c r="AH563" s="729"/>
      <c r="AI563" s="729"/>
      <c r="AJ563" s="729"/>
    </row>
    <row r="564" spans="1:36">
      <c r="A564" s="729"/>
      <c r="B564" s="729"/>
      <c r="C564" s="729"/>
      <c r="D564" s="729"/>
      <c r="E564" s="729"/>
      <c r="F564" s="729"/>
      <c r="G564" s="729"/>
      <c r="H564" s="729"/>
      <c r="I564" s="729"/>
      <c r="J564" s="729"/>
      <c r="K564" s="729"/>
      <c r="L564" s="729"/>
      <c r="M564" s="729"/>
      <c r="N564" s="729"/>
      <c r="O564" s="729"/>
      <c r="P564" s="729"/>
      <c r="Q564" s="729"/>
      <c r="R564" s="729"/>
      <c r="S564" s="729"/>
      <c r="T564" s="729"/>
      <c r="U564" s="729"/>
      <c r="V564" s="729"/>
      <c r="W564" s="729"/>
      <c r="X564" s="729"/>
      <c r="Y564" s="729"/>
      <c r="Z564" s="729"/>
      <c r="AA564" s="729"/>
      <c r="AB564" s="729"/>
      <c r="AC564" s="729"/>
      <c r="AD564" s="729"/>
      <c r="AE564" s="729"/>
      <c r="AF564" s="729"/>
      <c r="AG564" s="729"/>
      <c r="AH564" s="729"/>
      <c r="AI564" s="729"/>
      <c r="AJ564" s="729"/>
    </row>
    <row r="565" spans="1:36">
      <c r="A565" s="729"/>
      <c r="B565" s="729"/>
      <c r="C565" s="729"/>
      <c r="D565" s="729"/>
      <c r="E565" s="729"/>
      <c r="F565" s="729"/>
      <c r="G565" s="729"/>
      <c r="H565" s="729"/>
      <c r="I565" s="729"/>
      <c r="J565" s="729"/>
      <c r="K565" s="729"/>
      <c r="L565" s="729"/>
      <c r="M565" s="729"/>
      <c r="N565" s="729"/>
      <c r="O565" s="729"/>
      <c r="P565" s="729"/>
      <c r="Q565" s="729"/>
      <c r="R565" s="729"/>
      <c r="S565" s="729"/>
      <c r="T565" s="729"/>
      <c r="U565" s="729"/>
      <c r="V565" s="729"/>
      <c r="W565" s="729"/>
      <c r="X565" s="729"/>
      <c r="Y565" s="729"/>
      <c r="Z565" s="729"/>
      <c r="AA565" s="729"/>
      <c r="AB565" s="729"/>
      <c r="AC565" s="729"/>
      <c r="AD565" s="729"/>
      <c r="AE565" s="729"/>
      <c r="AF565" s="729"/>
      <c r="AG565" s="729"/>
      <c r="AH565" s="729"/>
      <c r="AI565" s="729"/>
      <c r="AJ565" s="729"/>
    </row>
    <row r="566" spans="1:36">
      <c r="A566" s="729"/>
      <c r="B566" s="729"/>
      <c r="C566" s="729"/>
      <c r="D566" s="729"/>
      <c r="E566" s="729"/>
      <c r="F566" s="729"/>
      <c r="G566" s="729"/>
      <c r="H566" s="729"/>
      <c r="I566" s="729"/>
      <c r="J566" s="729"/>
      <c r="K566" s="729"/>
      <c r="L566" s="729"/>
      <c r="M566" s="729"/>
      <c r="N566" s="729"/>
      <c r="O566" s="729"/>
      <c r="P566" s="729"/>
      <c r="Q566" s="729"/>
      <c r="R566" s="729"/>
      <c r="S566" s="729"/>
      <c r="T566" s="729"/>
      <c r="U566" s="729"/>
      <c r="V566" s="729"/>
      <c r="W566" s="729"/>
      <c r="X566" s="729"/>
      <c r="Y566" s="729"/>
      <c r="Z566" s="729"/>
      <c r="AA566" s="729"/>
      <c r="AB566" s="729"/>
      <c r="AC566" s="729"/>
      <c r="AD566" s="729"/>
      <c r="AE566" s="729"/>
      <c r="AF566" s="729"/>
      <c r="AG566" s="729"/>
      <c r="AH566" s="729"/>
      <c r="AI566" s="729"/>
      <c r="AJ566" s="729"/>
    </row>
    <row r="567" spans="1:36">
      <c r="A567" s="729"/>
      <c r="B567" s="729"/>
      <c r="C567" s="729"/>
      <c r="D567" s="729"/>
      <c r="E567" s="729"/>
      <c r="F567" s="729"/>
      <c r="G567" s="729"/>
      <c r="H567" s="729"/>
      <c r="I567" s="729"/>
      <c r="J567" s="729"/>
      <c r="K567" s="729"/>
      <c r="L567" s="729"/>
      <c r="M567" s="729"/>
      <c r="N567" s="729"/>
      <c r="O567" s="729"/>
      <c r="P567" s="729"/>
      <c r="Q567" s="729"/>
      <c r="R567" s="729"/>
      <c r="S567" s="729"/>
      <c r="T567" s="729"/>
      <c r="U567" s="729"/>
      <c r="V567" s="729"/>
      <c r="W567" s="729"/>
      <c r="X567" s="729"/>
      <c r="Y567" s="729"/>
      <c r="Z567" s="729"/>
      <c r="AA567" s="729"/>
      <c r="AB567" s="729"/>
      <c r="AC567" s="729"/>
      <c r="AD567" s="729"/>
      <c r="AE567" s="729"/>
      <c r="AF567" s="729"/>
      <c r="AG567" s="729"/>
      <c r="AH567" s="729"/>
      <c r="AI567" s="729"/>
      <c r="AJ567" s="729"/>
    </row>
    <row r="568" spans="1:36">
      <c r="A568" s="729"/>
      <c r="B568" s="729"/>
      <c r="C568" s="729"/>
      <c r="D568" s="729"/>
      <c r="E568" s="729"/>
      <c r="F568" s="729"/>
      <c r="G568" s="729"/>
      <c r="H568" s="729"/>
      <c r="I568" s="729"/>
      <c r="J568" s="729"/>
      <c r="K568" s="729"/>
      <c r="L568" s="729"/>
      <c r="M568" s="729"/>
      <c r="N568" s="729"/>
      <c r="O568" s="729"/>
      <c r="P568" s="729"/>
      <c r="Q568" s="729"/>
      <c r="R568" s="729"/>
      <c r="S568" s="729"/>
      <c r="T568" s="729"/>
      <c r="U568" s="729"/>
      <c r="V568" s="729"/>
      <c r="W568" s="729"/>
      <c r="X568" s="729"/>
      <c r="Y568" s="729"/>
      <c r="Z568" s="729"/>
      <c r="AA568" s="729"/>
      <c r="AB568" s="729"/>
      <c r="AC568" s="729"/>
      <c r="AD568" s="729"/>
      <c r="AE568" s="729"/>
      <c r="AF568" s="729"/>
      <c r="AG568" s="729"/>
      <c r="AH568" s="729"/>
      <c r="AI568" s="729"/>
      <c r="AJ568" s="729"/>
    </row>
    <row r="569" spans="1:36">
      <c r="A569" s="729"/>
      <c r="B569" s="729"/>
      <c r="C569" s="729"/>
      <c r="D569" s="729"/>
      <c r="E569" s="729"/>
      <c r="F569" s="729"/>
      <c r="G569" s="729"/>
      <c r="H569" s="729"/>
      <c r="I569" s="729"/>
      <c r="J569" s="729"/>
      <c r="K569" s="729"/>
      <c r="L569" s="729"/>
      <c r="M569" s="729"/>
      <c r="N569" s="729"/>
      <c r="O569" s="729"/>
      <c r="P569" s="729"/>
      <c r="Q569" s="729"/>
      <c r="R569" s="729"/>
      <c r="S569" s="729"/>
      <c r="T569" s="729"/>
      <c r="U569" s="729"/>
      <c r="V569" s="729"/>
      <c r="W569" s="729"/>
      <c r="X569" s="729"/>
      <c r="Y569" s="729"/>
      <c r="Z569" s="729"/>
      <c r="AA569" s="729"/>
      <c r="AB569" s="729"/>
      <c r="AC569" s="729"/>
      <c r="AD569" s="729"/>
      <c r="AE569" s="729"/>
      <c r="AF569" s="729"/>
      <c r="AG569" s="729"/>
      <c r="AH569" s="729"/>
      <c r="AI569" s="729"/>
      <c r="AJ569" s="729"/>
    </row>
    <row r="570" spans="1:36">
      <c r="A570" s="729"/>
      <c r="B570" s="729"/>
      <c r="C570" s="729"/>
      <c r="D570" s="729"/>
      <c r="E570" s="729"/>
      <c r="F570" s="729"/>
      <c r="G570" s="729"/>
      <c r="H570" s="729"/>
      <c r="I570" s="729"/>
      <c r="J570" s="729"/>
      <c r="K570" s="729"/>
      <c r="L570" s="729"/>
      <c r="M570" s="729"/>
      <c r="N570" s="729"/>
      <c r="O570" s="729"/>
      <c r="P570" s="729"/>
      <c r="Q570" s="729"/>
      <c r="R570" s="729"/>
      <c r="S570" s="729"/>
      <c r="T570" s="729"/>
      <c r="U570" s="729"/>
      <c r="V570" s="729"/>
      <c r="W570" s="729"/>
      <c r="X570" s="729"/>
      <c r="Y570" s="729"/>
      <c r="Z570" s="729"/>
      <c r="AA570" s="729"/>
      <c r="AB570" s="729"/>
      <c r="AC570" s="729"/>
      <c r="AD570" s="729"/>
      <c r="AE570" s="729"/>
      <c r="AF570" s="729"/>
      <c r="AG570" s="729"/>
      <c r="AH570" s="729"/>
      <c r="AI570" s="729"/>
      <c r="AJ570" s="729"/>
    </row>
    <row r="571" spans="1:36">
      <c r="A571" s="729"/>
      <c r="B571" s="729"/>
      <c r="C571" s="729"/>
      <c r="D571" s="729"/>
      <c r="E571" s="729"/>
      <c r="F571" s="729"/>
      <c r="G571" s="729"/>
      <c r="H571" s="729"/>
      <c r="I571" s="729"/>
      <c r="J571" s="729"/>
      <c r="K571" s="729"/>
      <c r="L571" s="729"/>
      <c r="M571" s="729"/>
      <c r="N571" s="729"/>
      <c r="O571" s="729"/>
      <c r="P571" s="729"/>
      <c r="Q571" s="729"/>
      <c r="R571" s="729"/>
      <c r="S571" s="729"/>
      <c r="T571" s="729"/>
      <c r="U571" s="729"/>
      <c r="V571" s="729"/>
      <c r="W571" s="729"/>
      <c r="X571" s="729"/>
      <c r="Y571" s="729"/>
      <c r="Z571" s="729"/>
      <c r="AA571" s="729"/>
      <c r="AB571" s="729"/>
      <c r="AC571" s="729"/>
      <c r="AD571" s="729"/>
      <c r="AE571" s="729"/>
      <c r="AF571" s="729"/>
      <c r="AG571" s="729"/>
      <c r="AH571" s="729"/>
      <c r="AI571" s="729"/>
      <c r="AJ571" s="729"/>
    </row>
    <row r="572" spans="1:36">
      <c r="A572" s="729"/>
      <c r="B572" s="729"/>
      <c r="C572" s="729"/>
      <c r="D572" s="729"/>
      <c r="E572" s="729"/>
      <c r="F572" s="729"/>
      <c r="G572" s="729"/>
      <c r="H572" s="729"/>
      <c r="I572" s="729"/>
      <c r="J572" s="729"/>
      <c r="K572" s="729"/>
      <c r="L572" s="729"/>
      <c r="M572" s="729"/>
      <c r="N572" s="729"/>
      <c r="O572" s="729"/>
      <c r="P572" s="729"/>
      <c r="Q572" s="729"/>
      <c r="R572" s="729"/>
      <c r="S572" s="729"/>
      <c r="T572" s="729"/>
      <c r="U572" s="729"/>
      <c r="V572" s="729"/>
      <c r="W572" s="729"/>
      <c r="X572" s="729"/>
      <c r="Y572" s="729"/>
      <c r="Z572" s="729"/>
      <c r="AA572" s="729"/>
      <c r="AB572" s="729"/>
      <c r="AC572" s="729"/>
      <c r="AD572" s="729"/>
      <c r="AE572" s="729"/>
      <c r="AF572" s="729"/>
      <c r="AG572" s="729"/>
      <c r="AH572" s="729"/>
      <c r="AI572" s="729"/>
      <c r="AJ572" s="729"/>
    </row>
    <row r="573" spans="1:36">
      <c r="A573" s="729"/>
      <c r="B573" s="729"/>
      <c r="C573" s="729"/>
      <c r="D573" s="729"/>
      <c r="E573" s="729"/>
      <c r="F573" s="729"/>
      <c r="G573" s="729"/>
      <c r="H573" s="729"/>
      <c r="I573" s="729"/>
      <c r="J573" s="729"/>
      <c r="K573" s="729"/>
      <c r="L573" s="729"/>
      <c r="M573" s="729"/>
      <c r="N573" s="729"/>
      <c r="O573" s="729"/>
      <c r="P573" s="729"/>
      <c r="Q573" s="729"/>
      <c r="R573" s="729"/>
      <c r="S573" s="729"/>
      <c r="T573" s="729"/>
      <c r="U573" s="729"/>
      <c r="V573" s="729"/>
      <c r="W573" s="729"/>
      <c r="X573" s="729"/>
      <c r="Y573" s="729"/>
      <c r="Z573" s="729"/>
      <c r="AA573" s="729"/>
      <c r="AB573" s="729"/>
      <c r="AC573" s="729"/>
      <c r="AD573" s="729"/>
      <c r="AE573" s="729"/>
      <c r="AF573" s="729"/>
      <c r="AG573" s="729"/>
      <c r="AH573" s="729"/>
      <c r="AI573" s="729"/>
      <c r="AJ573" s="729"/>
    </row>
    <row r="574" spans="1:36">
      <c r="A574" s="729"/>
      <c r="B574" s="729"/>
      <c r="C574" s="729"/>
      <c r="D574" s="729"/>
      <c r="E574" s="729"/>
      <c r="F574" s="729"/>
      <c r="G574" s="729"/>
      <c r="H574" s="729"/>
      <c r="I574" s="729"/>
      <c r="J574" s="729"/>
      <c r="K574" s="729"/>
      <c r="L574" s="729"/>
      <c r="M574" s="729"/>
      <c r="N574" s="729"/>
      <c r="O574" s="729"/>
      <c r="P574" s="729"/>
      <c r="Q574" s="729"/>
      <c r="R574" s="729"/>
      <c r="S574" s="729"/>
      <c r="T574" s="729"/>
      <c r="U574" s="729"/>
      <c r="V574" s="729"/>
      <c r="W574" s="729"/>
      <c r="X574" s="729"/>
      <c r="Y574" s="729"/>
      <c r="Z574" s="729"/>
      <c r="AA574" s="729"/>
      <c r="AB574" s="729"/>
      <c r="AC574" s="729"/>
      <c r="AD574" s="729"/>
      <c r="AE574" s="729"/>
      <c r="AF574" s="729"/>
      <c r="AG574" s="729"/>
      <c r="AH574" s="729"/>
      <c r="AI574" s="729"/>
      <c r="AJ574" s="729"/>
    </row>
    <row r="575" spans="1:36">
      <c r="A575" s="729"/>
      <c r="B575" s="729"/>
      <c r="C575" s="729"/>
      <c r="D575" s="729"/>
      <c r="E575" s="729"/>
      <c r="F575" s="729"/>
      <c r="G575" s="729"/>
      <c r="H575" s="729"/>
      <c r="I575" s="729"/>
      <c r="J575" s="729"/>
      <c r="K575" s="729"/>
      <c r="L575" s="729"/>
      <c r="M575" s="729"/>
      <c r="N575" s="729"/>
      <c r="O575" s="729"/>
      <c r="P575" s="729"/>
      <c r="Q575" s="729"/>
      <c r="R575" s="729"/>
      <c r="S575" s="729"/>
      <c r="T575" s="729"/>
      <c r="U575" s="729"/>
      <c r="V575" s="729"/>
      <c r="W575" s="729"/>
      <c r="X575" s="729"/>
      <c r="Y575" s="729"/>
      <c r="Z575" s="729"/>
      <c r="AA575" s="729"/>
      <c r="AB575" s="729"/>
      <c r="AC575" s="729"/>
      <c r="AD575" s="729"/>
      <c r="AE575" s="729"/>
      <c r="AF575" s="729"/>
      <c r="AG575" s="729"/>
      <c r="AH575" s="729"/>
      <c r="AI575" s="729"/>
      <c r="AJ575" s="729"/>
    </row>
    <row r="576" spans="1:36">
      <c r="A576" s="729"/>
      <c r="B576" s="729"/>
      <c r="C576" s="729"/>
      <c r="D576" s="729"/>
      <c r="E576" s="729"/>
      <c r="F576" s="729"/>
      <c r="G576" s="729"/>
      <c r="H576" s="729"/>
      <c r="I576" s="729"/>
      <c r="J576" s="729"/>
      <c r="K576" s="729"/>
      <c r="L576" s="729"/>
      <c r="M576" s="729"/>
      <c r="N576" s="729"/>
      <c r="O576" s="729"/>
      <c r="P576" s="729"/>
      <c r="Q576" s="729"/>
      <c r="R576" s="729"/>
      <c r="S576" s="729"/>
      <c r="T576" s="729"/>
      <c r="U576" s="729"/>
      <c r="V576" s="729"/>
      <c r="W576" s="729"/>
      <c r="X576" s="729"/>
      <c r="Y576" s="729"/>
      <c r="Z576" s="729"/>
      <c r="AA576" s="729"/>
      <c r="AB576" s="729"/>
      <c r="AC576" s="729"/>
      <c r="AD576" s="729"/>
      <c r="AE576" s="729"/>
      <c r="AF576" s="729"/>
      <c r="AG576" s="729"/>
      <c r="AH576" s="729"/>
      <c r="AI576" s="729"/>
      <c r="AJ576" s="729"/>
    </row>
    <row r="577" spans="1:36">
      <c r="A577" s="729"/>
      <c r="B577" s="729"/>
      <c r="C577" s="729"/>
      <c r="D577" s="729"/>
      <c r="E577" s="729"/>
      <c r="F577" s="729"/>
      <c r="G577" s="729"/>
      <c r="H577" s="729"/>
      <c r="I577" s="729"/>
      <c r="J577" s="729"/>
      <c r="K577" s="729"/>
      <c r="L577" s="729"/>
      <c r="M577" s="729"/>
      <c r="N577" s="729"/>
      <c r="O577" s="729"/>
      <c r="P577" s="729"/>
      <c r="Q577" s="729"/>
      <c r="R577" s="729"/>
      <c r="S577" s="729"/>
      <c r="T577" s="729"/>
      <c r="U577" s="729"/>
      <c r="V577" s="729"/>
      <c r="W577" s="729"/>
      <c r="X577" s="729"/>
      <c r="Y577" s="729"/>
      <c r="Z577" s="729"/>
      <c r="AA577" s="729"/>
      <c r="AB577" s="729"/>
      <c r="AC577" s="729"/>
      <c r="AD577" s="729"/>
      <c r="AE577" s="729"/>
      <c r="AF577" s="729"/>
      <c r="AG577" s="729"/>
      <c r="AH577" s="729"/>
      <c r="AI577" s="729"/>
      <c r="AJ577" s="729"/>
    </row>
    <row r="578" spans="1:36">
      <c r="A578" s="729"/>
      <c r="B578" s="729"/>
      <c r="C578" s="729"/>
      <c r="D578" s="729"/>
      <c r="E578" s="729"/>
      <c r="F578" s="729"/>
      <c r="G578" s="729"/>
      <c r="H578" s="729"/>
      <c r="I578" s="729"/>
      <c r="J578" s="729"/>
      <c r="K578" s="729"/>
      <c r="L578" s="729"/>
      <c r="M578" s="729"/>
      <c r="N578" s="729"/>
      <c r="O578" s="729"/>
      <c r="P578" s="729"/>
      <c r="Q578" s="729"/>
      <c r="R578" s="729"/>
      <c r="S578" s="729"/>
      <c r="T578" s="729"/>
      <c r="U578" s="729"/>
      <c r="V578" s="729"/>
      <c r="W578" s="729"/>
      <c r="X578" s="729"/>
      <c r="Y578" s="729"/>
      <c r="Z578" s="729"/>
      <c r="AA578" s="729"/>
      <c r="AB578" s="729"/>
      <c r="AC578" s="729"/>
      <c r="AD578" s="729"/>
      <c r="AE578" s="729"/>
      <c r="AF578" s="729"/>
      <c r="AG578" s="729"/>
      <c r="AH578" s="729"/>
      <c r="AI578" s="729"/>
      <c r="AJ578" s="729"/>
    </row>
    <row r="579" spans="1:36">
      <c r="A579" s="729"/>
      <c r="B579" s="729"/>
      <c r="C579" s="729"/>
      <c r="D579" s="729"/>
      <c r="E579" s="729"/>
      <c r="F579" s="729"/>
      <c r="G579" s="729"/>
      <c r="H579" s="729"/>
      <c r="I579" s="729"/>
      <c r="J579" s="729"/>
      <c r="K579" s="729"/>
      <c r="L579" s="729"/>
      <c r="M579" s="729"/>
      <c r="N579" s="729"/>
      <c r="O579" s="729"/>
      <c r="P579" s="729"/>
      <c r="Q579" s="729"/>
      <c r="R579" s="729"/>
      <c r="S579" s="729"/>
      <c r="T579" s="729"/>
      <c r="U579" s="729"/>
      <c r="V579" s="729"/>
      <c r="W579" s="729"/>
      <c r="X579" s="729"/>
      <c r="Y579" s="729"/>
      <c r="Z579" s="729"/>
      <c r="AA579" s="729"/>
      <c r="AB579" s="729"/>
      <c r="AC579" s="729"/>
      <c r="AD579" s="729"/>
      <c r="AE579" s="729"/>
      <c r="AF579" s="729"/>
      <c r="AG579" s="729"/>
      <c r="AH579" s="729"/>
      <c r="AI579" s="729"/>
      <c r="AJ579" s="729"/>
    </row>
    <row r="580" spans="1:36">
      <c r="A580" s="729"/>
      <c r="B580" s="729"/>
      <c r="C580" s="729"/>
      <c r="D580" s="729"/>
      <c r="E580" s="729"/>
      <c r="F580" s="729"/>
      <c r="G580" s="729"/>
      <c r="H580" s="729"/>
      <c r="I580" s="729"/>
      <c r="J580" s="729"/>
      <c r="K580" s="729"/>
      <c r="L580" s="729"/>
      <c r="M580" s="729"/>
      <c r="N580" s="729"/>
      <c r="O580" s="729"/>
      <c r="P580" s="729"/>
      <c r="Q580" s="729"/>
      <c r="R580" s="729"/>
      <c r="S580" s="729"/>
      <c r="T580" s="729"/>
      <c r="U580" s="729"/>
      <c r="V580" s="729"/>
      <c r="W580" s="729"/>
      <c r="X580" s="729"/>
      <c r="Y580" s="729"/>
      <c r="Z580" s="729"/>
      <c r="AA580" s="729"/>
      <c r="AB580" s="729"/>
      <c r="AC580" s="729"/>
      <c r="AD580" s="729"/>
      <c r="AE580" s="729"/>
      <c r="AF580" s="729"/>
      <c r="AG580" s="729"/>
      <c r="AH580" s="729"/>
      <c r="AI580" s="729"/>
      <c r="AJ580" s="729"/>
    </row>
    <row r="581" spans="1:36">
      <c r="A581" s="729"/>
      <c r="B581" s="729"/>
      <c r="C581" s="729"/>
      <c r="D581" s="729"/>
      <c r="E581" s="729"/>
      <c r="F581" s="729"/>
      <c r="G581" s="729"/>
      <c r="H581" s="729"/>
      <c r="I581" s="729"/>
      <c r="J581" s="729"/>
      <c r="K581" s="729"/>
      <c r="L581" s="729"/>
      <c r="M581" s="729"/>
      <c r="N581" s="729"/>
      <c r="O581" s="729"/>
      <c r="P581" s="729"/>
      <c r="Q581" s="729"/>
      <c r="R581" s="729"/>
      <c r="S581" s="729"/>
      <c r="T581" s="729"/>
      <c r="U581" s="729"/>
      <c r="V581" s="729"/>
      <c r="W581" s="729"/>
      <c r="X581" s="729"/>
      <c r="Y581" s="729"/>
      <c r="Z581" s="729"/>
      <c r="AA581" s="729"/>
      <c r="AB581" s="729"/>
      <c r="AC581" s="729"/>
      <c r="AD581" s="729"/>
      <c r="AE581" s="729"/>
      <c r="AF581" s="729"/>
      <c r="AG581" s="729"/>
      <c r="AH581" s="729"/>
      <c r="AI581" s="729"/>
      <c r="AJ581" s="729"/>
    </row>
    <row r="582" spans="1:36">
      <c r="A582" s="729"/>
      <c r="B582" s="729"/>
      <c r="C582" s="729"/>
      <c r="D582" s="729"/>
      <c r="E582" s="729"/>
      <c r="F582" s="729"/>
      <c r="G582" s="729"/>
      <c r="H582" s="729"/>
      <c r="I582" s="729"/>
      <c r="J582" s="729"/>
      <c r="K582" s="729"/>
      <c r="L582" s="729"/>
      <c r="M582" s="729"/>
      <c r="N582" s="729"/>
      <c r="O582" s="729"/>
      <c r="P582" s="729"/>
      <c r="Q582" s="729"/>
      <c r="R582" s="729"/>
      <c r="S582" s="729"/>
      <c r="T582" s="729"/>
      <c r="U582" s="729"/>
      <c r="V582" s="729"/>
      <c r="W582" s="729"/>
      <c r="X582" s="729"/>
      <c r="Y582" s="729"/>
      <c r="Z582" s="729"/>
      <c r="AA582" s="729"/>
      <c r="AB582" s="729"/>
      <c r="AC582" s="729"/>
      <c r="AD582" s="729"/>
      <c r="AE582" s="729"/>
      <c r="AF582" s="729"/>
      <c r="AG582" s="729"/>
      <c r="AH582" s="729"/>
      <c r="AI582" s="729"/>
      <c r="AJ582" s="729"/>
    </row>
    <row r="583" spans="1:36">
      <c r="A583" s="729"/>
      <c r="B583" s="729"/>
      <c r="C583" s="729"/>
      <c r="D583" s="729"/>
      <c r="E583" s="729"/>
      <c r="F583" s="729"/>
      <c r="G583" s="729"/>
      <c r="H583" s="729"/>
      <c r="I583" s="729"/>
      <c r="J583" s="729"/>
      <c r="K583" s="729"/>
      <c r="L583" s="729"/>
      <c r="M583" s="729"/>
      <c r="N583" s="729"/>
      <c r="O583" s="729"/>
      <c r="P583" s="729"/>
      <c r="Q583" s="729"/>
      <c r="R583" s="729"/>
      <c r="S583" s="729"/>
      <c r="T583" s="729"/>
      <c r="U583" s="729"/>
      <c r="V583" s="729"/>
      <c r="W583" s="729"/>
      <c r="X583" s="729"/>
      <c r="Y583" s="729"/>
      <c r="Z583" s="729"/>
      <c r="AA583" s="729"/>
      <c r="AB583" s="729"/>
      <c r="AC583" s="729"/>
      <c r="AD583" s="729"/>
      <c r="AE583" s="729"/>
      <c r="AF583" s="729"/>
      <c r="AG583" s="729"/>
      <c r="AH583" s="729"/>
      <c r="AI583" s="729"/>
      <c r="AJ583" s="729"/>
    </row>
    <row r="584" spans="1:36">
      <c r="A584" s="729"/>
      <c r="B584" s="729"/>
      <c r="C584" s="729"/>
      <c r="D584" s="729"/>
      <c r="E584" s="729"/>
      <c r="F584" s="729"/>
      <c r="G584" s="729"/>
      <c r="H584" s="729"/>
      <c r="I584" s="729"/>
      <c r="J584" s="729"/>
      <c r="K584" s="729"/>
      <c r="L584" s="729"/>
      <c r="M584" s="729"/>
      <c r="N584" s="729"/>
      <c r="O584" s="729"/>
      <c r="P584" s="729"/>
      <c r="Q584" s="729"/>
      <c r="R584" s="729"/>
      <c r="S584" s="729"/>
      <c r="T584" s="729"/>
      <c r="U584" s="729"/>
      <c r="V584" s="729"/>
      <c r="W584" s="729"/>
      <c r="X584" s="729"/>
      <c r="Y584" s="729"/>
      <c r="Z584" s="729"/>
      <c r="AA584" s="729"/>
      <c r="AB584" s="729"/>
      <c r="AC584" s="729"/>
      <c r="AD584" s="729"/>
      <c r="AE584" s="729"/>
      <c r="AF584" s="729"/>
      <c r="AG584" s="729"/>
      <c r="AH584" s="729"/>
      <c r="AI584" s="729"/>
      <c r="AJ584" s="729"/>
    </row>
    <row r="585" spans="1:36">
      <c r="A585" s="729"/>
      <c r="B585" s="729"/>
      <c r="C585" s="729"/>
      <c r="D585" s="729"/>
      <c r="E585" s="729"/>
      <c r="F585" s="729"/>
      <c r="G585" s="729"/>
      <c r="H585" s="729"/>
      <c r="I585" s="729"/>
      <c r="J585" s="729"/>
      <c r="K585" s="729"/>
      <c r="L585" s="729"/>
      <c r="M585" s="729"/>
      <c r="N585" s="729"/>
      <c r="O585" s="729"/>
      <c r="P585" s="729"/>
      <c r="Q585" s="729"/>
      <c r="R585" s="729"/>
      <c r="S585" s="729"/>
      <c r="T585" s="729"/>
      <c r="U585" s="729"/>
      <c r="V585" s="729"/>
      <c r="W585" s="729"/>
      <c r="X585" s="729"/>
      <c r="Y585" s="729"/>
      <c r="Z585" s="729"/>
      <c r="AA585" s="729"/>
      <c r="AB585" s="729"/>
      <c r="AC585" s="729"/>
      <c r="AD585" s="729"/>
      <c r="AE585" s="729"/>
      <c r="AF585" s="729"/>
      <c r="AG585" s="729"/>
      <c r="AH585" s="729"/>
      <c r="AI585" s="729"/>
      <c r="AJ585" s="729"/>
    </row>
    <row r="586" spans="1:36">
      <c r="A586" s="729"/>
      <c r="B586" s="729"/>
      <c r="C586" s="729"/>
      <c r="D586" s="729"/>
      <c r="E586" s="729"/>
      <c r="F586" s="729"/>
      <c r="G586" s="729"/>
      <c r="H586" s="729"/>
      <c r="I586" s="729"/>
      <c r="J586" s="729"/>
      <c r="K586" s="729"/>
      <c r="L586" s="729"/>
      <c r="M586" s="729"/>
      <c r="N586" s="729"/>
      <c r="O586" s="729"/>
      <c r="P586" s="729"/>
      <c r="Q586" s="729"/>
      <c r="R586" s="729"/>
      <c r="S586" s="729"/>
      <c r="T586" s="729"/>
      <c r="U586" s="729"/>
      <c r="V586" s="729"/>
      <c r="W586" s="729"/>
      <c r="X586" s="729"/>
      <c r="Y586" s="729"/>
      <c r="Z586" s="729"/>
      <c r="AA586" s="729"/>
      <c r="AB586" s="729"/>
      <c r="AC586" s="729"/>
      <c r="AD586" s="729"/>
      <c r="AE586" s="729"/>
      <c r="AF586" s="729"/>
      <c r="AG586" s="729"/>
      <c r="AH586" s="729"/>
      <c r="AI586" s="729"/>
      <c r="AJ586" s="729"/>
    </row>
    <row r="587" spans="1:36">
      <c r="A587" s="729"/>
      <c r="B587" s="729"/>
      <c r="C587" s="729"/>
      <c r="D587" s="729"/>
      <c r="E587" s="729"/>
      <c r="F587" s="729"/>
      <c r="G587" s="729"/>
      <c r="H587" s="729"/>
      <c r="I587" s="729"/>
      <c r="J587" s="729"/>
      <c r="K587" s="729"/>
      <c r="L587" s="729"/>
      <c r="M587" s="729"/>
      <c r="N587" s="729"/>
      <c r="O587" s="729"/>
      <c r="P587" s="729"/>
      <c r="Q587" s="729"/>
      <c r="R587" s="729"/>
      <c r="S587" s="729"/>
      <c r="T587" s="729"/>
      <c r="U587" s="729"/>
      <c r="V587" s="729"/>
      <c r="W587" s="729"/>
      <c r="X587" s="729"/>
      <c r="Y587" s="729"/>
      <c r="Z587" s="729"/>
      <c r="AA587" s="729"/>
      <c r="AB587" s="729"/>
      <c r="AC587" s="729"/>
      <c r="AD587" s="729"/>
      <c r="AE587" s="729"/>
      <c r="AF587" s="729"/>
      <c r="AG587" s="729"/>
      <c r="AH587" s="729"/>
      <c r="AI587" s="729"/>
      <c r="AJ587" s="729"/>
    </row>
    <row r="588" spans="1:36">
      <c r="A588" s="729"/>
      <c r="B588" s="729"/>
      <c r="C588" s="729"/>
      <c r="D588" s="729"/>
      <c r="E588" s="729"/>
      <c r="F588" s="729"/>
      <c r="G588" s="729"/>
      <c r="H588" s="729"/>
      <c r="I588" s="729"/>
      <c r="J588" s="729"/>
      <c r="K588" s="729"/>
      <c r="L588" s="729"/>
      <c r="M588" s="729"/>
      <c r="N588" s="729"/>
      <c r="O588" s="729"/>
      <c r="P588" s="729"/>
      <c r="Q588" s="729"/>
      <c r="R588" s="729"/>
      <c r="S588" s="729"/>
      <c r="T588" s="729"/>
      <c r="U588" s="729"/>
      <c r="V588" s="729"/>
      <c r="W588" s="729"/>
      <c r="X588" s="729"/>
      <c r="Y588" s="729"/>
      <c r="Z588" s="729"/>
      <c r="AA588" s="729"/>
      <c r="AB588" s="729"/>
      <c r="AC588" s="729"/>
      <c r="AD588" s="729"/>
      <c r="AE588" s="729"/>
      <c r="AF588" s="729"/>
      <c r="AG588" s="729"/>
      <c r="AH588" s="729"/>
      <c r="AI588" s="729"/>
      <c r="AJ588" s="729"/>
    </row>
    <row r="589" spans="1:36">
      <c r="A589" s="729"/>
      <c r="B589" s="729"/>
      <c r="C589" s="729"/>
      <c r="D589" s="729"/>
      <c r="E589" s="729"/>
      <c r="F589" s="729"/>
      <c r="G589" s="729"/>
      <c r="H589" s="729"/>
      <c r="I589" s="729"/>
      <c r="J589" s="729"/>
      <c r="K589" s="729"/>
      <c r="L589" s="729"/>
      <c r="M589" s="729"/>
      <c r="N589" s="729"/>
      <c r="O589" s="729"/>
      <c r="P589" s="729"/>
      <c r="Q589" s="729"/>
      <c r="R589" s="729"/>
      <c r="S589" s="729"/>
      <c r="T589" s="729"/>
      <c r="U589" s="729"/>
      <c r="V589" s="729"/>
      <c r="W589" s="729"/>
      <c r="X589" s="729"/>
      <c r="Y589" s="729"/>
      <c r="Z589" s="729"/>
      <c r="AA589" s="729"/>
      <c r="AB589" s="729"/>
      <c r="AC589" s="729"/>
      <c r="AD589" s="729"/>
      <c r="AE589" s="729"/>
      <c r="AF589" s="729"/>
      <c r="AG589" s="729"/>
      <c r="AH589" s="729"/>
      <c r="AI589" s="729"/>
      <c r="AJ589" s="729"/>
    </row>
    <row r="590" spans="1:36">
      <c r="A590" s="729"/>
      <c r="B590" s="729"/>
      <c r="C590" s="729"/>
      <c r="D590" s="729"/>
      <c r="E590" s="729"/>
      <c r="F590" s="729"/>
      <c r="G590" s="729"/>
      <c r="H590" s="729"/>
      <c r="I590" s="729"/>
      <c r="J590" s="729"/>
      <c r="K590" s="729"/>
      <c r="L590" s="729"/>
      <c r="M590" s="729"/>
      <c r="N590" s="729"/>
      <c r="O590" s="729"/>
      <c r="P590" s="729"/>
      <c r="Q590" s="729"/>
      <c r="R590" s="729"/>
      <c r="S590" s="729"/>
      <c r="T590" s="729"/>
      <c r="U590" s="729"/>
      <c r="V590" s="729"/>
      <c r="W590" s="729"/>
      <c r="X590" s="729"/>
      <c r="Y590" s="729"/>
      <c r="Z590" s="729"/>
      <c r="AA590" s="729"/>
      <c r="AB590" s="729"/>
      <c r="AC590" s="729"/>
      <c r="AD590" s="729"/>
      <c r="AE590" s="729"/>
      <c r="AF590" s="729"/>
      <c r="AG590" s="729"/>
      <c r="AH590" s="729"/>
      <c r="AI590" s="729"/>
      <c r="AJ590" s="729"/>
    </row>
    <row r="591" spans="1:36">
      <c r="A591" s="729"/>
      <c r="B591" s="729"/>
      <c r="C591" s="729"/>
      <c r="D591" s="729"/>
      <c r="E591" s="729"/>
      <c r="F591" s="729"/>
      <c r="G591" s="729"/>
      <c r="H591" s="729"/>
      <c r="I591" s="729"/>
      <c r="J591" s="729"/>
      <c r="K591" s="729"/>
      <c r="L591" s="729"/>
      <c r="M591" s="729"/>
      <c r="N591" s="729"/>
      <c r="O591" s="729"/>
      <c r="P591" s="729"/>
      <c r="Q591" s="729"/>
      <c r="R591" s="729"/>
      <c r="S591" s="729"/>
      <c r="T591" s="729"/>
      <c r="U591" s="729"/>
      <c r="V591" s="729"/>
      <c r="W591" s="729"/>
      <c r="X591" s="729"/>
      <c r="Y591" s="729"/>
      <c r="Z591" s="729"/>
      <c r="AA591" s="729"/>
      <c r="AB591" s="729"/>
      <c r="AC591" s="729"/>
      <c r="AD591" s="729"/>
      <c r="AE591" s="729"/>
      <c r="AF591" s="729"/>
      <c r="AG591" s="729"/>
      <c r="AH591" s="729"/>
      <c r="AI591" s="729"/>
      <c r="AJ591" s="729"/>
    </row>
    <row r="592" spans="1:36">
      <c r="A592" s="729"/>
      <c r="B592" s="729"/>
      <c r="C592" s="729"/>
      <c r="D592" s="729"/>
      <c r="E592" s="729"/>
      <c r="F592" s="729"/>
      <c r="G592" s="729"/>
      <c r="H592" s="729"/>
      <c r="I592" s="729"/>
      <c r="J592" s="729"/>
      <c r="K592" s="729"/>
      <c r="L592" s="729"/>
      <c r="M592" s="729"/>
      <c r="N592" s="729"/>
      <c r="O592" s="729"/>
      <c r="P592" s="729"/>
      <c r="Q592" s="729"/>
      <c r="R592" s="729"/>
      <c r="S592" s="729"/>
      <c r="T592" s="729"/>
      <c r="U592" s="729"/>
      <c r="V592" s="729"/>
      <c r="W592" s="729"/>
      <c r="X592" s="729"/>
      <c r="Y592" s="729"/>
      <c r="Z592" s="729"/>
      <c r="AA592" s="729"/>
      <c r="AB592" s="729"/>
      <c r="AC592" s="729"/>
      <c r="AD592" s="729"/>
      <c r="AE592" s="729"/>
      <c r="AF592" s="729"/>
      <c r="AG592" s="729"/>
      <c r="AH592" s="729"/>
      <c r="AI592" s="729"/>
      <c r="AJ592" s="729"/>
    </row>
    <row r="593" spans="1:36">
      <c r="A593" s="729"/>
      <c r="B593" s="729"/>
      <c r="C593" s="729"/>
      <c r="D593" s="729"/>
      <c r="E593" s="729"/>
      <c r="F593" s="729"/>
      <c r="G593" s="729"/>
      <c r="H593" s="729"/>
      <c r="I593" s="729"/>
      <c r="J593" s="729"/>
      <c r="K593" s="729"/>
      <c r="L593" s="729"/>
      <c r="M593" s="729"/>
      <c r="N593" s="729"/>
      <c r="O593" s="729"/>
      <c r="P593" s="729"/>
      <c r="Q593" s="729"/>
      <c r="R593" s="729"/>
      <c r="S593" s="729"/>
      <c r="T593" s="729"/>
      <c r="U593" s="729"/>
      <c r="V593" s="729"/>
      <c r="W593" s="729"/>
      <c r="X593" s="729"/>
      <c r="Y593" s="729"/>
      <c r="Z593" s="729"/>
      <c r="AA593" s="729"/>
      <c r="AB593" s="729"/>
      <c r="AC593" s="729"/>
      <c r="AD593" s="729"/>
      <c r="AE593" s="729"/>
      <c r="AF593" s="729"/>
      <c r="AG593" s="729"/>
      <c r="AH593" s="729"/>
      <c r="AI593" s="729"/>
      <c r="AJ593" s="729"/>
    </row>
    <row r="594" spans="1:36">
      <c r="A594" s="729"/>
      <c r="B594" s="729"/>
      <c r="C594" s="729"/>
      <c r="D594" s="729"/>
      <c r="E594" s="729"/>
      <c r="F594" s="729"/>
      <c r="G594" s="729"/>
      <c r="H594" s="729"/>
      <c r="I594" s="729"/>
      <c r="J594" s="729"/>
      <c r="K594" s="729"/>
      <c r="L594" s="729"/>
      <c r="M594" s="729"/>
      <c r="N594" s="729"/>
      <c r="O594" s="729"/>
      <c r="P594" s="729"/>
      <c r="Q594" s="729"/>
      <c r="R594" s="729"/>
      <c r="S594" s="729"/>
      <c r="T594" s="729"/>
      <c r="U594" s="729"/>
      <c r="V594" s="729"/>
      <c r="W594" s="729"/>
      <c r="X594" s="729"/>
      <c r="Y594" s="729"/>
      <c r="Z594" s="729"/>
      <c r="AA594" s="729"/>
      <c r="AB594" s="729"/>
      <c r="AC594" s="729"/>
      <c r="AD594" s="729"/>
      <c r="AE594" s="729"/>
      <c r="AF594" s="729"/>
      <c r="AG594" s="729"/>
      <c r="AH594" s="729"/>
      <c r="AI594" s="729"/>
      <c r="AJ594" s="729"/>
    </row>
    <row r="595" spans="1:36">
      <c r="A595" s="729"/>
      <c r="B595" s="729"/>
      <c r="C595" s="729"/>
      <c r="D595" s="729"/>
      <c r="E595" s="729"/>
      <c r="F595" s="729"/>
      <c r="G595" s="729"/>
      <c r="H595" s="729"/>
      <c r="I595" s="729"/>
      <c r="J595" s="729"/>
      <c r="K595" s="729"/>
      <c r="L595" s="729"/>
      <c r="M595" s="729"/>
      <c r="N595" s="729"/>
      <c r="O595" s="729"/>
      <c r="P595" s="729"/>
      <c r="Q595" s="729"/>
      <c r="R595" s="729"/>
      <c r="S595" s="729"/>
      <c r="T595" s="729"/>
      <c r="U595" s="729"/>
      <c r="V595" s="729"/>
      <c r="W595" s="729"/>
      <c r="X595" s="729"/>
      <c r="Y595" s="729"/>
      <c r="Z595" s="729"/>
      <c r="AA595" s="729"/>
      <c r="AB595" s="729"/>
      <c r="AC595" s="729"/>
      <c r="AD595" s="729"/>
      <c r="AE595" s="729"/>
      <c r="AF595" s="729"/>
      <c r="AG595" s="729"/>
      <c r="AH595" s="729"/>
      <c r="AI595" s="729"/>
      <c r="AJ595" s="729"/>
    </row>
    <row r="596" spans="1:36">
      <c r="A596" s="729"/>
      <c r="B596" s="729"/>
      <c r="C596" s="729"/>
      <c r="D596" s="729"/>
      <c r="E596" s="729"/>
      <c r="F596" s="729"/>
      <c r="G596" s="729"/>
      <c r="H596" s="729"/>
      <c r="I596" s="729"/>
      <c r="J596" s="729"/>
      <c r="K596" s="729"/>
      <c r="L596" s="729"/>
      <c r="M596" s="729"/>
      <c r="N596" s="729"/>
      <c r="O596" s="729"/>
      <c r="P596" s="729"/>
      <c r="Q596" s="729"/>
      <c r="R596" s="729"/>
      <c r="S596" s="729"/>
      <c r="T596" s="729"/>
      <c r="U596" s="729"/>
      <c r="V596" s="729"/>
      <c r="W596" s="729"/>
      <c r="X596" s="729"/>
      <c r="Y596" s="729"/>
      <c r="Z596" s="729"/>
      <c r="AA596" s="729"/>
      <c r="AB596" s="729"/>
      <c r="AC596" s="729"/>
      <c r="AD596" s="729"/>
      <c r="AE596" s="729"/>
      <c r="AF596" s="729"/>
      <c r="AG596" s="729"/>
      <c r="AH596" s="729"/>
      <c r="AI596" s="729"/>
      <c r="AJ596" s="729"/>
    </row>
    <row r="597" spans="1:36">
      <c r="A597" s="729"/>
      <c r="B597" s="729"/>
      <c r="C597" s="729"/>
      <c r="D597" s="729"/>
      <c r="E597" s="729"/>
      <c r="F597" s="729"/>
      <c r="G597" s="729"/>
      <c r="H597" s="729"/>
      <c r="I597" s="729"/>
      <c r="J597" s="729"/>
      <c r="K597" s="729"/>
      <c r="L597" s="729"/>
      <c r="M597" s="729"/>
      <c r="N597" s="729"/>
      <c r="O597" s="729"/>
      <c r="P597" s="729"/>
      <c r="Q597" s="729"/>
      <c r="R597" s="729"/>
      <c r="S597" s="729"/>
      <c r="T597" s="729"/>
      <c r="U597" s="729"/>
      <c r="V597" s="729"/>
      <c r="W597" s="729"/>
      <c r="X597" s="729"/>
      <c r="Y597" s="729"/>
      <c r="Z597" s="729"/>
      <c r="AA597" s="729"/>
      <c r="AB597" s="729"/>
      <c r="AC597" s="729"/>
      <c r="AD597" s="729"/>
      <c r="AE597" s="729"/>
      <c r="AF597" s="729"/>
      <c r="AG597" s="729"/>
      <c r="AH597" s="729"/>
      <c r="AI597" s="729"/>
      <c r="AJ597" s="729"/>
    </row>
    <row r="598" spans="1:36">
      <c r="A598" s="729"/>
      <c r="B598" s="729"/>
      <c r="C598" s="729"/>
      <c r="D598" s="729"/>
      <c r="E598" s="729"/>
      <c r="F598" s="729"/>
      <c r="G598" s="729"/>
      <c r="H598" s="729"/>
      <c r="I598" s="729"/>
      <c r="J598" s="729"/>
      <c r="K598" s="729"/>
      <c r="L598" s="729"/>
      <c r="M598" s="729"/>
      <c r="N598" s="729"/>
      <c r="O598" s="729"/>
      <c r="P598" s="729"/>
      <c r="Q598" s="729"/>
      <c r="R598" s="729"/>
      <c r="S598" s="729"/>
      <c r="T598" s="729"/>
      <c r="U598" s="729"/>
      <c r="V598" s="729"/>
      <c r="W598" s="729"/>
      <c r="X598" s="729"/>
      <c r="Y598" s="729"/>
      <c r="Z598" s="729"/>
      <c r="AA598" s="729"/>
      <c r="AB598" s="729"/>
      <c r="AC598" s="729"/>
      <c r="AD598" s="729"/>
      <c r="AE598" s="729"/>
      <c r="AF598" s="729"/>
      <c r="AG598" s="729"/>
      <c r="AH598" s="729"/>
      <c r="AI598" s="729"/>
      <c r="AJ598" s="729"/>
    </row>
    <row r="599" spans="1:36">
      <c r="A599" s="729"/>
      <c r="B599" s="729"/>
      <c r="C599" s="729"/>
      <c r="D599" s="729"/>
      <c r="E599" s="729"/>
      <c r="F599" s="729"/>
      <c r="G599" s="729"/>
      <c r="H599" s="729"/>
      <c r="I599" s="729"/>
      <c r="J599" s="729"/>
      <c r="K599" s="729"/>
      <c r="L599" s="729"/>
      <c r="M599" s="729"/>
      <c r="N599" s="729"/>
      <c r="O599" s="729"/>
      <c r="P599" s="729"/>
      <c r="Q599" s="729"/>
      <c r="R599" s="729"/>
      <c r="S599" s="729"/>
      <c r="T599" s="729"/>
      <c r="U599" s="729"/>
      <c r="V599" s="729"/>
      <c r="W599" s="729"/>
      <c r="X599" s="729"/>
      <c r="Y599" s="729"/>
      <c r="Z599" s="729"/>
      <c r="AA599" s="729"/>
      <c r="AB599" s="729"/>
      <c r="AC599" s="729"/>
      <c r="AD599" s="729"/>
      <c r="AE599" s="729"/>
      <c r="AF599" s="729"/>
      <c r="AG599" s="729"/>
      <c r="AH599" s="729"/>
      <c r="AI599" s="729"/>
      <c r="AJ599" s="729"/>
    </row>
    <row r="600" spans="1:36">
      <c r="A600" s="729"/>
      <c r="B600" s="729"/>
      <c r="C600" s="729"/>
      <c r="D600" s="729"/>
      <c r="E600" s="729"/>
      <c r="F600" s="729"/>
      <c r="G600" s="729"/>
      <c r="H600" s="729"/>
      <c r="I600" s="729"/>
      <c r="J600" s="729"/>
      <c r="K600" s="729"/>
      <c r="L600" s="729"/>
      <c r="M600" s="729"/>
      <c r="N600" s="729"/>
      <c r="O600" s="729"/>
      <c r="P600" s="729"/>
      <c r="Q600" s="729"/>
      <c r="R600" s="729"/>
      <c r="S600" s="729"/>
      <c r="T600" s="729"/>
      <c r="U600" s="729"/>
      <c r="V600" s="729"/>
      <c r="W600" s="729"/>
      <c r="X600" s="729"/>
      <c r="Y600" s="729"/>
      <c r="Z600" s="729"/>
      <c r="AA600" s="729"/>
      <c r="AB600" s="729"/>
      <c r="AC600" s="729"/>
      <c r="AD600" s="729"/>
      <c r="AE600" s="729"/>
      <c r="AF600" s="729"/>
      <c r="AG600" s="729"/>
      <c r="AH600" s="729"/>
      <c r="AI600" s="729"/>
      <c r="AJ600" s="729"/>
    </row>
    <row r="601" spans="1:36">
      <c r="A601" s="729"/>
      <c r="B601" s="729"/>
      <c r="C601" s="729"/>
      <c r="D601" s="729"/>
      <c r="E601" s="729"/>
      <c r="F601" s="729"/>
      <c r="G601" s="729"/>
      <c r="H601" s="729"/>
      <c r="I601" s="729"/>
      <c r="J601" s="729"/>
      <c r="K601" s="729"/>
      <c r="L601" s="729"/>
      <c r="M601" s="729"/>
      <c r="N601" s="729"/>
      <c r="O601" s="729"/>
      <c r="P601" s="729"/>
      <c r="Q601" s="729"/>
      <c r="R601" s="729"/>
      <c r="S601" s="729"/>
      <c r="T601" s="729"/>
      <c r="U601" s="729"/>
      <c r="V601" s="729"/>
      <c r="W601" s="729"/>
      <c r="X601" s="729"/>
      <c r="Y601" s="729"/>
      <c r="Z601" s="729"/>
      <c r="AA601" s="729"/>
      <c r="AB601" s="729"/>
      <c r="AC601" s="729"/>
      <c r="AD601" s="729"/>
      <c r="AE601" s="729"/>
      <c r="AF601" s="729"/>
      <c r="AG601" s="729"/>
      <c r="AH601" s="729"/>
      <c r="AI601" s="729"/>
      <c r="AJ601" s="729"/>
    </row>
    <row r="602" spans="1:36">
      <c r="A602" s="729"/>
      <c r="B602" s="729"/>
      <c r="C602" s="729"/>
      <c r="D602" s="729"/>
      <c r="E602" s="729"/>
      <c r="F602" s="729"/>
      <c r="G602" s="729"/>
      <c r="H602" s="729"/>
      <c r="I602" s="729"/>
      <c r="J602" s="729"/>
      <c r="K602" s="729"/>
      <c r="L602" s="729"/>
      <c r="M602" s="729"/>
      <c r="N602" s="729"/>
      <c r="O602" s="729"/>
      <c r="P602" s="729"/>
      <c r="Q602" s="729"/>
      <c r="R602" s="729"/>
      <c r="S602" s="729"/>
      <c r="T602" s="729"/>
      <c r="U602" s="729"/>
      <c r="V602" s="729"/>
      <c r="W602" s="729"/>
      <c r="X602" s="729"/>
      <c r="Y602" s="729"/>
      <c r="Z602" s="729"/>
      <c r="AA602" s="729"/>
      <c r="AB602" s="729"/>
      <c r="AC602" s="729"/>
      <c r="AD602" s="729"/>
      <c r="AE602" s="729"/>
      <c r="AF602" s="729"/>
      <c r="AG602" s="729"/>
      <c r="AH602" s="729"/>
      <c r="AI602" s="729"/>
      <c r="AJ602" s="729"/>
    </row>
    <row r="603" spans="1:36">
      <c r="A603" s="729"/>
      <c r="B603" s="729"/>
      <c r="C603" s="729"/>
      <c r="D603" s="729"/>
      <c r="E603" s="729"/>
      <c r="F603" s="729"/>
      <c r="G603" s="729"/>
      <c r="H603" s="729"/>
      <c r="I603" s="729"/>
      <c r="J603" s="729"/>
      <c r="K603" s="729"/>
      <c r="L603" s="729"/>
      <c r="M603" s="729"/>
      <c r="N603" s="729"/>
      <c r="O603" s="729"/>
      <c r="P603" s="729"/>
      <c r="Q603" s="729"/>
      <c r="R603" s="729"/>
      <c r="S603" s="729"/>
      <c r="T603" s="729"/>
      <c r="U603" s="729"/>
      <c r="V603" s="729"/>
      <c r="W603" s="729"/>
      <c r="X603" s="729"/>
      <c r="Y603" s="729"/>
      <c r="Z603" s="729"/>
      <c r="AA603" s="729"/>
      <c r="AB603" s="729"/>
      <c r="AC603" s="729"/>
      <c r="AD603" s="729"/>
      <c r="AE603" s="729"/>
      <c r="AF603" s="729"/>
      <c r="AG603" s="729"/>
      <c r="AH603" s="729"/>
      <c r="AI603" s="729"/>
      <c r="AJ603" s="729"/>
    </row>
    <row r="604" spans="1:36">
      <c r="A604" s="729"/>
      <c r="B604" s="729"/>
      <c r="C604" s="729"/>
      <c r="D604" s="729"/>
      <c r="E604" s="729"/>
      <c r="F604" s="729"/>
      <c r="G604" s="729"/>
      <c r="H604" s="729"/>
      <c r="I604" s="729"/>
      <c r="J604" s="729"/>
      <c r="K604" s="729"/>
      <c r="L604" s="729"/>
      <c r="M604" s="729"/>
      <c r="N604" s="729"/>
      <c r="O604" s="729"/>
      <c r="P604" s="729"/>
      <c r="Q604" s="729"/>
      <c r="R604" s="729"/>
      <c r="S604" s="729"/>
      <c r="T604" s="729"/>
      <c r="U604" s="729"/>
      <c r="V604" s="729"/>
      <c r="W604" s="729"/>
      <c r="X604" s="729"/>
      <c r="Y604" s="729"/>
      <c r="Z604" s="729"/>
      <c r="AA604" s="729"/>
      <c r="AB604" s="729"/>
      <c r="AC604" s="729"/>
      <c r="AD604" s="729"/>
      <c r="AE604" s="729"/>
      <c r="AF604" s="729"/>
      <c r="AG604" s="729"/>
      <c r="AH604" s="729"/>
      <c r="AI604" s="729"/>
      <c r="AJ604" s="729"/>
    </row>
  </sheetData>
  <mergeCells count="2">
    <mergeCell ref="B2:C2"/>
    <mergeCell ref="B206:G206"/>
  </mergeCells>
  <dataValidations disablePrompts="1" count="3">
    <dataValidation type="list" allowBlank="1" showInputMessage="1" showErrorMessage="1" sqref="E19" xr:uid="{E5E1B9D5-C633-4CD7-94F6-7E3041A54C82}">
      <formula1>$E$21:$E$23</formula1>
    </dataValidation>
    <dataValidation type="list" allowBlank="1" showInputMessage="1" showErrorMessage="1" sqref="C18" xr:uid="{5EA2D4E2-8E93-4DB6-B290-59F1F5E57B48}">
      <formula1>"Conservador,Base,Optimista"</formula1>
    </dataValidation>
    <dataValidation type="list" allowBlank="1" showInputMessage="1" showErrorMessage="1" sqref="C19" xr:uid="{475F1314-D0F0-45C8-82A4-FFECE2B96538}">
      <formula1>"COP,USD"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10DA-D636-44A0-90E7-C51BF17E2D65}">
  <sheetPr>
    <tabColor rgb="FF8EA9DB"/>
  </sheetPr>
  <dimension ref="A1:AE374"/>
  <sheetViews>
    <sheetView showGridLines="0" topLeftCell="A29" workbookViewId="0">
      <pane xSplit="2" topLeftCell="C1" activePane="topRight" state="frozen"/>
      <selection activeCell="A29" sqref="A29"/>
      <selection pane="topRight"/>
    </sheetView>
    <sheetView topLeftCell="A53" workbookViewId="1"/>
  </sheetViews>
  <sheetFormatPr defaultRowHeight="14.4"/>
  <cols>
    <col min="1" max="1" width="3.6640625" customWidth="1"/>
    <col min="2" max="2" width="63" customWidth="1"/>
    <col min="3" max="16" width="17" customWidth="1"/>
    <col min="18" max="18" width="29.33203125" bestFit="1" customWidth="1"/>
    <col min="19" max="19" width="60.109375" bestFit="1" customWidth="1"/>
    <col min="20" max="20" width="5.33203125" bestFit="1" customWidth="1"/>
    <col min="21" max="21" width="32.44140625" bestFit="1" customWidth="1"/>
    <col min="22" max="22" width="19.109375" bestFit="1" customWidth="1"/>
  </cols>
  <sheetData>
    <row r="1" spans="1:31" ht="17.399999999999999">
      <c r="A1" s="729"/>
      <c r="B1" s="566" t="s">
        <v>678</v>
      </c>
      <c r="C1" s="566"/>
      <c r="D1" s="566"/>
      <c r="E1" s="566"/>
      <c r="F1" s="566"/>
      <c r="G1" s="566"/>
      <c r="H1" s="657"/>
      <c r="I1" s="566"/>
      <c r="J1" s="566"/>
      <c r="K1" s="566"/>
      <c r="L1" s="566"/>
      <c r="M1" s="566"/>
      <c r="N1" s="566"/>
      <c r="O1" s="566"/>
      <c r="P1" s="566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</row>
    <row r="2" spans="1:31">
      <c r="A2" s="729"/>
      <c r="B2" s="781" t="s">
        <v>679</v>
      </c>
      <c r="C2" s="674"/>
      <c r="D2" s="674"/>
      <c r="E2" s="674"/>
      <c r="F2" s="674"/>
      <c r="G2" s="674"/>
      <c r="H2" s="169" t="s">
        <v>680</v>
      </c>
      <c r="I2" s="170" t="s">
        <v>342</v>
      </c>
      <c r="J2" s="170" t="s">
        <v>343</v>
      </c>
      <c r="K2" s="674"/>
      <c r="L2" s="674"/>
      <c r="M2" s="674"/>
      <c r="N2" s="674"/>
      <c r="O2" s="674"/>
      <c r="P2" s="674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</row>
    <row r="3" spans="1:31">
      <c r="A3" s="729"/>
      <c r="B3" s="674"/>
      <c r="C3" s="674"/>
      <c r="D3" s="674"/>
      <c r="E3" s="674"/>
      <c r="F3" s="674"/>
      <c r="G3" s="674"/>
      <c r="H3" s="674" t="s">
        <v>681</v>
      </c>
      <c r="I3" s="850">
        <v>16192037025</v>
      </c>
      <c r="J3" s="850">
        <v>4272305.2836411595</v>
      </c>
      <c r="K3" s="674"/>
      <c r="L3" s="674"/>
      <c r="M3" s="674"/>
      <c r="N3" s="674"/>
      <c r="O3" s="674"/>
      <c r="P3" s="674"/>
      <c r="Q3" s="729"/>
      <c r="R3" s="729"/>
      <c r="S3" s="729"/>
      <c r="T3" s="729"/>
      <c r="U3" s="729"/>
      <c r="V3" s="729"/>
      <c r="W3" s="729"/>
      <c r="X3" s="729"/>
      <c r="Y3" s="729"/>
      <c r="Z3" s="729"/>
      <c r="AA3" s="729"/>
      <c r="AB3" s="729"/>
      <c r="AC3" s="729"/>
      <c r="AD3" s="729"/>
      <c r="AE3" s="729"/>
    </row>
    <row r="4" spans="1:31">
      <c r="A4" s="729"/>
      <c r="B4" s="678" t="s">
        <v>682</v>
      </c>
      <c r="C4" s="851" t="s">
        <v>683</v>
      </c>
      <c r="D4" s="851" t="s">
        <v>684</v>
      </c>
      <c r="E4" s="851" t="s">
        <v>685</v>
      </c>
      <c r="F4" s="851" t="s">
        <v>686</v>
      </c>
      <c r="G4" s="674"/>
      <c r="H4" s="674" t="s">
        <v>687</v>
      </c>
      <c r="I4" s="850">
        <v>12299660680.5</v>
      </c>
      <c r="J4" s="850">
        <v>3245293.0555409002</v>
      </c>
      <c r="K4" s="674"/>
      <c r="L4" s="674"/>
      <c r="M4" s="674"/>
      <c r="N4" s="674"/>
      <c r="O4" s="674"/>
      <c r="P4" s="674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</row>
    <row r="5" spans="1:31">
      <c r="A5" s="729"/>
      <c r="B5" s="674"/>
      <c r="C5" s="674"/>
      <c r="D5" s="674"/>
      <c r="E5" s="674"/>
      <c r="F5" s="674"/>
      <c r="G5" s="674"/>
      <c r="H5" s="678" t="s">
        <v>688</v>
      </c>
      <c r="I5" s="404">
        <v>15238222885</v>
      </c>
      <c r="J5" s="404">
        <v>4020639.28364116</v>
      </c>
      <c r="K5" s="674"/>
      <c r="L5" s="674"/>
      <c r="M5" s="674"/>
      <c r="N5" s="674"/>
      <c r="O5" s="674"/>
      <c r="P5" s="674"/>
      <c r="Q5" s="729"/>
      <c r="R5" s="729"/>
      <c r="S5" s="729"/>
      <c r="T5" s="729"/>
      <c r="U5" s="729"/>
      <c r="V5" s="729"/>
      <c r="W5" s="729"/>
      <c r="X5" s="729"/>
      <c r="Y5" s="729"/>
      <c r="Z5" s="729"/>
      <c r="AA5" s="729"/>
      <c r="AB5" s="729"/>
      <c r="AC5" s="729"/>
      <c r="AD5" s="729"/>
      <c r="AE5" s="729"/>
    </row>
    <row r="6" spans="1:31">
      <c r="A6" s="729"/>
      <c r="B6" s="674"/>
      <c r="C6" s="674"/>
      <c r="D6" s="674"/>
      <c r="E6" s="674"/>
      <c r="F6" s="674"/>
      <c r="G6" s="674"/>
      <c r="H6" s="674"/>
      <c r="I6" s="674"/>
      <c r="J6" s="674"/>
      <c r="K6" s="674"/>
      <c r="L6" s="674"/>
      <c r="M6" s="674"/>
      <c r="N6" s="674"/>
      <c r="O6" s="674"/>
      <c r="P6" s="674"/>
      <c r="Q6" s="729"/>
      <c r="R6" s="729"/>
      <c r="S6" s="729"/>
      <c r="T6" s="729"/>
      <c r="U6" s="729"/>
      <c r="V6" s="729"/>
      <c r="W6" s="729"/>
      <c r="X6" s="729"/>
      <c r="Y6" s="729"/>
      <c r="Z6" s="729"/>
      <c r="AA6" s="729"/>
      <c r="AB6" s="729"/>
      <c r="AC6" s="729"/>
      <c r="AD6" s="729"/>
      <c r="AE6" s="729"/>
    </row>
    <row r="7" spans="1:31">
      <c r="A7" s="729"/>
      <c r="B7" s="570" t="s">
        <v>689</v>
      </c>
      <c r="C7" s="570"/>
      <c r="D7" s="570"/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729"/>
      <c r="R7" s="729"/>
      <c r="S7" s="729"/>
      <c r="T7" s="729"/>
      <c r="U7" s="729"/>
      <c r="V7" s="729"/>
      <c r="W7" s="729"/>
      <c r="X7" s="729"/>
      <c r="Y7" s="729"/>
      <c r="Z7" s="729"/>
      <c r="AA7" s="729"/>
      <c r="AB7" s="729"/>
      <c r="AC7" s="729"/>
      <c r="AD7" s="729"/>
      <c r="AE7" s="729"/>
    </row>
    <row r="8" spans="1:31">
      <c r="A8" s="729"/>
      <c r="B8" s="674"/>
      <c r="C8" s="674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674"/>
      <c r="O8" s="674"/>
      <c r="P8" s="674"/>
      <c r="Q8" s="729"/>
      <c r="R8" s="729"/>
      <c r="S8" s="729"/>
      <c r="T8" s="729"/>
      <c r="U8" s="729"/>
      <c r="V8" s="729"/>
      <c r="W8" s="729"/>
      <c r="X8" s="729"/>
      <c r="Y8" s="729"/>
      <c r="Z8" s="729"/>
      <c r="AA8" s="729"/>
      <c r="AB8" s="729"/>
      <c r="AC8" s="729"/>
      <c r="AD8" s="729"/>
      <c r="AE8" s="729"/>
    </row>
    <row r="9" spans="1:31">
      <c r="A9" s="729"/>
      <c r="B9" s="814" t="s">
        <v>690</v>
      </c>
      <c r="C9" s="682"/>
      <c r="D9" s="682"/>
      <c r="E9" s="682"/>
      <c r="F9" s="682"/>
      <c r="G9" s="682"/>
      <c r="H9" s="682"/>
      <c r="I9" s="682"/>
      <c r="J9" s="682"/>
      <c r="K9" s="682"/>
      <c r="L9" s="682"/>
      <c r="M9" s="682"/>
      <c r="N9" s="682"/>
      <c r="O9" s="682"/>
      <c r="P9" s="682"/>
      <c r="Q9" s="729"/>
      <c r="R9" s="729"/>
      <c r="S9" s="729"/>
      <c r="T9" s="729"/>
      <c r="U9" s="729"/>
      <c r="V9" s="729"/>
      <c r="W9" s="729"/>
      <c r="X9" s="729"/>
      <c r="Y9" s="729"/>
      <c r="Z9" s="729"/>
      <c r="AA9" s="729"/>
      <c r="AB9" s="729"/>
      <c r="AC9" s="729"/>
      <c r="AD9" s="729"/>
      <c r="AE9" s="729"/>
    </row>
    <row r="10" spans="1:31">
      <c r="A10" s="729"/>
      <c r="B10" s="674" t="s">
        <v>338</v>
      </c>
      <c r="C10" s="852">
        <f>Inputs!$C$6</f>
        <v>3690</v>
      </c>
      <c r="D10" s="674" t="s">
        <v>691</v>
      </c>
      <c r="E10" s="674"/>
      <c r="F10" s="674"/>
      <c r="G10" s="674"/>
      <c r="H10" s="674"/>
      <c r="I10" s="674"/>
      <c r="J10" s="674"/>
      <c r="K10" s="674"/>
      <c r="L10" s="674"/>
      <c r="M10" s="674"/>
      <c r="N10" s="674"/>
      <c r="O10" s="674"/>
      <c r="P10" s="674"/>
      <c r="Q10" s="729"/>
      <c r="R10" s="729"/>
      <c r="S10" s="729"/>
      <c r="T10" s="729"/>
      <c r="U10" s="729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</row>
    <row r="11" spans="1:31">
      <c r="A11" s="729"/>
      <c r="B11" s="674" t="s">
        <v>692</v>
      </c>
      <c r="C11" s="826">
        <v>800000000</v>
      </c>
      <c r="D11" s="674" t="s">
        <v>140</v>
      </c>
      <c r="E11" s="674"/>
      <c r="F11" s="674"/>
      <c r="G11" s="674"/>
      <c r="H11" s="674"/>
      <c r="I11" s="674"/>
      <c r="J11" s="674"/>
      <c r="K11" s="674"/>
      <c r="L11" s="674"/>
      <c r="M11" s="674"/>
      <c r="N11" s="674"/>
      <c r="O11" s="674"/>
      <c r="P11" s="674"/>
      <c r="Q11" s="729"/>
      <c r="R11" s="729"/>
      <c r="S11" s="729"/>
      <c r="T11" s="729"/>
      <c r="U11" s="729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</row>
    <row r="12" spans="1:31">
      <c r="A12" s="729"/>
      <c r="B12" s="674" t="s">
        <v>693</v>
      </c>
      <c r="C12" s="826">
        <v>612247701</v>
      </c>
      <c r="D12" s="674" t="s">
        <v>140</v>
      </c>
      <c r="E12" s="674"/>
      <c r="F12" s="674"/>
      <c r="G12" s="674"/>
      <c r="H12" s="674"/>
      <c r="I12" s="674"/>
      <c r="J12" s="674"/>
      <c r="K12" s="674"/>
      <c r="L12" s="674"/>
      <c r="M12" s="674"/>
      <c r="N12" s="674"/>
      <c r="O12" s="674"/>
      <c r="P12" s="674"/>
      <c r="Q12" s="729"/>
      <c r="R12" s="729"/>
      <c r="S12" s="729"/>
      <c r="T12" s="729"/>
      <c r="U12" s="729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</row>
    <row r="13" spans="1:31">
      <c r="A13" s="729"/>
      <c r="B13" s="674" t="s">
        <v>694</v>
      </c>
      <c r="C13" s="826">
        <v>744218137</v>
      </c>
      <c r="D13" s="674" t="s">
        <v>140</v>
      </c>
      <c r="E13" s="674"/>
      <c r="F13" s="674"/>
      <c r="G13" s="674"/>
      <c r="H13" s="674"/>
      <c r="I13" s="674"/>
      <c r="J13" s="674"/>
      <c r="K13" s="674"/>
      <c r="L13" s="674"/>
      <c r="M13" s="674"/>
      <c r="N13" s="674"/>
      <c r="O13" s="674"/>
      <c r="P13" s="674"/>
      <c r="Q13" s="729"/>
      <c r="R13" s="729"/>
      <c r="S13" s="729"/>
      <c r="T13" s="729"/>
      <c r="U13" s="729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</row>
    <row r="14" spans="1:31">
      <c r="A14" s="729"/>
      <c r="B14" s="674" t="s">
        <v>695</v>
      </c>
      <c r="C14" s="826">
        <v>787041187</v>
      </c>
      <c r="D14" s="674" t="s">
        <v>140</v>
      </c>
      <c r="E14" s="674"/>
      <c r="F14" s="674"/>
      <c r="G14" s="674"/>
      <c r="H14" s="674"/>
      <c r="I14" s="674"/>
      <c r="J14" s="674"/>
      <c r="K14" s="674"/>
      <c r="L14" s="674"/>
      <c r="M14" s="674"/>
      <c r="N14" s="674"/>
      <c r="O14" s="674"/>
      <c r="P14" s="674"/>
      <c r="Q14" s="729"/>
      <c r="R14" s="729"/>
      <c r="S14" s="729"/>
      <c r="T14" s="729"/>
      <c r="U14" s="729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</row>
    <row r="15" spans="1:31">
      <c r="A15" s="729"/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674"/>
      <c r="O15" s="674"/>
      <c r="P15" s="674"/>
      <c r="Q15" s="729"/>
      <c r="R15" s="729"/>
      <c r="S15" s="729"/>
      <c r="T15" s="729"/>
      <c r="U15" s="729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</row>
    <row r="16" spans="1:31">
      <c r="A16" s="729"/>
      <c r="B16" s="253" t="s">
        <v>696</v>
      </c>
      <c r="C16" s="253" t="s">
        <v>146</v>
      </c>
      <c r="D16" s="674"/>
      <c r="E16" s="674"/>
      <c r="F16" s="674"/>
      <c r="G16" s="674"/>
      <c r="H16" s="674"/>
      <c r="I16" s="674"/>
      <c r="J16" s="674"/>
      <c r="K16" s="674"/>
      <c r="L16" s="674"/>
      <c r="M16" s="674"/>
      <c r="N16" s="674"/>
      <c r="O16" s="674"/>
      <c r="P16" s="674"/>
      <c r="Q16" s="729"/>
      <c r="R16" s="729"/>
      <c r="S16" s="729"/>
      <c r="T16" s="729"/>
      <c r="U16" s="729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</row>
    <row r="17" spans="1:31">
      <c r="A17" s="729"/>
      <c r="B17" s="674" t="s">
        <v>697</v>
      </c>
      <c r="C17" s="826">
        <v>2100000</v>
      </c>
      <c r="D17" s="674"/>
      <c r="E17" s="674"/>
      <c r="F17" s="674"/>
      <c r="G17" s="674"/>
      <c r="H17" s="674"/>
      <c r="I17" s="674"/>
      <c r="J17" s="674"/>
      <c r="K17" s="674"/>
      <c r="L17" s="674"/>
      <c r="M17" s="674"/>
      <c r="N17" s="674"/>
      <c r="O17" s="674"/>
      <c r="P17" s="674"/>
      <c r="Q17" s="729"/>
      <c r="R17" s="729"/>
      <c r="S17" s="729"/>
      <c r="T17" s="729"/>
      <c r="U17" s="729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</row>
    <row r="18" spans="1:31">
      <c r="A18" s="729"/>
      <c r="B18" s="674" t="s">
        <v>307</v>
      </c>
      <c r="C18" s="826">
        <v>315000</v>
      </c>
      <c r="D18" s="674"/>
      <c r="E18" s="674"/>
      <c r="F18" s="674"/>
      <c r="G18" s="674"/>
      <c r="H18" s="674"/>
      <c r="I18" s="674"/>
      <c r="J18" s="674"/>
      <c r="K18" s="674"/>
      <c r="L18" s="674"/>
      <c r="M18" s="674"/>
      <c r="N18" s="674"/>
      <c r="O18" s="674"/>
      <c r="P18" s="674"/>
      <c r="Q18" s="729"/>
      <c r="R18" s="729"/>
      <c r="S18" s="729"/>
      <c r="T18" s="729"/>
      <c r="U18" s="729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</row>
    <row r="19" spans="1:31">
      <c r="A19" s="729"/>
      <c r="B19" s="674" t="s">
        <v>308</v>
      </c>
      <c r="C19" s="826">
        <v>42000</v>
      </c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729"/>
      <c r="R19" s="729"/>
      <c r="S19" s="729"/>
      <c r="T19" s="729"/>
      <c r="U19" s="729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</row>
    <row r="20" spans="1:31">
      <c r="A20" s="729"/>
      <c r="B20" s="674" t="s">
        <v>698</v>
      </c>
      <c r="C20" s="826">
        <v>63000</v>
      </c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729"/>
      <c r="R20" s="729"/>
      <c r="S20" s="729"/>
      <c r="T20" s="729"/>
      <c r="U20" s="729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</row>
    <row r="21" spans="1:31">
      <c r="A21" s="729"/>
      <c r="B21" s="678" t="s">
        <v>301</v>
      </c>
      <c r="C21" s="853">
        <f>SUM(C22:C26)</f>
        <v>374000</v>
      </c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729"/>
      <c r="R21" s="729"/>
      <c r="S21" s="729"/>
      <c r="T21" s="729"/>
      <c r="U21" s="729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</row>
    <row r="22" spans="1:31">
      <c r="A22" s="729"/>
      <c r="B22" s="674" t="s">
        <v>699</v>
      </c>
      <c r="C22" s="826">
        <v>50000</v>
      </c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4"/>
      <c r="P22" s="674"/>
      <c r="Q22" s="729"/>
      <c r="R22" s="729"/>
      <c r="S22" s="729"/>
      <c r="T22" s="729"/>
      <c r="U22" s="729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</row>
    <row r="23" spans="1:31">
      <c r="A23" s="729"/>
      <c r="B23" s="674" t="s">
        <v>700</v>
      </c>
      <c r="C23" s="826">
        <v>50000</v>
      </c>
      <c r="D23" s="674"/>
      <c r="E23" s="674"/>
      <c r="F23" s="674"/>
      <c r="G23" s="674"/>
      <c r="H23" s="674"/>
      <c r="I23" s="674"/>
      <c r="J23" s="674"/>
      <c r="K23" s="674"/>
      <c r="L23" s="674"/>
      <c r="M23" s="674"/>
      <c r="N23" s="674"/>
      <c r="O23" s="674"/>
      <c r="P23" s="674"/>
      <c r="Q23" s="729"/>
      <c r="R23" s="729"/>
      <c r="S23" s="729"/>
      <c r="T23" s="729"/>
      <c r="U23" s="729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</row>
    <row r="24" spans="1:31">
      <c r="A24" s="729"/>
      <c r="B24" s="674" t="s">
        <v>701</v>
      </c>
      <c r="C24" s="826">
        <v>50000</v>
      </c>
      <c r="D24" s="674"/>
      <c r="E24" s="674"/>
      <c r="F24" s="674"/>
      <c r="G24" s="674"/>
      <c r="H24" s="674"/>
      <c r="I24" s="674"/>
      <c r="J24" s="674"/>
      <c r="K24" s="674"/>
      <c r="L24" s="674"/>
      <c r="M24" s="674"/>
      <c r="N24" s="674"/>
      <c r="O24" s="674"/>
      <c r="P24" s="674"/>
      <c r="Q24" s="729"/>
      <c r="R24" s="729"/>
      <c r="S24" s="729"/>
      <c r="T24" s="729"/>
      <c r="U24" s="729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</row>
    <row r="25" spans="1:31">
      <c r="A25" s="729"/>
      <c r="B25" s="674" t="s">
        <v>702</v>
      </c>
      <c r="C25" s="826">
        <v>200000</v>
      </c>
      <c r="D25" s="674"/>
      <c r="E25" s="674"/>
      <c r="F25" s="674"/>
      <c r="G25" s="674"/>
      <c r="H25" s="674"/>
      <c r="I25" s="674"/>
      <c r="J25" s="674"/>
      <c r="K25" s="674"/>
      <c r="L25" s="674"/>
      <c r="M25" s="674"/>
      <c r="N25" s="674"/>
      <c r="O25" s="674"/>
      <c r="P25" s="674"/>
      <c r="Q25" s="729"/>
      <c r="R25" s="729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</row>
    <row r="26" spans="1:31">
      <c r="A26" s="729"/>
      <c r="B26" s="674" t="s">
        <v>703</v>
      </c>
      <c r="C26" s="826">
        <v>24000</v>
      </c>
      <c r="D26" s="674"/>
      <c r="E26" s="674"/>
      <c r="F26" s="674"/>
      <c r="G26" s="674"/>
      <c r="H26" s="674"/>
      <c r="I26" s="674"/>
      <c r="J26" s="674"/>
      <c r="K26" s="674"/>
      <c r="L26" s="674"/>
      <c r="M26" s="674"/>
      <c r="N26" s="674"/>
      <c r="O26" s="674"/>
      <c r="P26" s="674"/>
      <c r="Q26" s="729"/>
      <c r="R26" s="729"/>
      <c r="S26" s="729"/>
      <c r="T26" s="729"/>
      <c r="U26" s="729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</row>
    <row r="27" spans="1:31">
      <c r="A27" s="729"/>
      <c r="B27" s="678" t="s">
        <v>303</v>
      </c>
      <c r="C27" s="853">
        <f>SUM(C28:C31)</f>
        <v>507000</v>
      </c>
      <c r="D27" s="674"/>
      <c r="E27" s="674"/>
      <c r="F27" s="674"/>
      <c r="G27" s="674"/>
      <c r="H27" s="674"/>
      <c r="I27" s="674"/>
      <c r="J27" s="674"/>
      <c r="K27" s="674"/>
      <c r="L27" s="674"/>
      <c r="M27" s="674"/>
      <c r="N27" s="674"/>
      <c r="O27" s="674"/>
      <c r="P27" s="674"/>
      <c r="Q27" s="729"/>
      <c r="R27" s="729"/>
      <c r="S27" s="729"/>
      <c r="T27" s="729"/>
      <c r="U27" s="729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</row>
    <row r="28" spans="1:31">
      <c r="A28" s="729"/>
      <c r="B28" s="674" t="s">
        <v>704</v>
      </c>
      <c r="C28" s="826">
        <v>300000</v>
      </c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4"/>
      <c r="P28" s="674"/>
      <c r="Q28" s="729"/>
      <c r="R28" s="729"/>
      <c r="S28" s="729"/>
      <c r="T28" s="729"/>
      <c r="U28" s="729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</row>
    <row r="29" spans="1:31">
      <c r="A29" s="729"/>
      <c r="B29" s="674" t="s">
        <v>705</v>
      </c>
      <c r="C29" s="826">
        <v>105000</v>
      </c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4"/>
      <c r="P29" s="674"/>
      <c r="Q29" s="729"/>
      <c r="R29" s="729"/>
      <c r="S29" s="729"/>
      <c r="T29" s="729"/>
      <c r="U29" s="729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</row>
    <row r="30" spans="1:31">
      <c r="A30" s="729"/>
      <c r="B30" s="674" t="s">
        <v>706</v>
      </c>
      <c r="C30" s="826">
        <v>60000</v>
      </c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729"/>
      <c r="R30" s="729"/>
      <c r="S30" s="729"/>
      <c r="T30" s="729"/>
      <c r="U30" s="729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</row>
    <row r="31" spans="1:31">
      <c r="A31" s="729"/>
      <c r="B31" s="674" t="s">
        <v>707</v>
      </c>
      <c r="C31" s="826">
        <v>42000</v>
      </c>
      <c r="D31" s="674"/>
      <c r="E31" s="674"/>
      <c r="F31" s="674"/>
      <c r="G31" s="674"/>
      <c r="H31" s="674"/>
      <c r="I31" s="674"/>
      <c r="J31" s="674"/>
      <c r="K31" s="674"/>
      <c r="L31" s="674"/>
      <c r="M31" s="674"/>
      <c r="N31" s="674"/>
      <c r="O31" s="674"/>
      <c r="P31" s="674"/>
      <c r="Q31" s="729"/>
      <c r="R31" s="729"/>
      <c r="S31" s="729"/>
      <c r="T31" s="729"/>
      <c r="U31" s="729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</row>
    <row r="32" spans="1:31">
      <c r="A32" s="729"/>
      <c r="B32" s="678" t="s">
        <v>708</v>
      </c>
      <c r="C32" s="853">
        <f>SUM(C33:C35)</f>
        <v>220000</v>
      </c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4"/>
      <c r="P32" s="674"/>
      <c r="Q32" s="729"/>
      <c r="R32" s="729"/>
      <c r="S32" s="729"/>
      <c r="T32" s="729"/>
      <c r="U32" s="729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</row>
    <row r="33" spans="1:31">
      <c r="A33" s="729"/>
      <c r="B33" s="674" t="s">
        <v>709</v>
      </c>
      <c r="C33" s="826">
        <v>36000</v>
      </c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4"/>
      <c r="P33" s="674"/>
      <c r="Q33" s="729"/>
      <c r="R33" s="729"/>
      <c r="S33" s="729"/>
      <c r="T33" s="729"/>
      <c r="U33" s="729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</row>
    <row r="34" spans="1:31">
      <c r="A34" s="729"/>
      <c r="B34" s="674" t="s">
        <v>710</v>
      </c>
      <c r="C34" s="826">
        <v>84000</v>
      </c>
      <c r="D34" s="674"/>
      <c r="E34" s="674"/>
      <c r="F34" s="674"/>
      <c r="G34" s="674"/>
      <c r="H34" s="674"/>
      <c r="I34" s="674"/>
      <c r="J34" s="674"/>
      <c r="K34" s="674"/>
      <c r="L34" s="674"/>
      <c r="M34" s="674"/>
      <c r="N34" s="674"/>
      <c r="O34" s="674"/>
      <c r="P34" s="674"/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</row>
    <row r="35" spans="1:31">
      <c r="A35" s="729"/>
      <c r="B35" s="674" t="s">
        <v>711</v>
      </c>
      <c r="C35" s="826">
        <v>100000</v>
      </c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729"/>
      <c r="R35" s="729"/>
      <c r="S35" s="729"/>
      <c r="T35" s="729"/>
      <c r="U35" s="729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</row>
    <row r="36" spans="1:31">
      <c r="A36" s="729"/>
      <c r="B36" s="678" t="s">
        <v>712</v>
      </c>
      <c r="C36" s="854">
        <v>1000000</v>
      </c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729"/>
      <c r="R36" s="729"/>
      <c r="S36" s="729"/>
      <c r="T36" s="729"/>
      <c r="U36" s="729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</row>
    <row r="37" spans="1:31">
      <c r="A37" s="729"/>
      <c r="B37" s="567" t="s">
        <v>23</v>
      </c>
      <c r="C37" s="568">
        <f>C17-C18-C19+C20+C21+C27+C32+C36</f>
        <v>3907000</v>
      </c>
      <c r="D37" s="679"/>
      <c r="E37" s="679"/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9"/>
      <c r="Q37" s="729"/>
      <c r="R37" s="729"/>
      <c r="S37" s="729"/>
      <c r="T37" s="729"/>
      <c r="U37" s="729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</row>
    <row r="38" spans="1:31">
      <c r="A38" s="729"/>
      <c r="B38" s="674"/>
      <c r="C38" s="674"/>
      <c r="D38" s="674"/>
      <c r="E38" s="674"/>
      <c r="F38" s="674"/>
      <c r="G38" s="674"/>
      <c r="H38" s="674"/>
      <c r="I38" s="674"/>
      <c r="J38" s="674"/>
      <c r="K38" s="674"/>
      <c r="L38" s="674"/>
      <c r="M38" s="674"/>
      <c r="N38" s="674"/>
      <c r="O38" s="674"/>
      <c r="P38" s="674"/>
      <c r="Q38" s="729"/>
      <c r="R38" s="729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</row>
    <row r="39" spans="1:31">
      <c r="A39" s="729"/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729"/>
      <c r="R39" s="729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</row>
    <row r="40" spans="1:31">
      <c r="A40" s="729"/>
      <c r="B40" s="814" t="s">
        <v>713</v>
      </c>
      <c r="C40" s="682"/>
      <c r="D40" s="682"/>
      <c r="E40" s="682"/>
      <c r="F40" s="682"/>
      <c r="G40" s="682"/>
      <c r="H40" s="682"/>
      <c r="I40" s="682"/>
      <c r="J40" s="682"/>
      <c r="K40" s="682"/>
      <c r="L40" s="682"/>
      <c r="M40" s="682"/>
      <c r="N40" s="682"/>
      <c r="O40" s="682"/>
      <c r="P40" s="682"/>
      <c r="Q40" s="729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</row>
    <row r="41" spans="1:31">
      <c r="A41" s="729"/>
      <c r="B41" s="255" t="s">
        <v>714</v>
      </c>
      <c r="C41" s="255" t="s">
        <v>675</v>
      </c>
      <c r="D41" s="256" t="s">
        <v>209</v>
      </c>
      <c r="E41" s="406">
        <v>46079</v>
      </c>
      <c r="F41" s="406">
        <v>46107</v>
      </c>
      <c r="G41" s="100" t="s">
        <v>326</v>
      </c>
      <c r="H41" s="406">
        <v>46168</v>
      </c>
      <c r="I41" s="406">
        <v>46199</v>
      </c>
      <c r="J41" s="406">
        <v>46229</v>
      </c>
      <c r="K41" s="100" t="s">
        <v>330</v>
      </c>
      <c r="L41" s="406">
        <v>46291</v>
      </c>
      <c r="M41" s="406">
        <v>46321</v>
      </c>
      <c r="N41" s="406">
        <v>46352</v>
      </c>
      <c r="O41" s="100" t="s">
        <v>334</v>
      </c>
      <c r="P41" s="256" t="s">
        <v>16</v>
      </c>
      <c r="Q41" s="729"/>
      <c r="R41" s="729"/>
      <c r="S41" s="729"/>
      <c r="T41" s="729"/>
      <c r="U41" s="729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</row>
    <row r="42" spans="1:31">
      <c r="A42" s="729"/>
      <c r="B42" s="855" t="s">
        <v>715</v>
      </c>
      <c r="C42" s="855" t="s">
        <v>299</v>
      </c>
      <c r="D42" s="819">
        <f>$C$12</f>
        <v>612247701</v>
      </c>
      <c r="E42" s="819">
        <f>$C$13</f>
        <v>744218137</v>
      </c>
      <c r="F42" s="819">
        <f>$C$14</f>
        <v>787041187</v>
      </c>
      <c r="G42" s="826">
        <v>0</v>
      </c>
      <c r="H42" s="826">
        <v>0</v>
      </c>
      <c r="I42" s="826">
        <v>0</v>
      </c>
      <c r="J42" s="826">
        <v>0</v>
      </c>
      <c r="K42" s="826">
        <v>0</v>
      </c>
      <c r="L42" s="826">
        <v>0</v>
      </c>
      <c r="M42" s="826">
        <v>0</v>
      </c>
      <c r="N42" s="826">
        <v>0</v>
      </c>
      <c r="O42" s="826">
        <v>0</v>
      </c>
      <c r="P42" s="819">
        <f t="shared" ref="P42:P63" si="0">SUM(D42:O42)</f>
        <v>2143507025</v>
      </c>
      <c r="Q42" s="729"/>
      <c r="R42" s="729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</row>
    <row r="43" spans="1:31">
      <c r="A43" s="729"/>
      <c r="B43" s="257" t="s">
        <v>716</v>
      </c>
      <c r="C43" s="257" t="s">
        <v>717</v>
      </c>
      <c r="D43" s="407">
        <v>0</v>
      </c>
      <c r="E43" s="407">
        <v>0</v>
      </c>
      <c r="F43" s="407">
        <v>0</v>
      </c>
      <c r="G43" s="408">
        <f t="shared" ref="G43:O43" si="1">$C$11</f>
        <v>800000000</v>
      </c>
      <c r="H43" s="408">
        <f t="shared" si="1"/>
        <v>800000000</v>
      </c>
      <c r="I43" s="408">
        <f t="shared" si="1"/>
        <v>800000000</v>
      </c>
      <c r="J43" s="408">
        <f t="shared" si="1"/>
        <v>800000000</v>
      </c>
      <c r="K43" s="408">
        <f t="shared" si="1"/>
        <v>800000000</v>
      </c>
      <c r="L43" s="408">
        <f t="shared" si="1"/>
        <v>800000000</v>
      </c>
      <c r="M43" s="408">
        <f t="shared" si="1"/>
        <v>800000000</v>
      </c>
      <c r="N43" s="408">
        <f t="shared" si="1"/>
        <v>800000000</v>
      </c>
      <c r="O43" s="408">
        <f t="shared" si="1"/>
        <v>800000000</v>
      </c>
      <c r="P43" s="408">
        <f t="shared" si="0"/>
        <v>7200000000</v>
      </c>
      <c r="Q43" s="729"/>
      <c r="R43" s="729"/>
      <c r="S43" s="729"/>
      <c r="T43" s="729"/>
      <c r="U43" s="729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</row>
    <row r="44" spans="1:31">
      <c r="A44" s="729"/>
      <c r="B44" s="257" t="s">
        <v>301</v>
      </c>
      <c r="C44" s="257" t="s">
        <v>718</v>
      </c>
      <c r="D44" s="408">
        <f t="shared" ref="D44:O44" si="2">SUM(D45:D49)</f>
        <v>0</v>
      </c>
      <c r="E44" s="408">
        <f t="shared" si="2"/>
        <v>0</v>
      </c>
      <c r="F44" s="408">
        <f t="shared" si="2"/>
        <v>0</v>
      </c>
      <c r="G44" s="408">
        <f t="shared" si="2"/>
        <v>30668000</v>
      </c>
      <c r="H44" s="408">
        <f t="shared" si="2"/>
        <v>61336000</v>
      </c>
      <c r="I44" s="408">
        <f t="shared" si="2"/>
        <v>92004000</v>
      </c>
      <c r="J44" s="408">
        <f t="shared" si="2"/>
        <v>122672000</v>
      </c>
      <c r="K44" s="408">
        <f t="shared" si="2"/>
        <v>153340000</v>
      </c>
      <c r="L44" s="408">
        <f t="shared" si="2"/>
        <v>184008000</v>
      </c>
      <c r="M44" s="408">
        <f t="shared" si="2"/>
        <v>214676000</v>
      </c>
      <c r="N44" s="408">
        <f t="shared" si="2"/>
        <v>245344000</v>
      </c>
      <c r="O44" s="408">
        <f t="shared" si="2"/>
        <v>276012000</v>
      </c>
      <c r="P44" s="408">
        <f t="shared" si="0"/>
        <v>1380060000</v>
      </c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</row>
    <row r="45" spans="1:31">
      <c r="A45" s="729"/>
      <c r="B45" s="855" t="s">
        <v>719</v>
      </c>
      <c r="C45" s="855" t="s">
        <v>699</v>
      </c>
      <c r="D45" s="826">
        <v>0</v>
      </c>
      <c r="E45" s="826">
        <v>0</v>
      </c>
      <c r="F45" s="826">
        <v>0</v>
      </c>
      <c r="G45" s="819">
        <f>$C$22*$C$10*1/45</f>
        <v>4100000</v>
      </c>
      <c r="H45" s="819">
        <f>$C$22*$C$10*2/45</f>
        <v>8200000</v>
      </c>
      <c r="I45" s="819">
        <f>$C$22*$C$10*3/45</f>
        <v>12300000</v>
      </c>
      <c r="J45" s="819">
        <f>$C$22*$C$10*4/45</f>
        <v>16400000</v>
      </c>
      <c r="K45" s="819">
        <f>$C$22*$C$10*5/45</f>
        <v>20500000</v>
      </c>
      <c r="L45" s="819">
        <f>$C$22*$C$10*6/45</f>
        <v>24600000</v>
      </c>
      <c r="M45" s="819">
        <f>$C$22*$C$10*7/45</f>
        <v>28700000</v>
      </c>
      <c r="N45" s="819">
        <f>$C$22*$C$10*8/45</f>
        <v>32800000</v>
      </c>
      <c r="O45" s="819">
        <f>$C$22*$C$10*9/45</f>
        <v>36900000</v>
      </c>
      <c r="P45" s="819">
        <f t="shared" si="0"/>
        <v>184500000</v>
      </c>
      <c r="Q45" s="729"/>
      <c r="R45" s="729"/>
      <c r="S45" s="729"/>
      <c r="T45" s="729"/>
      <c r="U45" s="729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</row>
    <row r="46" spans="1:31">
      <c r="A46" s="729"/>
      <c r="B46" s="855" t="s">
        <v>719</v>
      </c>
      <c r="C46" s="855" t="s">
        <v>700</v>
      </c>
      <c r="D46" s="826">
        <v>0</v>
      </c>
      <c r="E46" s="826">
        <v>0</v>
      </c>
      <c r="F46" s="826">
        <v>0</v>
      </c>
      <c r="G46" s="819">
        <f>$C$23*$C$10*1/45</f>
        <v>4100000</v>
      </c>
      <c r="H46" s="819">
        <f>$C$23*$C$10*2/45</f>
        <v>8200000</v>
      </c>
      <c r="I46" s="819">
        <f>$C$23*$C$10*3/45</f>
        <v>12300000</v>
      </c>
      <c r="J46" s="819">
        <f>$C$23*$C$10*4/45</f>
        <v>16400000</v>
      </c>
      <c r="K46" s="819">
        <f>$C$23*$C$10*5/45</f>
        <v>20500000</v>
      </c>
      <c r="L46" s="819">
        <f>$C$23*$C$10*6/45</f>
        <v>24600000</v>
      </c>
      <c r="M46" s="819">
        <f>$C$23*$C$10*7/45</f>
        <v>28700000</v>
      </c>
      <c r="N46" s="819">
        <f>$C$23*$C$10*8/45</f>
        <v>32800000</v>
      </c>
      <c r="O46" s="819">
        <f>$C$23*$C$10*9/45</f>
        <v>36900000</v>
      </c>
      <c r="P46" s="819">
        <f t="shared" si="0"/>
        <v>184500000</v>
      </c>
      <c r="Q46" s="729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</row>
    <row r="47" spans="1:31">
      <c r="A47" s="729"/>
      <c r="B47" s="855" t="s">
        <v>719</v>
      </c>
      <c r="C47" s="855" t="s">
        <v>701</v>
      </c>
      <c r="D47" s="826">
        <v>0</v>
      </c>
      <c r="E47" s="826">
        <v>0</v>
      </c>
      <c r="F47" s="826">
        <v>0</v>
      </c>
      <c r="G47" s="819">
        <f>$C$24*$C$10*1/45</f>
        <v>4100000</v>
      </c>
      <c r="H47" s="819">
        <f>$C$24*$C$10*2/45</f>
        <v>8200000</v>
      </c>
      <c r="I47" s="819">
        <f>$C$24*$C$10*3/45</f>
        <v>12300000</v>
      </c>
      <c r="J47" s="819">
        <f>$C$24*$C$10*4/45</f>
        <v>16400000</v>
      </c>
      <c r="K47" s="819">
        <f>$C$24*$C$10*5/45</f>
        <v>20500000</v>
      </c>
      <c r="L47" s="819">
        <f>$C$24*$C$10*6/45</f>
        <v>24600000</v>
      </c>
      <c r="M47" s="819">
        <f>$C$24*$C$10*7/45</f>
        <v>28700000</v>
      </c>
      <c r="N47" s="819">
        <f>$C$24*$C$10*8/45</f>
        <v>32800000</v>
      </c>
      <c r="O47" s="819">
        <f>$C$24*$C$10*9/45</f>
        <v>36900000</v>
      </c>
      <c r="P47" s="819">
        <f t="shared" si="0"/>
        <v>184500000</v>
      </c>
      <c r="Q47" s="729"/>
      <c r="R47" s="729"/>
      <c r="S47" s="729"/>
      <c r="T47" s="729"/>
      <c r="U47" s="729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</row>
    <row r="48" spans="1:31">
      <c r="A48" s="729"/>
      <c r="B48" s="855" t="s">
        <v>719</v>
      </c>
      <c r="C48" s="855" t="s">
        <v>702</v>
      </c>
      <c r="D48" s="826">
        <v>0</v>
      </c>
      <c r="E48" s="826">
        <v>0</v>
      </c>
      <c r="F48" s="826">
        <v>0</v>
      </c>
      <c r="G48" s="819">
        <f>$C$25*$C$10*1/45</f>
        <v>16400000</v>
      </c>
      <c r="H48" s="819">
        <f>$C$25*$C$10*2/45</f>
        <v>32800000</v>
      </c>
      <c r="I48" s="819">
        <f>$C$25*$C$10*3/45</f>
        <v>49200000</v>
      </c>
      <c r="J48" s="819">
        <f>$C$25*$C$10*4/45</f>
        <v>65600000</v>
      </c>
      <c r="K48" s="819">
        <f>$C$25*$C$10*5/45</f>
        <v>82000000</v>
      </c>
      <c r="L48" s="819">
        <f>$C$25*$C$10*6/45</f>
        <v>98400000</v>
      </c>
      <c r="M48" s="819">
        <f>$C$25*$C$10*7/45</f>
        <v>114800000</v>
      </c>
      <c r="N48" s="819">
        <f>$C$25*$C$10*8/45</f>
        <v>131200000</v>
      </c>
      <c r="O48" s="819">
        <f>$C$25*$C$10*9/45</f>
        <v>147600000</v>
      </c>
      <c r="P48" s="819">
        <f t="shared" si="0"/>
        <v>738000000</v>
      </c>
      <c r="Q48" s="729"/>
      <c r="R48" s="729"/>
      <c r="S48" s="729"/>
      <c r="T48" s="729"/>
      <c r="U48" s="729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</row>
    <row r="49" spans="1:31">
      <c r="A49" s="729"/>
      <c r="B49" s="855" t="s">
        <v>719</v>
      </c>
      <c r="C49" s="855" t="s">
        <v>703</v>
      </c>
      <c r="D49" s="826">
        <v>0</v>
      </c>
      <c r="E49" s="826">
        <v>0</v>
      </c>
      <c r="F49" s="826">
        <v>0</v>
      </c>
      <c r="G49" s="819">
        <f>$C$26*$C$10*1/45</f>
        <v>1968000</v>
      </c>
      <c r="H49" s="819">
        <f>$C$26*$C$10*2/45</f>
        <v>3936000</v>
      </c>
      <c r="I49" s="819">
        <f>$C$26*$C$10*3/45</f>
        <v>5904000</v>
      </c>
      <c r="J49" s="819">
        <f>$C$26*$C$10*4/45</f>
        <v>7872000</v>
      </c>
      <c r="K49" s="819">
        <f>$C$26*$C$10*5/45</f>
        <v>9840000</v>
      </c>
      <c r="L49" s="819">
        <f>$C$26*$C$10*6/45</f>
        <v>11808000</v>
      </c>
      <c r="M49" s="819">
        <f>$C$26*$C$10*7/45</f>
        <v>13776000</v>
      </c>
      <c r="N49" s="819">
        <f>$C$26*$C$10*8/45</f>
        <v>15744000</v>
      </c>
      <c r="O49" s="819">
        <f>$C$26*$C$10*9/45</f>
        <v>17712000</v>
      </c>
      <c r="P49" s="819">
        <f t="shared" si="0"/>
        <v>88560000</v>
      </c>
      <c r="Q49" s="729"/>
      <c r="R49" s="729"/>
      <c r="S49" s="729"/>
      <c r="T49" s="729"/>
      <c r="U49" s="729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</row>
    <row r="50" spans="1:31">
      <c r="A50" s="729"/>
      <c r="B50" s="855" t="s">
        <v>720</v>
      </c>
      <c r="C50" s="855" t="s">
        <v>698</v>
      </c>
      <c r="D50" s="826">
        <v>0</v>
      </c>
      <c r="E50" s="826">
        <v>0</v>
      </c>
      <c r="F50" s="826">
        <v>0</v>
      </c>
      <c r="G50" s="819">
        <f>$C$20*$C$10*1/45</f>
        <v>5166000</v>
      </c>
      <c r="H50" s="819">
        <f>$C$20*$C$10*2/45</f>
        <v>10332000</v>
      </c>
      <c r="I50" s="819">
        <f>$C$20*$C$10*3/45</f>
        <v>15498000</v>
      </c>
      <c r="J50" s="819">
        <f>$C$20*$C$10*4/45</f>
        <v>20664000</v>
      </c>
      <c r="K50" s="819">
        <f>$C$20*$C$10*5/45</f>
        <v>25830000</v>
      </c>
      <c r="L50" s="819">
        <f>$C$20*$C$10*6/45</f>
        <v>30996000</v>
      </c>
      <c r="M50" s="819">
        <f>$C$20*$C$10*7/45</f>
        <v>36162000</v>
      </c>
      <c r="N50" s="819">
        <f>$C$20*$C$10*8/45</f>
        <v>41328000</v>
      </c>
      <c r="O50" s="819">
        <f>$C$20*$C$10*9/45</f>
        <v>46494000</v>
      </c>
      <c r="P50" s="819">
        <f t="shared" si="0"/>
        <v>232470000</v>
      </c>
      <c r="Q50" s="729"/>
      <c r="R50" s="729"/>
      <c r="S50" s="729"/>
      <c r="T50" s="729"/>
      <c r="U50" s="729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</row>
    <row r="51" spans="1:31">
      <c r="A51" s="729"/>
      <c r="B51" s="257" t="s">
        <v>303</v>
      </c>
      <c r="C51" s="257" t="s">
        <v>721</v>
      </c>
      <c r="D51" s="408">
        <f t="shared" ref="D51:O51" si="3">SUM(D52:D55)</f>
        <v>0</v>
      </c>
      <c r="E51" s="408">
        <f t="shared" si="3"/>
        <v>0</v>
      </c>
      <c r="F51" s="408">
        <f t="shared" si="3"/>
        <v>0</v>
      </c>
      <c r="G51" s="408">
        <f t="shared" si="3"/>
        <v>0</v>
      </c>
      <c r="H51" s="408">
        <f t="shared" si="3"/>
        <v>0</v>
      </c>
      <c r="I51" s="408">
        <f t="shared" si="3"/>
        <v>66815357.142857142</v>
      </c>
      <c r="J51" s="408">
        <f t="shared" si="3"/>
        <v>133630714.28571428</v>
      </c>
      <c r="K51" s="408">
        <f t="shared" si="3"/>
        <v>200446071.42857143</v>
      </c>
      <c r="L51" s="408">
        <f t="shared" si="3"/>
        <v>267261428.57142857</v>
      </c>
      <c r="M51" s="408">
        <f t="shared" si="3"/>
        <v>334076785.71428573</v>
      </c>
      <c r="N51" s="408">
        <f t="shared" si="3"/>
        <v>400892142.85714287</v>
      </c>
      <c r="O51" s="408">
        <f t="shared" si="3"/>
        <v>467707500</v>
      </c>
      <c r="P51" s="408">
        <f t="shared" si="0"/>
        <v>1870830000</v>
      </c>
      <c r="Q51" s="729"/>
      <c r="R51" s="729"/>
      <c r="S51" s="729"/>
      <c r="T51" s="729"/>
      <c r="U51" s="729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</row>
    <row r="52" spans="1:31">
      <c r="A52" s="729"/>
      <c r="B52" s="855" t="s">
        <v>303</v>
      </c>
      <c r="C52" s="855" t="s">
        <v>704</v>
      </c>
      <c r="D52" s="826">
        <v>0</v>
      </c>
      <c r="E52" s="826">
        <v>0</v>
      </c>
      <c r="F52" s="826">
        <v>0</v>
      </c>
      <c r="G52" s="826">
        <v>0</v>
      </c>
      <c r="H52" s="826">
        <v>0</v>
      </c>
      <c r="I52" s="819">
        <f>$C$28*$C$10*1/28</f>
        <v>39535714.285714284</v>
      </c>
      <c r="J52" s="819">
        <f>$C$28*$C$10*2/28</f>
        <v>79071428.571428567</v>
      </c>
      <c r="K52" s="819">
        <f>$C$28*$C$10*3/28</f>
        <v>118607142.85714285</v>
      </c>
      <c r="L52" s="819">
        <f>$C$28*$C$10*4/28</f>
        <v>158142857.14285713</v>
      </c>
      <c r="M52" s="819">
        <f>$C$28*$C$10*5/28</f>
        <v>197678571.42857143</v>
      </c>
      <c r="N52" s="819">
        <f>$C$28*$C$10*6/28</f>
        <v>237214285.7142857</v>
      </c>
      <c r="O52" s="819">
        <f>$C$28*$C$10*7/28</f>
        <v>276750000</v>
      </c>
      <c r="P52" s="819">
        <f t="shared" si="0"/>
        <v>1107000000</v>
      </c>
      <c r="Q52" s="729"/>
      <c r="R52" s="729"/>
      <c r="S52" s="729"/>
      <c r="T52" s="729"/>
      <c r="U52" s="729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</row>
    <row r="53" spans="1:31">
      <c r="A53" s="729"/>
      <c r="B53" s="855" t="s">
        <v>303</v>
      </c>
      <c r="C53" s="855" t="s">
        <v>705</v>
      </c>
      <c r="D53" s="826">
        <v>0</v>
      </c>
      <c r="E53" s="826">
        <v>0</v>
      </c>
      <c r="F53" s="826">
        <v>0</v>
      </c>
      <c r="G53" s="826">
        <v>0</v>
      </c>
      <c r="H53" s="826">
        <v>0</v>
      </c>
      <c r="I53" s="819">
        <f>$C$29*$C$10*1/28</f>
        <v>13837500</v>
      </c>
      <c r="J53" s="819">
        <f>$C$29*$C$10*2/28</f>
        <v>27675000</v>
      </c>
      <c r="K53" s="819">
        <f>$C$29*$C$10*3/28</f>
        <v>41512500</v>
      </c>
      <c r="L53" s="819">
        <f>$C$29*$C$10*4/28</f>
        <v>55350000</v>
      </c>
      <c r="M53" s="819">
        <f>$C$29*$C$10*5/28</f>
        <v>69187500</v>
      </c>
      <c r="N53" s="819">
        <f>$C$29*$C$10*6/28</f>
        <v>83025000</v>
      </c>
      <c r="O53" s="819">
        <f>$C$29*$C$10*7/28</f>
        <v>96862500</v>
      </c>
      <c r="P53" s="819">
        <f t="shared" si="0"/>
        <v>387450000</v>
      </c>
      <c r="Q53" s="729"/>
      <c r="R53" s="729"/>
      <c r="S53" s="729"/>
      <c r="T53" s="729"/>
      <c r="U53" s="729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</row>
    <row r="54" spans="1:31">
      <c r="A54" s="729"/>
      <c r="B54" s="855" t="s">
        <v>303</v>
      </c>
      <c r="C54" s="855" t="s">
        <v>706</v>
      </c>
      <c r="D54" s="826">
        <v>0</v>
      </c>
      <c r="E54" s="826">
        <v>0</v>
      </c>
      <c r="F54" s="826">
        <v>0</v>
      </c>
      <c r="G54" s="826">
        <v>0</v>
      </c>
      <c r="H54" s="826">
        <v>0</v>
      </c>
      <c r="I54" s="819">
        <f>$C$30*$C$10*1/28</f>
        <v>7907142.8571428573</v>
      </c>
      <c r="J54" s="819">
        <f>$C$30*$C$10*2/28</f>
        <v>15814285.714285715</v>
      </c>
      <c r="K54" s="819">
        <f>$C$30*$C$10*3/28</f>
        <v>23721428.571428571</v>
      </c>
      <c r="L54" s="819">
        <f>$C$30*$C$10*4/28</f>
        <v>31628571.428571429</v>
      </c>
      <c r="M54" s="819">
        <f>$C$30*$C$10*5/28</f>
        <v>39535714.285714284</v>
      </c>
      <c r="N54" s="819">
        <f>$C$30*$C$10*6/28</f>
        <v>47442857.142857142</v>
      </c>
      <c r="O54" s="819">
        <f>$C$30*$C$10*7/28</f>
        <v>55350000</v>
      </c>
      <c r="P54" s="819">
        <f t="shared" si="0"/>
        <v>221400000</v>
      </c>
      <c r="Q54" s="729"/>
      <c r="R54" s="729"/>
      <c r="S54" s="729"/>
      <c r="T54" s="729"/>
      <c r="U54" s="729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</row>
    <row r="55" spans="1:31">
      <c r="A55" s="729"/>
      <c r="B55" s="855" t="s">
        <v>303</v>
      </c>
      <c r="C55" s="855" t="s">
        <v>707</v>
      </c>
      <c r="D55" s="826">
        <v>0</v>
      </c>
      <c r="E55" s="826">
        <v>0</v>
      </c>
      <c r="F55" s="826">
        <v>0</v>
      </c>
      <c r="G55" s="826">
        <v>0</v>
      </c>
      <c r="H55" s="826">
        <v>0</v>
      </c>
      <c r="I55" s="819">
        <f>$C$31*$C$10*1/28</f>
        <v>5535000</v>
      </c>
      <c r="J55" s="819">
        <f>$C$31*$C$10*2/28</f>
        <v>11070000</v>
      </c>
      <c r="K55" s="819">
        <f>$C$31*$C$10*3/28</f>
        <v>16605000</v>
      </c>
      <c r="L55" s="819">
        <f>$C$31*$C$10*4/28</f>
        <v>22140000</v>
      </c>
      <c r="M55" s="819">
        <f>$C$31*$C$10*5/28</f>
        <v>27675000</v>
      </c>
      <c r="N55" s="819">
        <f>$C$31*$C$10*6/28</f>
        <v>33210000</v>
      </c>
      <c r="O55" s="819">
        <f>$C$31*$C$10*7/28</f>
        <v>38745000</v>
      </c>
      <c r="P55" s="819">
        <f t="shared" si="0"/>
        <v>154980000</v>
      </c>
      <c r="Q55" s="729"/>
      <c r="R55" s="729"/>
      <c r="S55" s="729"/>
      <c r="T55" s="729"/>
      <c r="U55" s="729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</row>
    <row r="56" spans="1:31">
      <c r="A56" s="729"/>
      <c r="B56" s="257" t="s">
        <v>708</v>
      </c>
      <c r="C56" s="257" t="s">
        <v>722</v>
      </c>
      <c r="D56" s="408">
        <f t="shared" ref="D56:O56" si="4">SUM(D57:D59)</f>
        <v>0</v>
      </c>
      <c r="E56" s="408">
        <f t="shared" si="4"/>
        <v>0</v>
      </c>
      <c r="F56" s="408">
        <f t="shared" si="4"/>
        <v>0</v>
      </c>
      <c r="G56" s="408">
        <f t="shared" si="4"/>
        <v>18040000</v>
      </c>
      <c r="H56" s="408">
        <f t="shared" si="4"/>
        <v>36080000</v>
      </c>
      <c r="I56" s="408">
        <f t="shared" si="4"/>
        <v>54120000</v>
      </c>
      <c r="J56" s="408">
        <f t="shared" si="4"/>
        <v>72160000</v>
      </c>
      <c r="K56" s="408">
        <f t="shared" si="4"/>
        <v>90200000</v>
      </c>
      <c r="L56" s="408">
        <f t="shared" si="4"/>
        <v>108240000</v>
      </c>
      <c r="M56" s="408">
        <f t="shared" si="4"/>
        <v>126280000</v>
      </c>
      <c r="N56" s="408">
        <f t="shared" si="4"/>
        <v>144320000</v>
      </c>
      <c r="O56" s="408">
        <f t="shared" si="4"/>
        <v>162360000</v>
      </c>
      <c r="P56" s="408">
        <f t="shared" si="0"/>
        <v>811800000</v>
      </c>
      <c r="Q56" s="729"/>
      <c r="R56" s="729"/>
      <c r="S56" s="729"/>
      <c r="T56" s="729"/>
      <c r="U56" s="729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</row>
    <row r="57" spans="1:31">
      <c r="A57" s="729"/>
      <c r="B57" s="855" t="s">
        <v>723</v>
      </c>
      <c r="C57" s="855" t="s">
        <v>709</v>
      </c>
      <c r="D57" s="826">
        <v>0</v>
      </c>
      <c r="E57" s="826">
        <v>0</v>
      </c>
      <c r="F57" s="826">
        <v>0</v>
      </c>
      <c r="G57" s="819">
        <f>$C$33*$C$10*1/45</f>
        <v>2952000</v>
      </c>
      <c r="H57" s="819">
        <f>$C$33*$C$10*2/45</f>
        <v>5904000</v>
      </c>
      <c r="I57" s="819">
        <f>$C$33*$C$10*3/45</f>
        <v>8856000</v>
      </c>
      <c r="J57" s="819">
        <f>$C$33*$C$10*4/45</f>
        <v>11808000</v>
      </c>
      <c r="K57" s="819">
        <f>$C$33*$C$10*5/45</f>
        <v>14760000</v>
      </c>
      <c r="L57" s="819">
        <f>$C$33*$C$10*6/45</f>
        <v>17712000</v>
      </c>
      <c r="M57" s="819">
        <f>$C$33*$C$10*7/45</f>
        <v>20664000</v>
      </c>
      <c r="N57" s="819">
        <f>$C$33*$C$10*8/45</f>
        <v>23616000</v>
      </c>
      <c r="O57" s="819">
        <f>$C$33*$C$10*9/45</f>
        <v>26568000</v>
      </c>
      <c r="P57" s="819">
        <f t="shared" si="0"/>
        <v>132840000</v>
      </c>
      <c r="Q57" s="729"/>
      <c r="R57" s="729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</row>
    <row r="58" spans="1:31">
      <c r="A58" s="729"/>
      <c r="B58" s="855" t="s">
        <v>723</v>
      </c>
      <c r="C58" s="855" t="s">
        <v>710</v>
      </c>
      <c r="D58" s="826">
        <v>0</v>
      </c>
      <c r="E58" s="826">
        <v>0</v>
      </c>
      <c r="F58" s="826">
        <v>0</v>
      </c>
      <c r="G58" s="819">
        <f>$C$34*$C$10*1/45</f>
        <v>6888000</v>
      </c>
      <c r="H58" s="819">
        <f>$C$34*$C$10*2/45</f>
        <v>13776000</v>
      </c>
      <c r="I58" s="819">
        <f>$C$34*$C$10*3/45</f>
        <v>20664000</v>
      </c>
      <c r="J58" s="819">
        <f>$C$34*$C$10*4/45</f>
        <v>27552000</v>
      </c>
      <c r="K58" s="819">
        <f>$C$34*$C$10*5/45</f>
        <v>34440000</v>
      </c>
      <c r="L58" s="819">
        <f>$C$34*$C$10*6/45</f>
        <v>41328000</v>
      </c>
      <c r="M58" s="819">
        <f>$C$34*$C$10*7/45</f>
        <v>48216000</v>
      </c>
      <c r="N58" s="819">
        <f>$C$34*$C$10*8/45</f>
        <v>55104000</v>
      </c>
      <c r="O58" s="819">
        <f>$C$34*$C$10*9/45</f>
        <v>61992000</v>
      </c>
      <c r="P58" s="819">
        <f t="shared" si="0"/>
        <v>309960000</v>
      </c>
      <c r="Q58" s="729"/>
      <c r="R58" s="729"/>
      <c r="S58" s="729"/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</row>
    <row r="59" spans="1:31">
      <c r="A59" s="729"/>
      <c r="B59" s="855" t="s">
        <v>723</v>
      </c>
      <c r="C59" s="855" t="s">
        <v>711</v>
      </c>
      <c r="D59" s="826">
        <v>0</v>
      </c>
      <c r="E59" s="826">
        <v>0</v>
      </c>
      <c r="F59" s="826">
        <v>0</v>
      </c>
      <c r="G59" s="819">
        <f>$C$35*$C$10*1/45</f>
        <v>8200000</v>
      </c>
      <c r="H59" s="819">
        <f>$C$35*$C$10*2/45</f>
        <v>16400000</v>
      </c>
      <c r="I59" s="819">
        <f>$C$35*$C$10*3/45</f>
        <v>24600000</v>
      </c>
      <c r="J59" s="819">
        <f>$C$35*$C$10*4/45</f>
        <v>32800000</v>
      </c>
      <c r="K59" s="819">
        <f>$C$35*$C$10*5/45</f>
        <v>41000000</v>
      </c>
      <c r="L59" s="819">
        <f>$C$35*$C$10*6/45</f>
        <v>49200000</v>
      </c>
      <c r="M59" s="819">
        <f>$C$35*$C$10*7/45</f>
        <v>57400000</v>
      </c>
      <c r="N59" s="819">
        <f>$C$35*$C$10*8/45</f>
        <v>65600000</v>
      </c>
      <c r="O59" s="819">
        <f>$C$35*$C$10*9/45</f>
        <v>73800000</v>
      </c>
      <c r="P59" s="819">
        <f t="shared" si="0"/>
        <v>369000000</v>
      </c>
      <c r="Q59" s="729"/>
      <c r="R59" s="729"/>
      <c r="S59" s="729"/>
      <c r="T59" s="729"/>
      <c r="U59" s="729"/>
      <c r="V59" s="729"/>
      <c r="W59" s="729"/>
      <c r="X59" s="729"/>
      <c r="Y59" s="729"/>
      <c r="Z59" s="729"/>
      <c r="AA59" s="729"/>
      <c r="AB59" s="729"/>
      <c r="AC59" s="729"/>
      <c r="AD59" s="729"/>
      <c r="AE59" s="729"/>
    </row>
    <row r="60" spans="1:31">
      <c r="A60" s="729"/>
      <c r="B60" s="257" t="s">
        <v>724</v>
      </c>
      <c r="C60" s="257" t="s">
        <v>712</v>
      </c>
      <c r="D60" s="407">
        <v>0</v>
      </c>
      <c r="E60" s="407">
        <v>0</v>
      </c>
      <c r="F60" s="407">
        <v>0</v>
      </c>
      <c r="G60" s="408">
        <f>$C$36*$C$10*1/45</f>
        <v>82000000</v>
      </c>
      <c r="H60" s="408">
        <f>$C$36*$C$10*2/45</f>
        <v>164000000</v>
      </c>
      <c r="I60" s="408">
        <f>$C$36*$C$10*3/45</f>
        <v>246000000</v>
      </c>
      <c r="J60" s="408">
        <f>$C$36*$C$10*4/45</f>
        <v>328000000</v>
      </c>
      <c r="K60" s="408">
        <f>$C$36*$C$10*5/45</f>
        <v>410000000</v>
      </c>
      <c r="L60" s="408">
        <f>$C$36*$C$10*6/45</f>
        <v>492000000</v>
      </c>
      <c r="M60" s="408">
        <f>$C$36*$C$10*7/45</f>
        <v>574000000</v>
      </c>
      <c r="N60" s="408">
        <f>$C$36*$C$10*8/45</f>
        <v>656000000</v>
      </c>
      <c r="O60" s="408">
        <f>$C$36*$C$10*9/45</f>
        <v>738000000</v>
      </c>
      <c r="P60" s="408">
        <f t="shared" si="0"/>
        <v>3690000000</v>
      </c>
      <c r="Q60" s="729"/>
      <c r="R60" s="729"/>
      <c r="S60" s="729"/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</row>
    <row r="61" spans="1:31">
      <c r="A61" s="729"/>
      <c r="B61" s="855" t="s">
        <v>725</v>
      </c>
      <c r="C61" s="855" t="s">
        <v>307</v>
      </c>
      <c r="D61" s="826">
        <v>0</v>
      </c>
      <c r="E61" s="826">
        <v>0</v>
      </c>
      <c r="F61" s="826">
        <v>0</v>
      </c>
      <c r="G61" s="819">
        <f>-$C$18*$C$10*1/45</f>
        <v>-25830000</v>
      </c>
      <c r="H61" s="819">
        <f>-$C$18*$C$10*2/45</f>
        <v>-51660000</v>
      </c>
      <c r="I61" s="819">
        <f>-$C$18*$C$10*3/45</f>
        <v>-77490000</v>
      </c>
      <c r="J61" s="819">
        <f>-$C$18*$C$10*4/45</f>
        <v>-103320000</v>
      </c>
      <c r="K61" s="819">
        <f>-$C$18*$C$10*5/45</f>
        <v>-129150000</v>
      </c>
      <c r="L61" s="819">
        <f>-$C$18*$C$10*6/45</f>
        <v>-154980000</v>
      </c>
      <c r="M61" s="819">
        <f>-$C$18*$C$10*7/45</f>
        <v>-180810000</v>
      </c>
      <c r="N61" s="819">
        <f>-$C$18*$C$10*8/45</f>
        <v>-206640000</v>
      </c>
      <c r="O61" s="819">
        <f>-$C$18*$C$10*9/45</f>
        <v>-232470000</v>
      </c>
      <c r="P61" s="819">
        <f t="shared" si="0"/>
        <v>-1162350000</v>
      </c>
      <c r="Q61" s="729"/>
      <c r="R61" s="729"/>
      <c r="S61" s="729"/>
      <c r="T61" s="729"/>
      <c r="U61" s="729"/>
      <c r="V61" s="729"/>
      <c r="W61" s="729"/>
      <c r="X61" s="729"/>
      <c r="Y61" s="729"/>
      <c r="Z61" s="729"/>
      <c r="AA61" s="729"/>
      <c r="AB61" s="729"/>
      <c r="AC61" s="729"/>
      <c r="AD61" s="729"/>
      <c r="AE61" s="729"/>
    </row>
    <row r="62" spans="1:31">
      <c r="A62" s="729"/>
      <c r="B62" s="855" t="s">
        <v>725</v>
      </c>
      <c r="C62" s="855" t="s">
        <v>308</v>
      </c>
      <c r="D62" s="826">
        <v>0</v>
      </c>
      <c r="E62" s="826">
        <v>0</v>
      </c>
      <c r="F62" s="826">
        <v>0</v>
      </c>
      <c r="G62" s="819">
        <f>-$C$19*$C$10*1/45</f>
        <v>-3444000</v>
      </c>
      <c r="H62" s="819">
        <f>-$C$19*$C$10*2/45</f>
        <v>-6888000</v>
      </c>
      <c r="I62" s="819">
        <f>-$C$19*$C$10*3/45</f>
        <v>-10332000</v>
      </c>
      <c r="J62" s="819">
        <f>-$C$19*$C$10*4/45</f>
        <v>-13776000</v>
      </c>
      <c r="K62" s="819">
        <f>-$C$19*$C$10*5/45</f>
        <v>-17220000</v>
      </c>
      <c r="L62" s="819">
        <f>-$C$19*$C$10*6/45</f>
        <v>-20664000</v>
      </c>
      <c r="M62" s="819">
        <f>-$C$19*$C$10*7/45</f>
        <v>-24108000</v>
      </c>
      <c r="N62" s="819">
        <f>-$C$19*$C$10*8/45</f>
        <v>-27552000</v>
      </c>
      <c r="O62" s="819">
        <f>-$C$19*$C$10*9/45</f>
        <v>-30996000</v>
      </c>
      <c r="P62" s="819">
        <f t="shared" si="0"/>
        <v>-154980000</v>
      </c>
      <c r="Q62" s="729"/>
      <c r="R62" s="729"/>
      <c r="S62" s="729"/>
      <c r="T62" s="729"/>
      <c r="U62" s="729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</row>
    <row r="63" spans="1:31">
      <c r="A63" s="729"/>
      <c r="B63" s="569" t="s">
        <v>726</v>
      </c>
      <c r="C63" s="569" t="s">
        <v>727</v>
      </c>
      <c r="D63" s="568">
        <f t="shared" ref="D63:O63" si="5">D42+D43+D44+D50+D51+D56+D60+D61+D62</f>
        <v>612247701</v>
      </c>
      <c r="E63" s="568">
        <f t="shared" si="5"/>
        <v>744218137</v>
      </c>
      <c r="F63" s="568">
        <f t="shared" si="5"/>
        <v>787041187</v>
      </c>
      <c r="G63" s="568">
        <f t="shared" si="5"/>
        <v>906600000</v>
      </c>
      <c r="H63" s="568">
        <f t="shared" si="5"/>
        <v>1013200000</v>
      </c>
      <c r="I63" s="568">
        <f t="shared" si="5"/>
        <v>1186615357.1428571</v>
      </c>
      <c r="J63" s="568">
        <f t="shared" si="5"/>
        <v>1360030714.2857144</v>
      </c>
      <c r="K63" s="568">
        <f t="shared" si="5"/>
        <v>1533446071.4285715</v>
      </c>
      <c r="L63" s="568">
        <f t="shared" si="5"/>
        <v>1706861428.5714285</v>
      </c>
      <c r="M63" s="568">
        <f t="shared" si="5"/>
        <v>1880276785.7142859</v>
      </c>
      <c r="N63" s="568">
        <f t="shared" si="5"/>
        <v>2053692142.8571429</v>
      </c>
      <c r="O63" s="568">
        <f t="shared" si="5"/>
        <v>2227107500</v>
      </c>
      <c r="P63" s="568">
        <f t="shared" si="0"/>
        <v>16011337025</v>
      </c>
      <c r="Q63" s="729"/>
      <c r="R63" s="729"/>
      <c r="S63" s="729"/>
      <c r="T63" s="729"/>
      <c r="U63" s="729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</row>
    <row r="64" spans="1:31">
      <c r="A64" s="729"/>
      <c r="B64" s="855"/>
      <c r="C64" s="855"/>
      <c r="D64" s="855"/>
      <c r="E64" s="855"/>
      <c r="F64" s="855"/>
      <c r="G64" s="855"/>
      <c r="H64" s="855"/>
      <c r="I64" s="855"/>
      <c r="J64" s="855"/>
      <c r="K64" s="855"/>
      <c r="L64" s="855"/>
      <c r="M64" s="855"/>
      <c r="N64" s="855"/>
      <c r="O64" s="855"/>
      <c r="P64" s="855"/>
      <c r="Q64" s="729"/>
      <c r="R64" s="72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</row>
    <row r="65" spans="1:31">
      <c r="A65" s="729"/>
      <c r="B65" s="814" t="s">
        <v>728</v>
      </c>
      <c r="C65" s="682"/>
      <c r="D65" s="682"/>
      <c r="E65" s="682"/>
      <c r="F65" s="682"/>
      <c r="G65" s="682"/>
      <c r="H65" s="682"/>
      <c r="I65" s="682"/>
      <c r="J65" s="682"/>
      <c r="K65" s="682"/>
      <c r="L65" s="682"/>
      <c r="M65" s="682"/>
      <c r="N65" s="682"/>
      <c r="O65" s="682"/>
      <c r="P65" s="682"/>
      <c r="Q65" s="729"/>
      <c r="R65" s="729"/>
      <c r="S65" s="729"/>
      <c r="T65" s="729"/>
      <c r="U65" s="729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</row>
    <row r="66" spans="1:31">
      <c r="A66" s="729"/>
      <c r="B66" s="255" t="s">
        <v>714</v>
      </c>
      <c r="C66" s="255" t="s">
        <v>675</v>
      </c>
      <c r="D66" s="256" t="s">
        <v>209</v>
      </c>
      <c r="E66" s="406">
        <v>46079</v>
      </c>
      <c r="F66" s="406">
        <v>46107</v>
      </c>
      <c r="G66" s="256" t="s">
        <v>326</v>
      </c>
      <c r="H66" s="406">
        <v>46168</v>
      </c>
      <c r="I66" s="406">
        <v>46199</v>
      </c>
      <c r="J66" s="406">
        <v>46229</v>
      </c>
      <c r="K66" s="256" t="s">
        <v>330</v>
      </c>
      <c r="L66" s="406">
        <v>46291</v>
      </c>
      <c r="M66" s="406">
        <v>46321</v>
      </c>
      <c r="N66" s="406">
        <v>46352</v>
      </c>
      <c r="O66" s="256" t="s">
        <v>334</v>
      </c>
      <c r="P66" s="256" t="s">
        <v>16</v>
      </c>
      <c r="Q66" s="729"/>
      <c r="R66" s="729"/>
      <c r="S66" s="729"/>
      <c r="T66" s="729"/>
      <c r="U66" s="729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</row>
    <row r="67" spans="1:31">
      <c r="A67" s="729"/>
      <c r="B67" s="855"/>
      <c r="C67" s="855"/>
      <c r="D67" s="856"/>
      <c r="E67" s="856"/>
      <c r="F67" s="856"/>
      <c r="G67" s="856"/>
      <c r="H67" s="856"/>
      <c r="I67" s="856"/>
      <c r="J67" s="856"/>
      <c r="K67" s="856"/>
      <c r="L67" s="856"/>
      <c r="M67" s="856"/>
      <c r="N67" s="856"/>
      <c r="O67" s="856"/>
      <c r="P67" s="856"/>
      <c r="Q67" s="729"/>
      <c r="R67" s="729"/>
      <c r="S67" s="729"/>
      <c r="T67" s="729"/>
      <c r="U67" s="729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</row>
    <row r="68" spans="1:31">
      <c r="A68" s="729"/>
      <c r="B68" s="257"/>
      <c r="C68" s="257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729"/>
      <c r="R68" s="729"/>
      <c r="S68" s="729"/>
      <c r="T68" s="729"/>
      <c r="U68" s="729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</row>
    <row r="69" spans="1:31">
      <c r="A69" s="729"/>
      <c r="B69" s="257"/>
      <c r="C69" s="257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729"/>
      <c r="R69" s="729"/>
      <c r="S69" s="729"/>
      <c r="T69" s="729"/>
      <c r="U69" s="729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</row>
    <row r="70" spans="1:31">
      <c r="A70" s="729"/>
      <c r="B70" s="855"/>
      <c r="C70" s="855"/>
      <c r="D70" s="856"/>
      <c r="E70" s="856"/>
      <c r="F70" s="856"/>
      <c r="G70" s="856"/>
      <c r="H70" s="856"/>
      <c r="I70" s="856"/>
      <c r="J70" s="856"/>
      <c r="K70" s="856"/>
      <c r="L70" s="856"/>
      <c r="M70" s="856"/>
      <c r="N70" s="856"/>
      <c r="O70" s="856"/>
      <c r="P70" s="856"/>
      <c r="Q70" s="729"/>
      <c r="R70" s="729"/>
      <c r="S70" s="729"/>
      <c r="T70" s="729"/>
      <c r="U70" s="729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</row>
    <row r="71" spans="1:31">
      <c r="A71" s="729"/>
      <c r="B71" s="855"/>
      <c r="C71" s="855"/>
      <c r="D71" s="856"/>
      <c r="E71" s="856"/>
      <c r="F71" s="856"/>
      <c r="G71" s="856"/>
      <c r="H71" s="856"/>
      <c r="I71" s="856"/>
      <c r="J71" s="856"/>
      <c r="K71" s="856"/>
      <c r="L71" s="856"/>
      <c r="M71" s="856"/>
      <c r="N71" s="856"/>
      <c r="O71" s="856"/>
      <c r="P71" s="856"/>
      <c r="Q71" s="729"/>
      <c r="R71" s="729"/>
      <c r="S71" s="729"/>
      <c r="T71" s="729"/>
      <c r="U71" s="729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</row>
    <row r="72" spans="1:31">
      <c r="A72" s="729"/>
      <c r="B72" s="855"/>
      <c r="C72" s="855"/>
      <c r="D72" s="856"/>
      <c r="E72" s="856"/>
      <c r="F72" s="856"/>
      <c r="G72" s="856"/>
      <c r="H72" s="856"/>
      <c r="I72" s="856"/>
      <c r="J72" s="856"/>
      <c r="K72" s="856"/>
      <c r="L72" s="856"/>
      <c r="M72" s="856"/>
      <c r="N72" s="856"/>
      <c r="O72" s="856"/>
      <c r="P72" s="856"/>
      <c r="Q72" s="729"/>
      <c r="R72" s="729"/>
      <c r="S72" s="729"/>
      <c r="T72" s="729"/>
      <c r="U72" s="729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</row>
    <row r="73" spans="1:31">
      <c r="A73" s="729"/>
      <c r="B73" s="855"/>
      <c r="C73" s="855"/>
      <c r="D73" s="856"/>
      <c r="E73" s="856"/>
      <c r="F73" s="856"/>
      <c r="G73" s="856"/>
      <c r="H73" s="856"/>
      <c r="I73" s="856"/>
      <c r="J73" s="856"/>
      <c r="K73" s="856"/>
      <c r="L73" s="856"/>
      <c r="M73" s="856"/>
      <c r="N73" s="856"/>
      <c r="O73" s="856"/>
      <c r="P73" s="856"/>
      <c r="Q73" s="729"/>
      <c r="R73" s="729"/>
      <c r="S73" s="729"/>
      <c r="T73" s="729"/>
      <c r="U73" s="729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</row>
    <row r="74" spans="1:31">
      <c r="A74" s="729"/>
      <c r="B74" s="855"/>
      <c r="C74" s="855"/>
      <c r="D74" s="856"/>
      <c r="E74" s="856"/>
      <c r="F74" s="856"/>
      <c r="G74" s="856"/>
      <c r="H74" s="856"/>
      <c r="I74" s="856"/>
      <c r="J74" s="856"/>
      <c r="K74" s="856"/>
      <c r="L74" s="856"/>
      <c r="M74" s="856"/>
      <c r="N74" s="856"/>
      <c r="O74" s="856"/>
      <c r="P74" s="856"/>
      <c r="Q74" s="729"/>
      <c r="R74" s="729"/>
      <c r="S74" s="729"/>
      <c r="T74" s="729"/>
      <c r="U74" s="729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</row>
    <row r="75" spans="1:31">
      <c r="A75" s="729"/>
      <c r="B75" s="855"/>
      <c r="C75" s="855"/>
      <c r="D75" s="856"/>
      <c r="E75" s="856"/>
      <c r="F75" s="856"/>
      <c r="G75" s="856"/>
      <c r="H75" s="856"/>
      <c r="I75" s="856"/>
      <c r="J75" s="856"/>
      <c r="K75" s="856"/>
      <c r="L75" s="856"/>
      <c r="M75" s="856"/>
      <c r="N75" s="856"/>
      <c r="O75" s="856"/>
      <c r="P75" s="856"/>
      <c r="Q75" s="729"/>
      <c r="R75" s="729"/>
      <c r="S75" s="729"/>
      <c r="T75" s="729"/>
      <c r="U75" s="729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</row>
    <row r="76" spans="1:31">
      <c r="A76" s="729"/>
      <c r="B76" s="257"/>
      <c r="C76" s="257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729"/>
      <c r="R76" s="729"/>
      <c r="S76" s="729"/>
      <c r="T76" s="729"/>
      <c r="U76" s="729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</row>
    <row r="77" spans="1:31">
      <c r="A77" s="729"/>
      <c r="B77" s="855"/>
      <c r="C77" s="855"/>
      <c r="D77" s="856"/>
      <c r="E77" s="856"/>
      <c r="F77" s="856"/>
      <c r="G77" s="856"/>
      <c r="H77" s="856"/>
      <c r="I77" s="856"/>
      <c r="J77" s="856"/>
      <c r="K77" s="856"/>
      <c r="L77" s="856"/>
      <c r="M77" s="856"/>
      <c r="N77" s="856"/>
      <c r="O77" s="856"/>
      <c r="P77" s="856"/>
      <c r="Q77" s="729"/>
      <c r="R77" s="729"/>
      <c r="S77" s="729"/>
      <c r="T77" s="729"/>
      <c r="U77" s="729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</row>
    <row r="78" spans="1:31">
      <c r="A78" s="729"/>
      <c r="B78" s="855"/>
      <c r="C78" s="855"/>
      <c r="D78" s="856"/>
      <c r="E78" s="856"/>
      <c r="F78" s="856"/>
      <c r="G78" s="856"/>
      <c r="H78" s="856"/>
      <c r="I78" s="856"/>
      <c r="J78" s="856"/>
      <c r="K78" s="856"/>
      <c r="L78" s="856"/>
      <c r="M78" s="856"/>
      <c r="N78" s="856"/>
      <c r="O78" s="856"/>
      <c r="P78" s="856"/>
      <c r="Q78" s="729"/>
      <c r="R78" s="729"/>
      <c r="S78" s="729"/>
      <c r="T78" s="729"/>
      <c r="U78" s="729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</row>
    <row r="79" spans="1:31">
      <c r="A79" s="729"/>
      <c r="B79" s="855"/>
      <c r="C79" s="855"/>
      <c r="D79" s="856"/>
      <c r="E79" s="856"/>
      <c r="F79" s="856"/>
      <c r="G79" s="856"/>
      <c r="H79" s="856"/>
      <c r="I79" s="856"/>
      <c r="J79" s="856"/>
      <c r="K79" s="856"/>
      <c r="L79" s="856"/>
      <c r="M79" s="856"/>
      <c r="N79" s="856"/>
      <c r="O79" s="856"/>
      <c r="P79" s="856"/>
      <c r="Q79" s="729"/>
      <c r="R79" s="729"/>
      <c r="S79" s="729"/>
      <c r="T79" s="729"/>
      <c r="U79" s="729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</row>
    <row r="80" spans="1:31">
      <c r="A80" s="729"/>
      <c r="B80" s="855"/>
      <c r="C80" s="855"/>
      <c r="D80" s="856"/>
      <c r="E80" s="856"/>
      <c r="F80" s="856"/>
      <c r="G80" s="856"/>
      <c r="H80" s="856"/>
      <c r="I80" s="856"/>
      <c r="J80" s="856"/>
      <c r="K80" s="856"/>
      <c r="L80" s="856"/>
      <c r="M80" s="856"/>
      <c r="N80" s="856"/>
      <c r="O80" s="856"/>
      <c r="P80" s="856"/>
      <c r="Q80" s="729"/>
      <c r="R80" s="729"/>
      <c r="S80" s="729"/>
      <c r="T80" s="729"/>
      <c r="U80" s="729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</row>
    <row r="81" spans="1:31">
      <c r="A81" s="729"/>
      <c r="B81" s="257"/>
      <c r="C81" s="257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729"/>
      <c r="R81" s="729"/>
      <c r="S81" s="729"/>
      <c r="T81" s="729"/>
      <c r="U81" s="729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</row>
    <row r="82" spans="1:31">
      <c r="A82" s="729"/>
      <c r="B82" s="855"/>
      <c r="C82" s="855"/>
      <c r="D82" s="856"/>
      <c r="E82" s="856"/>
      <c r="F82" s="856"/>
      <c r="G82" s="856"/>
      <c r="H82" s="856"/>
      <c r="I82" s="856"/>
      <c r="J82" s="856"/>
      <c r="K82" s="856"/>
      <c r="L82" s="856"/>
      <c r="M82" s="856"/>
      <c r="N82" s="856"/>
      <c r="O82" s="856"/>
      <c r="P82" s="856"/>
      <c r="Q82" s="729"/>
      <c r="R82" s="729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</row>
    <row r="83" spans="1:31">
      <c r="A83" s="729"/>
      <c r="B83" s="855"/>
      <c r="C83" s="855"/>
      <c r="D83" s="856"/>
      <c r="E83" s="856"/>
      <c r="F83" s="856"/>
      <c r="G83" s="856"/>
      <c r="H83" s="856"/>
      <c r="I83" s="856"/>
      <c r="J83" s="856"/>
      <c r="K83" s="856"/>
      <c r="L83" s="856"/>
      <c r="M83" s="856"/>
      <c r="N83" s="856"/>
      <c r="O83" s="856"/>
      <c r="P83" s="856"/>
      <c r="Q83" s="729"/>
      <c r="R83" s="729"/>
      <c r="S83" s="729"/>
      <c r="T83" s="729"/>
      <c r="U83" s="729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</row>
    <row r="84" spans="1:31">
      <c r="A84" s="729"/>
      <c r="B84" s="855"/>
      <c r="C84" s="855"/>
      <c r="D84" s="856"/>
      <c r="E84" s="856"/>
      <c r="F84" s="856"/>
      <c r="G84" s="856"/>
      <c r="H84" s="856"/>
      <c r="I84" s="856"/>
      <c r="J84" s="856"/>
      <c r="K84" s="856"/>
      <c r="L84" s="856"/>
      <c r="M84" s="856"/>
      <c r="N84" s="856"/>
      <c r="O84" s="856"/>
      <c r="P84" s="856"/>
      <c r="Q84" s="729"/>
      <c r="R84" s="729"/>
      <c r="S84" s="729"/>
      <c r="T84" s="729"/>
      <c r="U84" s="729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</row>
    <row r="85" spans="1:31">
      <c r="A85" s="729"/>
      <c r="B85" s="257"/>
      <c r="C85" s="257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729"/>
      <c r="R85" s="729"/>
      <c r="S85" s="729"/>
      <c r="T85" s="729"/>
      <c r="U85" s="72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</row>
    <row r="86" spans="1:31">
      <c r="A86" s="729"/>
      <c r="B86" s="855"/>
      <c r="C86" s="855"/>
      <c r="D86" s="856"/>
      <c r="E86" s="856"/>
      <c r="F86" s="856"/>
      <c r="G86" s="856"/>
      <c r="H86" s="856"/>
      <c r="I86" s="856"/>
      <c r="J86" s="856"/>
      <c r="K86" s="856"/>
      <c r="L86" s="856"/>
      <c r="M86" s="856"/>
      <c r="N86" s="856"/>
      <c r="O86" s="856"/>
      <c r="P86" s="856"/>
      <c r="Q86" s="729"/>
      <c r="R86" s="729"/>
      <c r="S86" s="729"/>
      <c r="T86" s="729"/>
      <c r="U86" s="729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</row>
    <row r="87" spans="1:31">
      <c r="A87" s="729"/>
      <c r="B87" s="855"/>
      <c r="C87" s="855"/>
      <c r="D87" s="856"/>
      <c r="E87" s="856"/>
      <c r="F87" s="856"/>
      <c r="G87" s="856"/>
      <c r="H87" s="856"/>
      <c r="I87" s="856"/>
      <c r="J87" s="856"/>
      <c r="K87" s="856"/>
      <c r="L87" s="856"/>
      <c r="M87" s="856"/>
      <c r="N87" s="856"/>
      <c r="O87" s="856"/>
      <c r="P87" s="856"/>
      <c r="Q87" s="729"/>
      <c r="R87" s="729"/>
      <c r="S87" s="729"/>
      <c r="T87" s="729"/>
      <c r="U87" s="729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</row>
    <row r="88" spans="1:31">
      <c r="A88" s="729"/>
      <c r="B88" s="258"/>
      <c r="C88" s="258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729"/>
      <c r="R88" s="729"/>
      <c r="S88" s="729"/>
      <c r="T88" s="729"/>
      <c r="U88" s="729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</row>
    <row r="89" spans="1:31">
      <c r="A89" s="729"/>
      <c r="B89" s="674"/>
      <c r="C89" s="674"/>
      <c r="D89" s="674"/>
      <c r="E89" s="674"/>
      <c r="F89" s="674"/>
      <c r="G89" s="674"/>
      <c r="H89" s="674"/>
      <c r="I89" s="674"/>
      <c r="J89" s="674"/>
      <c r="K89" s="674"/>
      <c r="L89" s="674"/>
      <c r="M89" s="674"/>
      <c r="N89" s="674"/>
      <c r="O89" s="674"/>
      <c r="P89" s="674"/>
      <c r="Q89" s="729"/>
      <c r="R89" s="729"/>
      <c r="S89" s="729"/>
      <c r="T89" s="729"/>
      <c r="U89" s="729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</row>
    <row r="90" spans="1:31">
      <c r="A90" s="729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4"/>
      <c r="P90" s="674"/>
      <c r="Q90" s="729"/>
      <c r="R90" s="729"/>
      <c r="S90" s="729"/>
      <c r="T90" s="729"/>
      <c r="U90" s="729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</row>
    <row r="91" spans="1:31">
      <c r="A91" s="729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4"/>
      <c r="P91" s="674"/>
      <c r="Q91" s="729"/>
      <c r="R91" s="729"/>
      <c r="S91" s="729"/>
      <c r="T91" s="729"/>
      <c r="U91" s="729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</row>
    <row r="92" spans="1:31">
      <c r="A92" s="729"/>
      <c r="B92" s="570" t="s">
        <v>729</v>
      </c>
      <c r="C92" s="570"/>
      <c r="D92" s="570"/>
      <c r="E92" s="570"/>
      <c r="F92" s="570"/>
      <c r="G92" s="570"/>
      <c r="H92" s="570"/>
      <c r="I92" s="570"/>
      <c r="J92" s="570"/>
      <c r="K92" s="570"/>
      <c r="L92" s="570"/>
      <c r="M92" s="570"/>
      <c r="N92" s="570"/>
      <c r="O92" s="570"/>
      <c r="P92" s="570"/>
      <c r="Q92" s="729"/>
      <c r="R92" s="729"/>
      <c r="S92" s="729"/>
      <c r="T92" s="729"/>
      <c r="U92" s="72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</row>
    <row r="93" spans="1:31">
      <c r="A93" s="729"/>
      <c r="B93" s="674"/>
      <c r="C93" s="674"/>
      <c r="D93" s="674"/>
      <c r="E93" s="674"/>
      <c r="F93" s="674"/>
      <c r="G93" s="674"/>
      <c r="H93" s="674"/>
      <c r="I93" s="674"/>
      <c r="J93" s="674"/>
      <c r="K93" s="674"/>
      <c r="L93" s="674"/>
      <c r="M93" s="674"/>
      <c r="N93" s="674"/>
      <c r="O93" s="674"/>
      <c r="P93" s="674"/>
      <c r="Q93" s="729"/>
      <c r="R93" s="729"/>
      <c r="S93" s="729"/>
      <c r="T93" s="729"/>
      <c r="U93" s="729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</row>
    <row r="94" spans="1:31">
      <c r="A94" s="729"/>
      <c r="B94" s="253" t="s">
        <v>690</v>
      </c>
      <c r="C94" s="674"/>
      <c r="D94" s="674"/>
      <c r="E94" s="674"/>
      <c r="F94" s="674"/>
      <c r="G94" s="253" t="s">
        <v>730</v>
      </c>
      <c r="H94" s="253" t="s">
        <v>731</v>
      </c>
      <c r="I94" s="253" t="s">
        <v>732</v>
      </c>
      <c r="J94" s="253" t="s">
        <v>733</v>
      </c>
      <c r="K94" s="674"/>
      <c r="L94" s="253" t="s">
        <v>734</v>
      </c>
      <c r="M94" s="253" t="s">
        <v>735</v>
      </c>
      <c r="N94" s="253" t="s">
        <v>736</v>
      </c>
      <c r="O94" s="253" t="s">
        <v>733</v>
      </c>
      <c r="P94" s="674"/>
      <c r="Q94" s="729"/>
      <c r="R94" s="729"/>
      <c r="S94" s="729"/>
      <c r="T94" s="729"/>
      <c r="U94" s="729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</row>
    <row r="95" spans="1:31">
      <c r="A95" s="729"/>
      <c r="B95" s="674" t="s">
        <v>338</v>
      </c>
      <c r="C95" s="852">
        <f>Inputs!$C$6</f>
        <v>3690</v>
      </c>
      <c r="D95" s="674" t="s">
        <v>691</v>
      </c>
      <c r="E95" s="674" t="s">
        <v>737</v>
      </c>
      <c r="F95" s="674"/>
      <c r="G95" s="674" t="s">
        <v>738</v>
      </c>
      <c r="H95" s="826">
        <v>13569</v>
      </c>
      <c r="I95" s="379">
        <v>0.95</v>
      </c>
      <c r="J95" s="674" t="s">
        <v>739</v>
      </c>
      <c r="K95" s="674"/>
      <c r="L95" s="674" t="s">
        <v>740</v>
      </c>
      <c r="M95" s="826">
        <v>16200000</v>
      </c>
      <c r="N95" s="674" t="s">
        <v>140</v>
      </c>
      <c r="O95" s="674" t="s">
        <v>741</v>
      </c>
      <c r="P95" s="674"/>
      <c r="Q95" s="729"/>
      <c r="R95" s="729"/>
      <c r="S95" s="729"/>
      <c r="T95" s="729"/>
      <c r="U95" s="72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</row>
    <row r="96" spans="1:31">
      <c r="A96" s="729"/>
      <c r="B96" s="674" t="s">
        <v>742</v>
      </c>
      <c r="C96" s="379">
        <v>0.95</v>
      </c>
      <c r="D96" s="674" t="s">
        <v>291</v>
      </c>
      <c r="E96" s="674" t="s">
        <v>743</v>
      </c>
      <c r="F96" s="674"/>
      <c r="G96" s="674" t="s">
        <v>744</v>
      </c>
      <c r="H96" s="826">
        <v>17504</v>
      </c>
      <c r="I96" s="379">
        <v>0.95</v>
      </c>
      <c r="J96" s="674" t="s">
        <v>739</v>
      </c>
      <c r="K96" s="674"/>
      <c r="L96" s="674" t="s">
        <v>745</v>
      </c>
      <c r="M96" s="826">
        <v>54000000</v>
      </c>
      <c r="N96" s="674" t="s">
        <v>140</v>
      </c>
      <c r="O96" s="674" t="s">
        <v>746</v>
      </c>
      <c r="P96" s="674"/>
      <c r="Q96" s="729"/>
      <c r="R96" s="729"/>
      <c r="S96" s="729"/>
      <c r="T96" s="729"/>
      <c r="U96" s="72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</row>
    <row r="97" spans="1:31">
      <c r="A97" s="729"/>
      <c r="B97" s="674" t="s">
        <v>747</v>
      </c>
      <c r="C97" s="379">
        <v>0.3</v>
      </c>
      <c r="D97" s="674" t="s">
        <v>291</v>
      </c>
      <c r="E97" s="674" t="s">
        <v>748</v>
      </c>
      <c r="F97" s="674"/>
      <c r="G97" s="674" t="s">
        <v>749</v>
      </c>
      <c r="H97" s="826">
        <v>58173</v>
      </c>
      <c r="I97" s="379">
        <v>0.3</v>
      </c>
      <c r="J97" s="674" t="s">
        <v>750</v>
      </c>
      <c r="K97" s="674"/>
      <c r="L97" s="674" t="s">
        <v>751</v>
      </c>
      <c r="M97" s="826">
        <v>85000000</v>
      </c>
      <c r="N97" s="674" t="s">
        <v>140</v>
      </c>
      <c r="O97" s="674" t="s">
        <v>752</v>
      </c>
      <c r="P97" s="674"/>
      <c r="Q97" s="729"/>
      <c r="R97" s="729"/>
      <c r="S97" s="729"/>
      <c r="T97" s="729"/>
      <c r="U97" s="729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</row>
    <row r="98" spans="1:31">
      <c r="A98" s="729"/>
      <c r="B98" s="674" t="s">
        <v>753</v>
      </c>
      <c r="C98" s="379">
        <v>0.3</v>
      </c>
      <c r="D98" s="674" t="s">
        <v>291</v>
      </c>
      <c r="E98" s="674" t="s">
        <v>754</v>
      </c>
      <c r="F98" s="674"/>
      <c r="G98" s="674" t="s">
        <v>755</v>
      </c>
      <c r="H98" s="826">
        <v>87624</v>
      </c>
      <c r="I98" s="379">
        <v>0.3</v>
      </c>
      <c r="J98" s="674" t="s">
        <v>750</v>
      </c>
      <c r="K98" s="674"/>
      <c r="L98" s="674" t="s">
        <v>756</v>
      </c>
      <c r="M98" s="826">
        <v>191000000</v>
      </c>
      <c r="N98" s="674" t="s">
        <v>140</v>
      </c>
      <c r="O98" s="674" t="s">
        <v>757</v>
      </c>
      <c r="P98" s="674"/>
      <c r="Q98" s="729"/>
      <c r="R98" s="729"/>
      <c r="S98" s="729"/>
      <c r="T98" s="729"/>
      <c r="U98" s="729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</row>
    <row r="99" spans="1:31">
      <c r="A99" s="729"/>
      <c r="B99" s="674" t="s">
        <v>758</v>
      </c>
      <c r="C99" s="826">
        <v>108666880</v>
      </c>
      <c r="D99" s="674" t="s">
        <v>140</v>
      </c>
      <c r="E99" s="674"/>
      <c r="F99" s="674"/>
      <c r="G99" s="674" t="s">
        <v>759</v>
      </c>
      <c r="H99" s="826">
        <v>140577</v>
      </c>
      <c r="I99" s="379">
        <v>0.3</v>
      </c>
      <c r="J99" s="674" t="s">
        <v>760</v>
      </c>
      <c r="K99" s="674"/>
      <c r="L99" s="674" t="s">
        <v>761</v>
      </c>
      <c r="M99" s="826">
        <v>612247701</v>
      </c>
      <c r="N99" s="674" t="s">
        <v>140</v>
      </c>
      <c r="O99" s="674" t="s">
        <v>762</v>
      </c>
      <c r="P99" s="674"/>
      <c r="Q99" s="729"/>
      <c r="R99" s="729"/>
      <c r="S99" s="729"/>
      <c r="T99" s="729"/>
      <c r="U99" s="729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</row>
    <row r="100" spans="1:31">
      <c r="A100" s="729"/>
      <c r="B100" s="674" t="s">
        <v>763</v>
      </c>
      <c r="C100" s="826">
        <v>787041187</v>
      </c>
      <c r="D100" s="674" t="s">
        <v>140</v>
      </c>
      <c r="E100" s="674"/>
      <c r="F100" s="674"/>
      <c r="G100" s="674" t="s">
        <v>764</v>
      </c>
      <c r="H100" s="826">
        <v>171076</v>
      </c>
      <c r="I100" s="379">
        <v>0.3</v>
      </c>
      <c r="J100" s="674" t="s">
        <v>760</v>
      </c>
      <c r="K100" s="674"/>
      <c r="L100" s="674" t="s">
        <v>765</v>
      </c>
      <c r="M100" s="826">
        <v>744218137</v>
      </c>
      <c r="N100" s="674" t="s">
        <v>140</v>
      </c>
      <c r="O100" s="674" t="s">
        <v>762</v>
      </c>
      <c r="P100" s="674"/>
      <c r="Q100" s="729"/>
      <c r="R100" s="729"/>
      <c r="S100" s="729"/>
      <c r="T100" s="729"/>
      <c r="U100" s="729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</row>
    <row r="101" spans="1:31">
      <c r="A101" s="729"/>
      <c r="B101" s="674" t="s">
        <v>766</v>
      </c>
      <c r="C101" s="826">
        <v>678374307</v>
      </c>
      <c r="D101" s="674" t="s">
        <v>140</v>
      </c>
      <c r="E101" s="674"/>
      <c r="F101" s="674"/>
      <c r="G101" s="674" t="s">
        <v>767</v>
      </c>
      <c r="H101" s="826">
        <v>3567</v>
      </c>
      <c r="I101" s="379">
        <v>0.95</v>
      </c>
      <c r="J101" s="674" t="s">
        <v>739</v>
      </c>
      <c r="K101" s="674"/>
      <c r="L101" s="674"/>
      <c r="M101" s="674"/>
      <c r="N101" s="674"/>
      <c r="O101" s="674"/>
      <c r="P101" s="674"/>
      <c r="Q101" s="729"/>
      <c r="R101" s="729"/>
      <c r="S101" s="729"/>
      <c r="T101" s="729"/>
      <c r="U101" s="72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</row>
    <row r="102" spans="1:31">
      <c r="A102" s="729"/>
      <c r="B102" s="674"/>
      <c r="C102" s="674"/>
      <c r="D102" s="674"/>
      <c r="E102" s="674"/>
      <c r="F102" s="674"/>
      <c r="G102" s="674" t="s">
        <v>768</v>
      </c>
      <c r="H102" s="826">
        <v>3125</v>
      </c>
      <c r="I102" s="379">
        <v>0.95</v>
      </c>
      <c r="J102" s="674" t="s">
        <v>739</v>
      </c>
      <c r="K102" s="674"/>
      <c r="L102" s="674"/>
      <c r="M102" s="674"/>
      <c r="N102" s="674"/>
      <c r="O102" s="674"/>
      <c r="P102" s="674"/>
      <c r="Q102" s="729"/>
      <c r="R102" s="729"/>
      <c r="S102" s="729"/>
      <c r="T102" s="729"/>
      <c r="U102" s="729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</row>
    <row r="103" spans="1:31">
      <c r="A103" s="729"/>
      <c r="B103" s="674"/>
      <c r="C103" s="674"/>
      <c r="D103" s="674"/>
      <c r="E103" s="674"/>
      <c r="F103" s="674"/>
      <c r="G103" s="674" t="s">
        <v>769</v>
      </c>
      <c r="H103" s="826">
        <v>1500</v>
      </c>
      <c r="I103" s="379">
        <v>0.3</v>
      </c>
      <c r="J103" s="674" t="s">
        <v>750</v>
      </c>
      <c r="K103" s="674"/>
      <c r="L103" s="674"/>
      <c r="M103" s="674"/>
      <c r="N103" s="674"/>
      <c r="O103" s="674"/>
      <c r="P103" s="674"/>
      <c r="Q103" s="729"/>
      <c r="R103" s="729"/>
      <c r="S103" s="729"/>
      <c r="T103" s="729"/>
      <c r="U103" s="72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</row>
    <row r="104" spans="1:31">
      <c r="A104" s="729"/>
      <c r="B104" s="674"/>
      <c r="C104" s="674"/>
      <c r="D104" s="674"/>
      <c r="E104" s="674"/>
      <c r="F104" s="674"/>
      <c r="G104" s="674" t="s">
        <v>770</v>
      </c>
      <c r="H104" s="826">
        <v>0</v>
      </c>
      <c r="I104" s="379">
        <v>0.3</v>
      </c>
      <c r="J104" s="674" t="s">
        <v>750</v>
      </c>
      <c r="K104" s="674"/>
      <c r="L104" s="674"/>
      <c r="M104" s="674"/>
      <c r="N104" s="674"/>
      <c r="O104" s="674"/>
      <c r="P104" s="674"/>
      <c r="Q104" s="729"/>
      <c r="R104" s="729"/>
      <c r="S104" s="729"/>
      <c r="T104" s="729"/>
      <c r="U104" s="729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</row>
    <row r="105" spans="1:31">
      <c r="A105" s="729"/>
      <c r="B105" s="674"/>
      <c r="C105" s="674"/>
      <c r="D105" s="674"/>
      <c r="E105" s="674"/>
      <c r="F105" s="674"/>
      <c r="G105" s="674" t="s">
        <v>771</v>
      </c>
      <c r="H105" s="826">
        <v>0</v>
      </c>
      <c r="I105" s="857" t="s">
        <v>772</v>
      </c>
      <c r="J105" s="674" t="s">
        <v>773</v>
      </c>
      <c r="K105" s="674"/>
      <c r="L105" s="674"/>
      <c r="M105" s="674"/>
      <c r="N105" s="674"/>
      <c r="O105" s="674"/>
      <c r="P105" s="674"/>
      <c r="Q105" s="729"/>
      <c r="R105" s="729"/>
      <c r="S105" s="729"/>
      <c r="T105" s="729"/>
      <c r="U105" s="729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</row>
    <row r="106" spans="1:31">
      <c r="A106" s="729"/>
      <c r="B106" s="674"/>
      <c r="C106" s="674"/>
      <c r="D106" s="674"/>
      <c r="E106" s="674"/>
      <c r="F106" s="674"/>
      <c r="G106" s="674" t="s">
        <v>774</v>
      </c>
      <c r="H106" s="850">
        <v>0</v>
      </c>
      <c r="I106" s="857" t="s">
        <v>772</v>
      </c>
      <c r="J106" s="674" t="s">
        <v>773</v>
      </c>
      <c r="K106" s="674"/>
      <c r="L106" s="674"/>
      <c r="M106" s="674"/>
      <c r="N106" s="674"/>
      <c r="O106" s="674"/>
      <c r="P106" s="674"/>
      <c r="Q106" s="729"/>
      <c r="R106" s="729"/>
      <c r="S106" s="729"/>
      <c r="T106" s="729"/>
      <c r="U106" s="729"/>
      <c r="V106" s="729"/>
      <c r="W106" s="729"/>
      <c r="X106" s="729"/>
      <c r="Y106" s="729"/>
      <c r="Z106" s="729"/>
      <c r="AA106" s="729"/>
      <c r="AB106" s="729"/>
      <c r="AC106" s="729"/>
      <c r="AD106" s="729"/>
      <c r="AE106" s="729"/>
    </row>
    <row r="107" spans="1:31">
      <c r="A107" s="729"/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674"/>
      <c r="N107" s="674"/>
      <c r="O107" s="674"/>
      <c r="P107" s="674"/>
      <c r="Q107" s="729"/>
      <c r="R107" s="729"/>
      <c r="S107" s="729"/>
      <c r="T107" s="729"/>
      <c r="U107" s="729"/>
      <c r="V107" s="729"/>
      <c r="W107" s="729"/>
      <c r="X107" s="729"/>
      <c r="Y107" s="729"/>
      <c r="Z107" s="729"/>
      <c r="AA107" s="729"/>
      <c r="AB107" s="729"/>
      <c r="AC107" s="729"/>
      <c r="AD107" s="729"/>
      <c r="AE107" s="729"/>
    </row>
    <row r="108" spans="1:31">
      <c r="A108" s="729"/>
      <c r="B108" s="814" t="s">
        <v>775</v>
      </c>
      <c r="C108" s="682"/>
      <c r="D108" s="682"/>
      <c r="E108" s="682"/>
      <c r="F108" s="682"/>
      <c r="G108" s="682"/>
      <c r="H108" s="682"/>
      <c r="I108" s="682"/>
      <c r="J108" s="682"/>
      <c r="K108" s="682"/>
      <c r="L108" s="682"/>
      <c r="M108" s="682"/>
      <c r="N108" s="682"/>
      <c r="O108" s="682"/>
      <c r="P108" s="682"/>
      <c r="Q108" s="729"/>
      <c r="R108" s="729"/>
      <c r="S108" s="729"/>
      <c r="T108" s="729"/>
      <c r="U108" s="729"/>
      <c r="V108" s="729"/>
      <c r="W108" s="729"/>
      <c r="X108" s="729"/>
      <c r="Y108" s="729"/>
      <c r="Z108" s="729"/>
      <c r="AA108" s="729"/>
      <c r="AB108" s="729"/>
      <c r="AC108" s="729"/>
      <c r="AD108" s="729"/>
      <c r="AE108" s="729"/>
    </row>
    <row r="109" spans="1:31">
      <c r="A109" s="729"/>
      <c r="B109" s="255" t="s">
        <v>714</v>
      </c>
      <c r="C109" s="255" t="s">
        <v>675</v>
      </c>
      <c r="D109" s="256" t="s">
        <v>209</v>
      </c>
      <c r="E109" s="409">
        <v>46079</v>
      </c>
      <c r="F109" s="409">
        <v>46107</v>
      </c>
      <c r="G109" s="256" t="s">
        <v>326</v>
      </c>
      <c r="H109" s="409">
        <v>46168</v>
      </c>
      <c r="I109" s="409">
        <v>46199</v>
      </c>
      <c r="J109" s="409">
        <v>46229</v>
      </c>
      <c r="K109" s="256" t="s">
        <v>330</v>
      </c>
      <c r="L109" s="409">
        <v>46291</v>
      </c>
      <c r="M109" s="409">
        <v>46321</v>
      </c>
      <c r="N109" s="409">
        <v>46352</v>
      </c>
      <c r="O109" s="256" t="s">
        <v>334</v>
      </c>
      <c r="P109" s="256" t="s">
        <v>16</v>
      </c>
      <c r="Q109" s="729"/>
      <c r="R109" s="729"/>
      <c r="S109" s="729"/>
      <c r="T109" s="729"/>
      <c r="U109" s="729"/>
      <c r="V109" s="729"/>
      <c r="W109" s="729"/>
      <c r="X109" s="729"/>
      <c r="Y109" s="729"/>
      <c r="Z109" s="729"/>
      <c r="AA109" s="729"/>
      <c r="AB109" s="729"/>
      <c r="AC109" s="729"/>
      <c r="AD109" s="729"/>
      <c r="AE109" s="729"/>
    </row>
    <row r="110" spans="1:31">
      <c r="A110" s="729"/>
      <c r="B110" s="855" t="s">
        <v>715</v>
      </c>
      <c r="C110" s="855" t="s">
        <v>299</v>
      </c>
      <c r="D110" s="819">
        <f>$M$99</f>
        <v>612247701</v>
      </c>
      <c r="E110" s="819">
        <f>$M$100</f>
        <v>744218137</v>
      </c>
      <c r="F110" s="819">
        <f>$C$100</f>
        <v>787041187</v>
      </c>
      <c r="G110" s="826">
        <v>0</v>
      </c>
      <c r="H110" s="826">
        <v>0</v>
      </c>
      <c r="I110" s="826">
        <v>0</v>
      </c>
      <c r="J110" s="826">
        <v>0</v>
      </c>
      <c r="K110" s="826">
        <v>0</v>
      </c>
      <c r="L110" s="826">
        <v>0</v>
      </c>
      <c r="M110" s="826">
        <v>0</v>
      </c>
      <c r="N110" s="826">
        <v>0</v>
      </c>
      <c r="O110" s="826">
        <v>0</v>
      </c>
      <c r="P110" s="819">
        <f t="shared" ref="P110:P122" si="6">SUM(D110:O110)</f>
        <v>2143507025</v>
      </c>
      <c r="Q110" s="729"/>
      <c r="R110" s="729"/>
      <c r="S110" s="729"/>
      <c r="T110" s="729"/>
      <c r="U110" s="729"/>
      <c r="V110" s="729"/>
      <c r="W110" s="729"/>
      <c r="X110" s="729"/>
      <c r="Y110" s="729"/>
      <c r="Z110" s="729"/>
      <c r="AA110" s="729"/>
      <c r="AB110" s="729"/>
      <c r="AC110" s="729"/>
      <c r="AD110" s="729"/>
      <c r="AE110" s="729"/>
    </row>
    <row r="111" spans="1:31">
      <c r="A111" s="729"/>
      <c r="B111" s="257" t="s">
        <v>716</v>
      </c>
      <c r="C111" s="257" t="s">
        <v>776</v>
      </c>
      <c r="D111" s="407">
        <v>0</v>
      </c>
      <c r="E111" s="407">
        <v>0</v>
      </c>
      <c r="F111" s="407">
        <v>0</v>
      </c>
      <c r="G111" s="408">
        <f t="shared" ref="G111:O111" si="7">$C$101</f>
        <v>678374307</v>
      </c>
      <c r="H111" s="408">
        <f t="shared" si="7"/>
        <v>678374307</v>
      </c>
      <c r="I111" s="408">
        <f t="shared" si="7"/>
        <v>678374307</v>
      </c>
      <c r="J111" s="408">
        <f t="shared" si="7"/>
        <v>678374307</v>
      </c>
      <c r="K111" s="408">
        <f t="shared" si="7"/>
        <v>678374307</v>
      </c>
      <c r="L111" s="408">
        <f t="shared" si="7"/>
        <v>678374307</v>
      </c>
      <c r="M111" s="408">
        <f t="shared" si="7"/>
        <v>678374307</v>
      </c>
      <c r="N111" s="408">
        <f t="shared" si="7"/>
        <v>678374307</v>
      </c>
      <c r="O111" s="408">
        <f t="shared" si="7"/>
        <v>678374307</v>
      </c>
      <c r="P111" s="408">
        <f t="shared" si="6"/>
        <v>6105368763</v>
      </c>
      <c r="Q111" s="729"/>
      <c r="R111" s="729"/>
      <c r="S111" s="729"/>
      <c r="T111" s="729"/>
      <c r="U111" s="729"/>
      <c r="V111" s="729"/>
      <c r="W111" s="729"/>
      <c r="X111" s="729"/>
      <c r="Y111" s="729"/>
      <c r="Z111" s="729"/>
      <c r="AA111" s="729"/>
      <c r="AB111" s="729"/>
      <c r="AC111" s="729"/>
      <c r="AD111" s="729"/>
      <c r="AE111" s="729"/>
    </row>
    <row r="112" spans="1:31">
      <c r="A112" s="729"/>
      <c r="B112" s="855" t="s">
        <v>777</v>
      </c>
      <c r="C112" s="855" t="s">
        <v>778</v>
      </c>
      <c r="D112" s="826">
        <v>0</v>
      </c>
      <c r="E112" s="826">
        <v>0</v>
      </c>
      <c r="F112" s="826">
        <v>0</v>
      </c>
      <c r="G112" s="826">
        <v>0</v>
      </c>
      <c r="H112" s="826">
        <v>0</v>
      </c>
      <c r="I112" s="819">
        <f>$C$236*$C$95</f>
        <v>15376230</v>
      </c>
      <c r="J112" s="819">
        <f>$C$237*$C$95</f>
        <v>15376230</v>
      </c>
      <c r="K112" s="819">
        <f>$C$238*$C$95</f>
        <v>450180000</v>
      </c>
      <c r="L112" s="819">
        <f>$C$239*$C$95</f>
        <v>450180000</v>
      </c>
      <c r="M112" s="819">
        <f>$C$240*$C$95</f>
        <v>450180000</v>
      </c>
      <c r="N112" s="819">
        <f>$C$241*$C$95</f>
        <v>450180000</v>
      </c>
      <c r="O112" s="819">
        <f>$C$242*$C$95</f>
        <v>450180000</v>
      </c>
      <c r="P112" s="819">
        <f t="shared" si="6"/>
        <v>2281652460</v>
      </c>
      <c r="Q112" s="729"/>
      <c r="R112" s="729"/>
      <c r="S112" s="729"/>
      <c r="T112" s="729"/>
      <c r="U112" s="729"/>
      <c r="V112" s="729"/>
      <c r="W112" s="729"/>
      <c r="X112" s="729"/>
      <c r="Y112" s="729"/>
      <c r="Z112" s="729"/>
      <c r="AA112" s="729"/>
      <c r="AB112" s="729"/>
      <c r="AC112" s="729"/>
      <c r="AD112" s="729"/>
      <c r="AE112" s="729"/>
    </row>
    <row r="113" spans="1:31">
      <c r="A113" s="729"/>
      <c r="B113" s="855" t="s">
        <v>777</v>
      </c>
      <c r="C113" s="855" t="s">
        <v>779</v>
      </c>
      <c r="D113" s="826">
        <v>0</v>
      </c>
      <c r="E113" s="826">
        <v>0</v>
      </c>
      <c r="F113" s="826">
        <v>0</v>
      </c>
      <c r="G113" s="826">
        <v>0</v>
      </c>
      <c r="H113" s="819">
        <f>$D$235*$C$95</f>
        <v>479700000</v>
      </c>
      <c r="I113" s="826">
        <v>0</v>
      </c>
      <c r="J113" s="826">
        <v>0</v>
      </c>
      <c r="K113" s="826">
        <v>0</v>
      </c>
      <c r="L113" s="826">
        <v>0</v>
      </c>
      <c r="M113" s="826">
        <v>0</v>
      </c>
      <c r="N113" s="826">
        <v>0</v>
      </c>
      <c r="O113" s="826">
        <v>0</v>
      </c>
      <c r="P113" s="819">
        <f t="shared" si="6"/>
        <v>479700000</v>
      </c>
      <c r="Q113" s="729"/>
      <c r="R113" s="729"/>
      <c r="S113" s="729"/>
      <c r="T113" s="729"/>
      <c r="U113" s="729"/>
      <c r="V113" s="729"/>
      <c r="W113" s="729"/>
      <c r="X113" s="729"/>
      <c r="Y113" s="729"/>
      <c r="Z113" s="729"/>
      <c r="AA113" s="729"/>
      <c r="AB113" s="729"/>
      <c r="AC113" s="729"/>
      <c r="AD113" s="729"/>
      <c r="AE113" s="729"/>
    </row>
    <row r="114" spans="1:31">
      <c r="A114" s="729"/>
      <c r="B114" s="855" t="s">
        <v>780</v>
      </c>
      <c r="C114" s="855" t="s">
        <v>781</v>
      </c>
      <c r="D114" s="826">
        <v>0</v>
      </c>
      <c r="E114" s="826">
        <v>0</v>
      </c>
      <c r="F114" s="826">
        <v>0</v>
      </c>
      <c r="G114" s="819">
        <f>$H$95*$I$95*$C$95/3</f>
        <v>15855376.5</v>
      </c>
      <c r="H114" s="819">
        <f>$H$95*$I$95*$C$95/3</f>
        <v>15855376.5</v>
      </c>
      <c r="I114" s="819">
        <f>$H$95*$I$95*$C$95/3</f>
        <v>15855376.5</v>
      </c>
      <c r="J114" s="819">
        <f>$H$97*$I$97*$C$95/3</f>
        <v>21465836.999999996</v>
      </c>
      <c r="K114" s="819">
        <f>$H$97*$I$97*$C$95/3</f>
        <v>21465836.999999996</v>
      </c>
      <c r="L114" s="819">
        <f>$H$97*$I$97*$C$95/3</f>
        <v>21465836.999999996</v>
      </c>
      <c r="M114" s="819">
        <f>$H$99*$I$99*$C$95/3</f>
        <v>51872913</v>
      </c>
      <c r="N114" s="819">
        <f>$H$99*$I$99*$C$95/3</f>
        <v>51872913</v>
      </c>
      <c r="O114" s="819">
        <f>$H$99*$I$99*$C$95/3</f>
        <v>51872913</v>
      </c>
      <c r="P114" s="819">
        <f t="shared" si="6"/>
        <v>267582379.5</v>
      </c>
      <c r="Q114" s="729"/>
      <c r="R114" s="729"/>
      <c r="S114" s="729"/>
      <c r="T114" s="729"/>
      <c r="U114" s="729"/>
      <c r="V114" s="729"/>
      <c r="W114" s="729"/>
      <c r="X114" s="729"/>
      <c r="Y114" s="729"/>
      <c r="Z114" s="729"/>
      <c r="AA114" s="729"/>
      <c r="AB114" s="729"/>
      <c r="AC114" s="729"/>
      <c r="AD114" s="729"/>
      <c r="AE114" s="729"/>
    </row>
    <row r="115" spans="1:31">
      <c r="A115" s="729"/>
      <c r="B115" s="855" t="s">
        <v>780</v>
      </c>
      <c r="C115" s="855" t="s">
        <v>782</v>
      </c>
      <c r="D115" s="826">
        <v>0</v>
      </c>
      <c r="E115" s="826">
        <v>0</v>
      </c>
      <c r="F115" s="826">
        <v>0</v>
      </c>
      <c r="G115" s="819">
        <f>$H$96*$I$96*$C$95/3</f>
        <v>20453424</v>
      </c>
      <c r="H115" s="819">
        <f>$H$96*$I$96*$C$95/3</f>
        <v>20453424</v>
      </c>
      <c r="I115" s="819">
        <f>$H$96*$I$96*$C$95/3</f>
        <v>20453424</v>
      </c>
      <c r="J115" s="819">
        <f>$H$98*$I$98*$C$95/3</f>
        <v>32333256</v>
      </c>
      <c r="K115" s="819">
        <f>$H$98*$I$98*$C$95/3</f>
        <v>32333256</v>
      </c>
      <c r="L115" s="819">
        <f>$H$98*$I$98*$C$95/3</f>
        <v>32333256</v>
      </c>
      <c r="M115" s="819">
        <f>$H$100*$I$100*$C$95/3</f>
        <v>63127043.999999993</v>
      </c>
      <c r="N115" s="819">
        <f>$H$100*$I$100*$C$95/3</f>
        <v>63127043.999999993</v>
      </c>
      <c r="O115" s="819">
        <f>$H$100*$I$100*$C$95/3</f>
        <v>63127043.999999993</v>
      </c>
      <c r="P115" s="819">
        <f t="shared" si="6"/>
        <v>347741172</v>
      </c>
      <c r="Q115" s="729"/>
      <c r="R115" s="729"/>
      <c r="S115" s="729"/>
      <c r="T115" s="729"/>
      <c r="U115" s="729"/>
      <c r="V115" s="729"/>
      <c r="W115" s="729"/>
      <c r="X115" s="729"/>
      <c r="Y115" s="729"/>
      <c r="Z115" s="729"/>
      <c r="AA115" s="729"/>
      <c r="AB115" s="729"/>
      <c r="AC115" s="729"/>
      <c r="AD115" s="729"/>
      <c r="AE115" s="729"/>
    </row>
    <row r="116" spans="1:31">
      <c r="A116" s="729"/>
      <c r="B116" s="855" t="s">
        <v>783</v>
      </c>
      <c r="C116" s="855" t="s">
        <v>784</v>
      </c>
      <c r="D116" s="826">
        <v>0</v>
      </c>
      <c r="E116" s="826">
        <v>0</v>
      </c>
      <c r="F116" s="826">
        <v>0</v>
      </c>
      <c r="G116" s="819">
        <f>$H$101*$I$101*$C$95/3</f>
        <v>4168039.4999999995</v>
      </c>
      <c r="H116" s="819">
        <f>$H$101*$I$101*$C$95/3</f>
        <v>4168039.4999999995</v>
      </c>
      <c r="I116" s="819">
        <f>$H$101*$I$101*$C$95/3</f>
        <v>4168039.4999999995</v>
      </c>
      <c r="J116" s="819">
        <f>$H$103*$I$103*$C$95/3</f>
        <v>553500</v>
      </c>
      <c r="K116" s="819">
        <f>$H$103*$I$103*$C$95/3</f>
        <v>553500</v>
      </c>
      <c r="L116" s="819">
        <f>$H$103*$I$103*$C$95/3</f>
        <v>553500</v>
      </c>
      <c r="M116" s="826">
        <v>0</v>
      </c>
      <c r="N116" s="826">
        <v>0</v>
      </c>
      <c r="O116" s="826">
        <v>0</v>
      </c>
      <c r="P116" s="819">
        <f t="shared" si="6"/>
        <v>14164618.499999998</v>
      </c>
      <c r="Q116" s="729"/>
      <c r="R116" s="729"/>
      <c r="S116" s="729"/>
      <c r="T116" s="729"/>
      <c r="U116" s="729"/>
      <c r="V116" s="729"/>
      <c r="W116" s="729"/>
      <c r="X116" s="729"/>
      <c r="Y116" s="729"/>
      <c r="Z116" s="729"/>
      <c r="AA116" s="729"/>
      <c r="AB116" s="729"/>
      <c r="AC116" s="729"/>
      <c r="AD116" s="729"/>
      <c r="AE116" s="729"/>
    </row>
    <row r="117" spans="1:31">
      <c r="A117" s="729"/>
      <c r="B117" s="855" t="s">
        <v>783</v>
      </c>
      <c r="C117" s="855" t="s">
        <v>785</v>
      </c>
      <c r="D117" s="826">
        <v>0</v>
      </c>
      <c r="E117" s="826">
        <v>0</v>
      </c>
      <c r="F117" s="826">
        <v>0</v>
      </c>
      <c r="G117" s="819">
        <f>$H$102*$I$102*$C$95/3</f>
        <v>3651562.5</v>
      </c>
      <c r="H117" s="819">
        <f>$H$102*$I$102*$C$95/3</f>
        <v>3651562.5</v>
      </c>
      <c r="I117" s="819">
        <f>$H$102*$I$102*$C$95/3</f>
        <v>3651562.5</v>
      </c>
      <c r="J117" s="819">
        <f>$H$104*$I$104*$C$95/3</f>
        <v>0</v>
      </c>
      <c r="K117" s="819">
        <f>$H$104*$I$104*$C$95/3</f>
        <v>0</v>
      </c>
      <c r="L117" s="819">
        <f>$H$104*$I$104*$C$95/3</f>
        <v>0</v>
      </c>
      <c r="M117" s="826">
        <v>0</v>
      </c>
      <c r="N117" s="826">
        <v>0</v>
      </c>
      <c r="O117" s="826">
        <v>0</v>
      </c>
      <c r="P117" s="819">
        <f t="shared" si="6"/>
        <v>10954687.5</v>
      </c>
      <c r="Q117" s="729"/>
      <c r="R117" s="729"/>
      <c r="S117" s="729"/>
      <c r="T117" s="729"/>
      <c r="U117" s="729"/>
      <c r="V117" s="729"/>
      <c r="W117" s="729"/>
      <c r="X117" s="729"/>
      <c r="Y117" s="729"/>
      <c r="Z117" s="729"/>
      <c r="AA117" s="729"/>
      <c r="AB117" s="729"/>
      <c r="AC117" s="729"/>
      <c r="AD117" s="729"/>
      <c r="AE117" s="729"/>
    </row>
    <row r="118" spans="1:31">
      <c r="A118" s="729"/>
      <c r="B118" s="855" t="s">
        <v>786</v>
      </c>
      <c r="C118" s="855" t="s">
        <v>787</v>
      </c>
      <c r="D118" s="826">
        <v>0</v>
      </c>
      <c r="E118" s="826">
        <v>0</v>
      </c>
      <c r="F118" s="826">
        <v>0</v>
      </c>
      <c r="G118" s="826">
        <v>0</v>
      </c>
      <c r="H118" s="826">
        <v>0</v>
      </c>
      <c r="I118" s="826">
        <v>0</v>
      </c>
      <c r="J118" s="826">
        <v>0</v>
      </c>
      <c r="K118" s="826">
        <v>0</v>
      </c>
      <c r="L118" s="826">
        <v>0</v>
      </c>
      <c r="M118" s="826">
        <v>0</v>
      </c>
      <c r="N118" s="826">
        <v>0</v>
      </c>
      <c r="O118" s="826">
        <v>0</v>
      </c>
      <c r="P118" s="819">
        <f t="shared" si="6"/>
        <v>0</v>
      </c>
      <c r="Q118" s="729"/>
      <c r="R118" s="729"/>
      <c r="S118" s="729"/>
      <c r="T118" s="729"/>
      <c r="U118" s="729"/>
      <c r="V118" s="729"/>
      <c r="W118" s="729"/>
      <c r="X118" s="729"/>
      <c r="Y118" s="729"/>
      <c r="Z118" s="729"/>
      <c r="AA118" s="729"/>
      <c r="AB118" s="729"/>
      <c r="AC118" s="729"/>
      <c r="AD118" s="729"/>
      <c r="AE118" s="729"/>
    </row>
    <row r="119" spans="1:31">
      <c r="A119" s="729"/>
      <c r="B119" s="855" t="s">
        <v>786</v>
      </c>
      <c r="C119" s="855" t="s">
        <v>788</v>
      </c>
      <c r="D119" s="826">
        <v>0</v>
      </c>
      <c r="E119" s="826">
        <v>0</v>
      </c>
      <c r="F119" s="826">
        <v>0</v>
      </c>
      <c r="G119" s="826">
        <v>0</v>
      </c>
      <c r="H119" s="826">
        <v>0</v>
      </c>
      <c r="I119" s="826">
        <v>0</v>
      </c>
      <c r="J119" s="826">
        <v>0</v>
      </c>
      <c r="K119" s="826">
        <v>0</v>
      </c>
      <c r="L119" s="826">
        <v>0</v>
      </c>
      <c r="M119" s="826">
        <v>0</v>
      </c>
      <c r="N119" s="826">
        <v>0</v>
      </c>
      <c r="O119" s="826">
        <v>0</v>
      </c>
      <c r="P119" s="819">
        <f t="shared" si="6"/>
        <v>0</v>
      </c>
      <c r="Q119" s="729"/>
      <c r="R119" s="729"/>
      <c r="S119" s="729"/>
      <c r="T119" s="729"/>
      <c r="U119" s="729"/>
      <c r="V119" s="729"/>
      <c r="W119" s="729"/>
      <c r="X119" s="729"/>
      <c r="Y119" s="729"/>
      <c r="Z119" s="729"/>
      <c r="AA119" s="729"/>
      <c r="AB119" s="729"/>
      <c r="AC119" s="729"/>
      <c r="AD119" s="729"/>
      <c r="AE119" s="729"/>
    </row>
    <row r="120" spans="1:31">
      <c r="A120" s="729"/>
      <c r="B120" s="855" t="s">
        <v>140</v>
      </c>
      <c r="C120" s="855" t="s">
        <v>789</v>
      </c>
      <c r="D120" s="826">
        <v>0</v>
      </c>
      <c r="E120" s="826">
        <v>0</v>
      </c>
      <c r="F120" s="826">
        <v>0</v>
      </c>
      <c r="G120" s="826">
        <v>0</v>
      </c>
      <c r="H120" s="819">
        <f t="shared" ref="H120:N120" si="8">$M$95+(COLUMN()-COLUMN($H$120))*($M$96-$M$95)/7</f>
        <v>16200000</v>
      </c>
      <c r="I120" s="819">
        <f t="shared" si="8"/>
        <v>21600000</v>
      </c>
      <c r="J120" s="819">
        <f t="shared" si="8"/>
        <v>27000000</v>
      </c>
      <c r="K120" s="819">
        <f t="shared" si="8"/>
        <v>32400000</v>
      </c>
      <c r="L120" s="819">
        <f t="shared" si="8"/>
        <v>37800000</v>
      </c>
      <c r="M120" s="819">
        <f t="shared" si="8"/>
        <v>43200000</v>
      </c>
      <c r="N120" s="819">
        <f t="shared" si="8"/>
        <v>48600000</v>
      </c>
      <c r="O120" s="819">
        <f>$M$96</f>
        <v>54000000</v>
      </c>
      <c r="P120" s="819">
        <f t="shared" si="6"/>
        <v>280800000</v>
      </c>
      <c r="Q120" s="729"/>
      <c r="R120" s="729"/>
      <c r="S120" s="729"/>
      <c r="T120" s="729"/>
      <c r="U120" s="729"/>
      <c r="V120" s="729"/>
      <c r="W120" s="729"/>
      <c r="X120" s="729"/>
      <c r="Y120" s="729"/>
      <c r="Z120" s="729"/>
      <c r="AA120" s="729"/>
      <c r="AB120" s="729"/>
      <c r="AC120" s="729"/>
      <c r="AD120" s="729"/>
      <c r="AE120" s="729"/>
    </row>
    <row r="121" spans="1:31">
      <c r="A121" s="729"/>
      <c r="B121" s="855" t="s">
        <v>140</v>
      </c>
      <c r="C121" s="855" t="s">
        <v>790</v>
      </c>
      <c r="D121" s="826">
        <v>0</v>
      </c>
      <c r="E121" s="826">
        <v>0</v>
      </c>
      <c r="F121" s="826">
        <v>0</v>
      </c>
      <c r="G121" s="826">
        <v>0</v>
      </c>
      <c r="H121" s="826">
        <v>0</v>
      </c>
      <c r="I121" s="826">
        <v>0</v>
      </c>
      <c r="J121" s="819">
        <f>$M$97/3</f>
        <v>28333333.333333332</v>
      </c>
      <c r="K121" s="819">
        <f>$M$97/3</f>
        <v>28333333.333333332</v>
      </c>
      <c r="L121" s="819">
        <f>$M$97/3</f>
        <v>28333333.333333332</v>
      </c>
      <c r="M121" s="819">
        <f>$M$98/3</f>
        <v>63666666.666666664</v>
      </c>
      <c r="N121" s="819">
        <f>$M$98/3</f>
        <v>63666666.666666664</v>
      </c>
      <c r="O121" s="819">
        <f>$M$98/3</f>
        <v>63666666.666666664</v>
      </c>
      <c r="P121" s="819">
        <f t="shared" si="6"/>
        <v>276000000</v>
      </c>
      <c r="Q121" s="729"/>
      <c r="R121" s="729"/>
      <c r="S121" s="729"/>
      <c r="T121" s="729"/>
      <c r="U121" s="729"/>
      <c r="V121" s="729"/>
      <c r="W121" s="729"/>
      <c r="X121" s="729"/>
      <c r="Y121" s="729"/>
      <c r="Z121" s="729"/>
      <c r="AA121" s="729"/>
      <c r="AB121" s="729"/>
      <c r="AC121" s="729"/>
      <c r="AD121" s="729"/>
      <c r="AE121" s="729"/>
    </row>
    <row r="122" spans="1:31">
      <c r="A122" s="729"/>
      <c r="B122" s="569" t="s">
        <v>726</v>
      </c>
      <c r="C122" s="569" t="s">
        <v>727</v>
      </c>
      <c r="D122" s="568">
        <f t="shared" ref="D122:O122" si="9">SUM(D110:D121)</f>
        <v>612247701</v>
      </c>
      <c r="E122" s="568">
        <f t="shared" si="9"/>
        <v>744218137</v>
      </c>
      <c r="F122" s="568">
        <f t="shared" si="9"/>
        <v>787041187</v>
      </c>
      <c r="G122" s="568">
        <f t="shared" si="9"/>
        <v>722502709.5</v>
      </c>
      <c r="H122" s="568">
        <f t="shared" si="9"/>
        <v>1218402709.5</v>
      </c>
      <c r="I122" s="568">
        <f t="shared" si="9"/>
        <v>759478939.5</v>
      </c>
      <c r="J122" s="568">
        <f t="shared" si="9"/>
        <v>803436463.33333337</v>
      </c>
      <c r="K122" s="568">
        <f t="shared" si="9"/>
        <v>1243640233.3333333</v>
      </c>
      <c r="L122" s="568">
        <f t="shared" si="9"/>
        <v>1249040233.3333333</v>
      </c>
      <c r="M122" s="568">
        <f t="shared" si="9"/>
        <v>1350420930.6666667</v>
      </c>
      <c r="N122" s="568">
        <f t="shared" si="9"/>
        <v>1355820930.6666667</v>
      </c>
      <c r="O122" s="568">
        <f t="shared" si="9"/>
        <v>1361220930.6666667</v>
      </c>
      <c r="P122" s="568">
        <f t="shared" si="6"/>
        <v>12207471105.499998</v>
      </c>
      <c r="Q122" s="729"/>
      <c r="R122" s="729"/>
      <c r="S122" s="729"/>
      <c r="T122" s="729"/>
      <c r="U122" s="729"/>
      <c r="V122" s="729"/>
      <c r="W122" s="729"/>
      <c r="X122" s="729"/>
      <c r="Y122" s="729"/>
      <c r="Z122" s="729"/>
      <c r="AA122" s="729"/>
      <c r="AB122" s="729"/>
      <c r="AC122" s="729"/>
      <c r="AD122" s="729"/>
      <c r="AE122" s="729"/>
    </row>
    <row r="123" spans="1:31">
      <c r="A123" s="729"/>
      <c r="B123" s="855"/>
      <c r="C123" s="855"/>
      <c r="D123" s="855"/>
      <c r="E123" s="855"/>
      <c r="F123" s="855"/>
      <c r="G123" s="855"/>
      <c r="H123" s="855"/>
      <c r="I123" s="855"/>
      <c r="J123" s="855"/>
      <c r="K123" s="855"/>
      <c r="L123" s="855"/>
      <c r="M123" s="855"/>
      <c r="N123" s="855"/>
      <c r="O123" s="855"/>
      <c r="P123" s="855"/>
      <c r="Q123" s="729"/>
      <c r="R123" s="729"/>
      <c r="S123" s="729"/>
      <c r="T123" s="729"/>
      <c r="U123" s="729"/>
      <c r="V123" s="729"/>
      <c r="W123" s="729"/>
      <c r="X123" s="729"/>
      <c r="Y123" s="729"/>
      <c r="Z123" s="729"/>
      <c r="AA123" s="729"/>
      <c r="AB123" s="729"/>
      <c r="AC123" s="729"/>
      <c r="AD123" s="729"/>
      <c r="AE123" s="729"/>
    </row>
    <row r="124" spans="1:31">
      <c r="A124" s="729"/>
      <c r="B124" s="855"/>
      <c r="C124" s="855"/>
      <c r="D124" s="855"/>
      <c r="E124" s="855"/>
      <c r="F124" s="855"/>
      <c r="G124" s="855"/>
      <c r="H124" s="855"/>
      <c r="I124" s="855"/>
      <c r="J124" s="855"/>
      <c r="K124" s="855"/>
      <c r="L124" s="855"/>
      <c r="M124" s="855"/>
      <c r="N124" s="855"/>
      <c r="O124" s="855"/>
      <c r="P124" s="855"/>
      <c r="Q124" s="729"/>
      <c r="R124" s="729"/>
      <c r="S124" s="729"/>
      <c r="T124" s="729"/>
      <c r="U124" s="729"/>
      <c r="V124" s="729"/>
      <c r="W124" s="729"/>
      <c r="X124" s="729"/>
      <c r="Y124" s="729"/>
      <c r="Z124" s="729"/>
      <c r="AA124" s="729"/>
      <c r="AB124" s="729"/>
      <c r="AC124" s="729"/>
      <c r="AD124" s="729"/>
      <c r="AE124" s="729"/>
    </row>
    <row r="125" spans="1:31">
      <c r="A125" s="729"/>
      <c r="B125" s="855"/>
      <c r="C125" s="855"/>
      <c r="D125" s="855"/>
      <c r="E125" s="855"/>
      <c r="F125" s="855"/>
      <c r="G125" s="855"/>
      <c r="H125" s="855"/>
      <c r="I125" s="855"/>
      <c r="J125" s="855"/>
      <c r="K125" s="855"/>
      <c r="L125" s="855"/>
      <c r="M125" s="855"/>
      <c r="N125" s="855"/>
      <c r="O125" s="855"/>
      <c r="P125" s="855"/>
      <c r="Q125" s="729"/>
      <c r="R125" s="729"/>
      <c r="S125" s="729"/>
      <c r="T125" s="729"/>
      <c r="U125" s="729"/>
      <c r="V125" s="729"/>
      <c r="W125" s="729"/>
      <c r="X125" s="729"/>
      <c r="Y125" s="729"/>
      <c r="Z125" s="729"/>
      <c r="AA125" s="729"/>
      <c r="AB125" s="729"/>
      <c r="AC125" s="729"/>
      <c r="AD125" s="729"/>
      <c r="AE125" s="729"/>
    </row>
    <row r="126" spans="1:31">
      <c r="A126" s="729"/>
      <c r="B126" s="814" t="s">
        <v>791</v>
      </c>
      <c r="C126" s="682"/>
      <c r="D126" s="682"/>
      <c r="E126" s="682"/>
      <c r="F126" s="682"/>
      <c r="G126" s="682"/>
      <c r="H126" s="682"/>
      <c r="I126" s="682"/>
      <c r="J126" s="682"/>
      <c r="K126" s="682"/>
      <c r="L126" s="682"/>
      <c r="M126" s="682"/>
      <c r="N126" s="682"/>
      <c r="O126" s="682"/>
      <c r="P126" s="682"/>
      <c r="Q126" s="729"/>
      <c r="R126" s="729"/>
      <c r="S126" s="729"/>
      <c r="T126" s="729"/>
      <c r="U126" s="729"/>
      <c r="V126" s="729"/>
      <c r="W126" s="729"/>
      <c r="X126" s="729"/>
      <c r="Y126" s="729"/>
      <c r="Z126" s="729"/>
      <c r="AA126" s="729"/>
      <c r="AB126" s="729"/>
      <c r="AC126" s="729"/>
      <c r="AD126" s="729"/>
      <c r="AE126" s="729"/>
    </row>
    <row r="127" spans="1:31">
      <c r="A127" s="729"/>
      <c r="B127" s="255" t="s">
        <v>714</v>
      </c>
      <c r="C127" s="255" t="s">
        <v>675</v>
      </c>
      <c r="D127" s="256" t="s">
        <v>209</v>
      </c>
      <c r="E127" s="409">
        <v>46079</v>
      </c>
      <c r="F127" s="409">
        <v>46107</v>
      </c>
      <c r="G127" s="256" t="s">
        <v>326</v>
      </c>
      <c r="H127" s="409">
        <v>46168</v>
      </c>
      <c r="I127" s="409">
        <v>46199</v>
      </c>
      <c r="J127" s="409">
        <v>46229</v>
      </c>
      <c r="K127" s="256" t="s">
        <v>330</v>
      </c>
      <c r="L127" s="409">
        <v>46291</v>
      </c>
      <c r="M127" s="409">
        <v>46321</v>
      </c>
      <c r="N127" s="409">
        <v>46352</v>
      </c>
      <c r="O127" s="256" t="s">
        <v>334</v>
      </c>
      <c r="P127" s="256" t="s">
        <v>16</v>
      </c>
      <c r="Q127" s="729"/>
      <c r="R127" s="729"/>
      <c r="S127" s="729"/>
      <c r="T127" s="729"/>
      <c r="U127" s="729"/>
      <c r="V127" s="729"/>
      <c r="W127" s="729"/>
      <c r="X127" s="729"/>
      <c r="Y127" s="729"/>
      <c r="Z127" s="729"/>
      <c r="AA127" s="729"/>
      <c r="AB127" s="729"/>
      <c r="AC127" s="729"/>
      <c r="AD127" s="729"/>
      <c r="AE127" s="729"/>
    </row>
    <row r="128" spans="1:31">
      <c r="A128" s="729"/>
      <c r="B128" s="259"/>
      <c r="C128" s="259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729"/>
      <c r="R128" s="729"/>
      <c r="S128" s="729"/>
      <c r="T128" s="729"/>
      <c r="U128" s="729"/>
      <c r="V128" s="729"/>
      <c r="W128" s="729"/>
      <c r="X128" s="729"/>
      <c r="Y128" s="729"/>
      <c r="Z128" s="729"/>
      <c r="AA128" s="729"/>
      <c r="AB128" s="729"/>
      <c r="AC128" s="729"/>
      <c r="AD128" s="729"/>
      <c r="AE128" s="729"/>
    </row>
    <row r="129" spans="1:31">
      <c r="A129" s="729"/>
      <c r="B129" s="257"/>
      <c r="C129" s="257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729"/>
      <c r="R129" s="729"/>
      <c r="S129" s="729"/>
      <c r="T129" s="729"/>
      <c r="U129" s="729"/>
      <c r="V129" s="729"/>
      <c r="W129" s="729"/>
      <c r="X129" s="729"/>
      <c r="Y129" s="729"/>
      <c r="Z129" s="729"/>
      <c r="AA129" s="729"/>
      <c r="AB129" s="729"/>
      <c r="AC129" s="729"/>
      <c r="AD129" s="729"/>
      <c r="AE129" s="729"/>
    </row>
    <row r="130" spans="1:31">
      <c r="A130" s="729"/>
      <c r="B130" s="855"/>
      <c r="C130" s="855"/>
      <c r="D130" s="856"/>
      <c r="E130" s="856"/>
      <c r="F130" s="856"/>
      <c r="G130" s="856"/>
      <c r="H130" s="856"/>
      <c r="I130" s="856"/>
      <c r="J130" s="856"/>
      <c r="K130" s="856"/>
      <c r="L130" s="856"/>
      <c r="M130" s="856"/>
      <c r="N130" s="856"/>
      <c r="O130" s="856"/>
      <c r="P130" s="856"/>
      <c r="Q130" s="729"/>
      <c r="R130" s="729"/>
      <c r="S130" s="729"/>
      <c r="T130" s="729"/>
      <c r="U130" s="729"/>
      <c r="V130" s="729"/>
      <c r="W130" s="729"/>
      <c r="X130" s="729"/>
      <c r="Y130" s="729"/>
      <c r="Z130" s="729"/>
      <c r="AA130" s="729"/>
      <c r="AB130" s="729"/>
      <c r="AC130" s="729"/>
      <c r="AD130" s="729"/>
      <c r="AE130" s="729"/>
    </row>
    <row r="131" spans="1:31">
      <c r="A131" s="729"/>
      <c r="B131" s="855"/>
      <c r="C131" s="855"/>
      <c r="D131" s="856"/>
      <c r="E131" s="856"/>
      <c r="F131" s="856"/>
      <c r="G131" s="856"/>
      <c r="H131" s="856"/>
      <c r="I131" s="856"/>
      <c r="J131" s="856"/>
      <c r="K131" s="856"/>
      <c r="L131" s="856"/>
      <c r="M131" s="856"/>
      <c r="N131" s="856"/>
      <c r="O131" s="856"/>
      <c r="P131" s="856"/>
      <c r="Q131" s="729"/>
      <c r="R131" s="729"/>
      <c r="S131" s="729"/>
      <c r="T131" s="729"/>
      <c r="U131" s="729"/>
      <c r="V131" s="729"/>
      <c r="W131" s="729"/>
      <c r="X131" s="729"/>
      <c r="Y131" s="729"/>
      <c r="Z131" s="729"/>
      <c r="AA131" s="729"/>
      <c r="AB131" s="729"/>
      <c r="AC131" s="729"/>
      <c r="AD131" s="729"/>
      <c r="AE131" s="729"/>
    </row>
    <row r="132" spans="1:31">
      <c r="A132" s="729"/>
      <c r="B132" s="855"/>
      <c r="C132" s="855"/>
      <c r="D132" s="856"/>
      <c r="E132" s="856"/>
      <c r="F132" s="856"/>
      <c r="G132" s="856"/>
      <c r="H132" s="856"/>
      <c r="I132" s="856"/>
      <c r="J132" s="856"/>
      <c r="K132" s="856"/>
      <c r="L132" s="856"/>
      <c r="M132" s="856"/>
      <c r="N132" s="856"/>
      <c r="O132" s="856"/>
      <c r="P132" s="856"/>
      <c r="Q132" s="729"/>
      <c r="R132" s="729"/>
      <c r="S132" s="729"/>
      <c r="T132" s="729"/>
      <c r="U132" s="729"/>
      <c r="V132" s="729"/>
      <c r="W132" s="729"/>
      <c r="X132" s="729"/>
      <c r="Y132" s="729"/>
      <c r="Z132" s="729"/>
      <c r="AA132" s="729"/>
      <c r="AB132" s="729"/>
      <c r="AC132" s="729"/>
      <c r="AD132" s="729"/>
      <c r="AE132" s="729"/>
    </row>
    <row r="133" spans="1:31">
      <c r="A133" s="729"/>
      <c r="B133" s="855"/>
      <c r="C133" s="855"/>
      <c r="D133" s="856"/>
      <c r="E133" s="856"/>
      <c r="F133" s="856"/>
      <c r="G133" s="856"/>
      <c r="H133" s="856"/>
      <c r="I133" s="856"/>
      <c r="J133" s="856"/>
      <c r="K133" s="856"/>
      <c r="L133" s="856"/>
      <c r="M133" s="856"/>
      <c r="N133" s="856"/>
      <c r="O133" s="856"/>
      <c r="P133" s="856"/>
      <c r="Q133" s="729"/>
      <c r="R133" s="729"/>
      <c r="S133" s="729"/>
      <c r="T133" s="729"/>
      <c r="U133" s="729"/>
      <c r="V133" s="729"/>
      <c r="W133" s="729"/>
      <c r="X133" s="729"/>
      <c r="Y133" s="729"/>
      <c r="Z133" s="729"/>
      <c r="AA133" s="729"/>
      <c r="AB133" s="729"/>
      <c r="AC133" s="729"/>
      <c r="AD133" s="729"/>
      <c r="AE133" s="729"/>
    </row>
    <row r="134" spans="1:31">
      <c r="A134" s="729"/>
      <c r="B134" s="855"/>
      <c r="C134" s="855"/>
      <c r="D134" s="856"/>
      <c r="E134" s="856"/>
      <c r="F134" s="856"/>
      <c r="G134" s="856"/>
      <c r="H134" s="856"/>
      <c r="I134" s="856"/>
      <c r="J134" s="856"/>
      <c r="K134" s="856"/>
      <c r="L134" s="856"/>
      <c r="M134" s="856"/>
      <c r="N134" s="856"/>
      <c r="O134" s="856"/>
      <c r="P134" s="856"/>
      <c r="Q134" s="729"/>
      <c r="R134" s="729"/>
      <c r="S134" s="729"/>
      <c r="T134" s="729"/>
      <c r="U134" s="729"/>
      <c r="V134" s="729"/>
      <c r="W134" s="729"/>
      <c r="X134" s="729"/>
      <c r="Y134" s="729"/>
      <c r="Z134" s="729"/>
      <c r="AA134" s="729"/>
      <c r="AB134" s="729"/>
      <c r="AC134" s="729"/>
      <c r="AD134" s="729"/>
      <c r="AE134" s="729"/>
    </row>
    <row r="135" spans="1:31">
      <c r="A135" s="729"/>
      <c r="B135" s="855"/>
      <c r="C135" s="855"/>
      <c r="D135" s="856"/>
      <c r="E135" s="856"/>
      <c r="F135" s="856"/>
      <c r="G135" s="856"/>
      <c r="H135" s="856"/>
      <c r="I135" s="856"/>
      <c r="J135" s="856"/>
      <c r="K135" s="856"/>
      <c r="L135" s="856"/>
      <c r="M135" s="856"/>
      <c r="N135" s="856"/>
      <c r="O135" s="856"/>
      <c r="P135" s="856"/>
      <c r="Q135" s="729"/>
      <c r="R135" s="729"/>
      <c r="S135" s="729"/>
      <c r="T135" s="729"/>
      <c r="U135" s="729"/>
      <c r="V135" s="729"/>
      <c r="W135" s="729"/>
      <c r="X135" s="729"/>
      <c r="Y135" s="729"/>
      <c r="Z135" s="729"/>
      <c r="AA135" s="729"/>
      <c r="AB135" s="729"/>
      <c r="AC135" s="729"/>
      <c r="AD135" s="729"/>
      <c r="AE135" s="729"/>
    </row>
    <row r="136" spans="1:31">
      <c r="A136" s="729"/>
      <c r="B136" s="855"/>
      <c r="C136" s="855"/>
      <c r="D136" s="856"/>
      <c r="E136" s="856"/>
      <c r="F136" s="856"/>
      <c r="G136" s="856"/>
      <c r="H136" s="856"/>
      <c r="I136" s="856"/>
      <c r="J136" s="856"/>
      <c r="K136" s="856"/>
      <c r="L136" s="856"/>
      <c r="M136" s="856"/>
      <c r="N136" s="856"/>
      <c r="O136" s="856"/>
      <c r="P136" s="856"/>
      <c r="Q136" s="729"/>
      <c r="R136" s="729"/>
      <c r="S136" s="729"/>
      <c r="T136" s="729"/>
      <c r="U136" s="729"/>
      <c r="V136" s="729"/>
      <c r="W136" s="729"/>
      <c r="X136" s="729"/>
      <c r="Y136" s="729"/>
      <c r="Z136" s="729"/>
      <c r="AA136" s="729"/>
      <c r="AB136" s="729"/>
      <c r="AC136" s="729"/>
      <c r="AD136" s="729"/>
      <c r="AE136" s="729"/>
    </row>
    <row r="137" spans="1:31">
      <c r="A137" s="729"/>
      <c r="B137" s="855"/>
      <c r="C137" s="855"/>
      <c r="D137" s="856"/>
      <c r="E137" s="856"/>
      <c r="F137" s="856"/>
      <c r="G137" s="856"/>
      <c r="H137" s="856"/>
      <c r="I137" s="856"/>
      <c r="J137" s="856"/>
      <c r="K137" s="856"/>
      <c r="L137" s="856"/>
      <c r="M137" s="856"/>
      <c r="N137" s="856"/>
      <c r="O137" s="856"/>
      <c r="P137" s="856"/>
      <c r="Q137" s="729"/>
      <c r="R137" s="729"/>
      <c r="S137" s="729"/>
      <c r="T137" s="729"/>
      <c r="U137" s="729"/>
      <c r="V137" s="729"/>
      <c r="W137" s="729"/>
      <c r="X137" s="729"/>
      <c r="Y137" s="729"/>
      <c r="Z137" s="729"/>
      <c r="AA137" s="729"/>
      <c r="AB137" s="729"/>
      <c r="AC137" s="729"/>
      <c r="AD137" s="729"/>
      <c r="AE137" s="729"/>
    </row>
    <row r="138" spans="1:31">
      <c r="A138" s="729"/>
      <c r="B138" s="855"/>
      <c r="C138" s="855"/>
      <c r="D138" s="856"/>
      <c r="E138" s="856"/>
      <c r="F138" s="856"/>
      <c r="G138" s="856"/>
      <c r="H138" s="856"/>
      <c r="I138" s="856"/>
      <c r="J138" s="856"/>
      <c r="K138" s="856"/>
      <c r="L138" s="856"/>
      <c r="M138" s="856"/>
      <c r="N138" s="856"/>
      <c r="O138" s="856"/>
      <c r="P138" s="856"/>
      <c r="Q138" s="729"/>
      <c r="R138" s="729"/>
      <c r="S138" s="729"/>
      <c r="T138" s="729"/>
      <c r="U138" s="729"/>
      <c r="V138" s="729"/>
      <c r="W138" s="729"/>
      <c r="X138" s="729"/>
      <c r="Y138" s="729"/>
      <c r="Z138" s="729"/>
      <c r="AA138" s="729"/>
      <c r="AB138" s="729"/>
      <c r="AC138" s="729"/>
      <c r="AD138" s="729"/>
      <c r="AE138" s="729"/>
    </row>
    <row r="139" spans="1:31">
      <c r="A139" s="729"/>
      <c r="B139" s="855"/>
      <c r="C139" s="855"/>
      <c r="D139" s="856"/>
      <c r="E139" s="856"/>
      <c r="F139" s="856"/>
      <c r="G139" s="856"/>
      <c r="H139" s="856"/>
      <c r="I139" s="856"/>
      <c r="J139" s="856"/>
      <c r="K139" s="856"/>
      <c r="L139" s="856"/>
      <c r="M139" s="856"/>
      <c r="N139" s="856"/>
      <c r="O139" s="856"/>
      <c r="P139" s="856"/>
      <c r="Q139" s="729"/>
      <c r="R139" s="729"/>
      <c r="S139" s="729"/>
      <c r="T139" s="729"/>
      <c r="U139" s="729"/>
      <c r="V139" s="729"/>
      <c r="W139" s="729"/>
      <c r="X139" s="729"/>
      <c r="Y139" s="729"/>
      <c r="Z139" s="729"/>
      <c r="AA139" s="729"/>
      <c r="AB139" s="729"/>
      <c r="AC139" s="729"/>
      <c r="AD139" s="729"/>
      <c r="AE139" s="729"/>
    </row>
    <row r="140" spans="1:31">
      <c r="A140" s="729"/>
      <c r="B140" s="258"/>
      <c r="C140" s="258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729"/>
      <c r="R140" s="729"/>
      <c r="S140" s="729"/>
      <c r="T140" s="729"/>
      <c r="U140" s="729"/>
      <c r="V140" s="729"/>
      <c r="W140" s="729"/>
      <c r="X140" s="729"/>
      <c r="Y140" s="729"/>
      <c r="Z140" s="729"/>
      <c r="AA140" s="729"/>
      <c r="AB140" s="729"/>
      <c r="AC140" s="729"/>
      <c r="AD140" s="729"/>
      <c r="AE140" s="729"/>
    </row>
    <row r="141" spans="1:31">
      <c r="A141" s="729"/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729"/>
      <c r="R141" s="729"/>
      <c r="S141" s="729"/>
      <c r="T141" s="729"/>
      <c r="U141" s="729"/>
      <c r="V141" s="729"/>
      <c r="W141" s="729"/>
      <c r="X141" s="729"/>
      <c r="Y141" s="729"/>
      <c r="Z141" s="729"/>
      <c r="AA141" s="729"/>
      <c r="AB141" s="729"/>
      <c r="AC141" s="729"/>
      <c r="AD141" s="729"/>
      <c r="AE141" s="729"/>
    </row>
    <row r="142" spans="1:31">
      <c r="A142" s="729"/>
      <c r="B142" s="674"/>
      <c r="C142" s="674"/>
      <c r="D142" s="674"/>
      <c r="E142" s="674"/>
      <c r="F142" s="674"/>
      <c r="G142" s="674"/>
      <c r="H142" s="674"/>
      <c r="I142" s="674"/>
      <c r="J142" s="674"/>
      <c r="K142" s="674"/>
      <c r="L142" s="674"/>
      <c r="M142" s="674"/>
      <c r="N142" s="674"/>
      <c r="O142" s="674"/>
      <c r="P142" s="674"/>
      <c r="Q142" s="729"/>
      <c r="R142" s="729"/>
      <c r="S142" s="729"/>
      <c r="T142" s="729"/>
      <c r="U142" s="729"/>
      <c r="V142" s="729"/>
      <c r="W142" s="729"/>
      <c r="X142" s="729"/>
      <c r="Y142" s="729"/>
      <c r="Z142" s="729"/>
      <c r="AA142" s="729"/>
      <c r="AB142" s="729"/>
      <c r="AC142" s="729"/>
      <c r="AD142" s="729"/>
      <c r="AE142" s="729"/>
    </row>
    <row r="143" spans="1:31">
      <c r="A143" s="729"/>
      <c r="B143" s="674"/>
      <c r="C143" s="674"/>
      <c r="D143" s="674"/>
      <c r="E143" s="674"/>
      <c r="F143" s="674"/>
      <c r="G143" s="674"/>
      <c r="H143" s="674"/>
      <c r="I143" s="674"/>
      <c r="J143" s="674"/>
      <c r="K143" s="674"/>
      <c r="L143" s="674"/>
      <c r="M143" s="674"/>
      <c r="N143" s="674"/>
      <c r="O143" s="674"/>
      <c r="P143" s="674"/>
      <c r="Q143" s="729"/>
      <c r="R143" s="729"/>
      <c r="S143" s="729"/>
      <c r="T143" s="729"/>
      <c r="U143" s="729"/>
      <c r="V143" s="729"/>
      <c r="W143" s="729"/>
      <c r="X143" s="729"/>
      <c r="Y143" s="729"/>
      <c r="Z143" s="729"/>
      <c r="AA143" s="729"/>
      <c r="AB143" s="729"/>
      <c r="AC143" s="729"/>
      <c r="AD143" s="729"/>
      <c r="AE143" s="729"/>
    </row>
    <row r="144" spans="1:31">
      <c r="A144" s="729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4"/>
      <c r="P144" s="674"/>
      <c r="Q144" s="729"/>
      <c r="R144" s="729"/>
      <c r="S144" s="729"/>
      <c r="T144" s="729"/>
      <c r="U144" s="729"/>
      <c r="V144" s="729"/>
      <c r="W144" s="729"/>
      <c r="X144" s="729"/>
      <c r="Y144" s="729"/>
      <c r="Z144" s="729"/>
      <c r="AA144" s="729"/>
      <c r="AB144" s="729"/>
      <c r="AC144" s="729"/>
      <c r="AD144" s="729"/>
      <c r="AE144" s="729"/>
    </row>
    <row r="145" spans="1:31">
      <c r="A145" s="729"/>
      <c r="B145" s="570" t="s">
        <v>792</v>
      </c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0"/>
      <c r="P145" s="570"/>
      <c r="Q145" s="729"/>
      <c r="R145" s="729"/>
      <c r="S145" s="729"/>
      <c r="T145" s="729"/>
      <c r="U145" s="729"/>
      <c r="V145" s="729"/>
      <c r="W145" s="729"/>
      <c r="X145" s="729"/>
      <c r="Y145" s="729"/>
      <c r="Z145" s="729"/>
      <c r="AA145" s="729"/>
      <c r="AB145" s="729"/>
      <c r="AC145" s="729"/>
      <c r="AD145" s="729"/>
      <c r="AE145" s="729"/>
    </row>
    <row r="146" spans="1:31">
      <c r="A146" s="729"/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729"/>
      <c r="R146" s="729"/>
      <c r="S146" s="729"/>
      <c r="T146" s="729"/>
      <c r="U146" s="729"/>
      <c r="V146" s="729"/>
      <c r="W146" s="729"/>
      <c r="X146" s="729"/>
      <c r="Y146" s="729"/>
      <c r="Z146" s="729"/>
      <c r="AA146" s="729"/>
      <c r="AB146" s="729"/>
      <c r="AC146" s="729"/>
      <c r="AD146" s="729"/>
      <c r="AE146" s="729"/>
    </row>
    <row r="147" spans="1:31">
      <c r="A147" s="729"/>
      <c r="B147" s="814" t="s">
        <v>690</v>
      </c>
      <c r="C147" s="682"/>
      <c r="D147" s="682"/>
      <c r="E147" s="682"/>
      <c r="F147" s="682"/>
      <c r="G147" s="682"/>
      <c r="H147" s="682"/>
      <c r="I147" s="682"/>
      <c r="J147" s="682"/>
      <c r="K147" s="682"/>
      <c r="L147" s="682"/>
      <c r="M147" s="682"/>
      <c r="N147" s="682"/>
      <c r="O147" s="682"/>
      <c r="P147" s="682"/>
      <c r="Q147" s="729"/>
      <c r="R147" s="729"/>
      <c r="S147" s="729"/>
      <c r="T147" s="729"/>
      <c r="U147" s="729"/>
      <c r="V147" s="729"/>
      <c r="W147" s="729"/>
      <c r="X147" s="729"/>
      <c r="Y147" s="729"/>
      <c r="Z147" s="729"/>
      <c r="AA147" s="729"/>
      <c r="AB147" s="729"/>
      <c r="AC147" s="729"/>
      <c r="AD147" s="729"/>
      <c r="AE147" s="729"/>
    </row>
    <row r="148" spans="1:31">
      <c r="A148" s="729"/>
      <c r="B148" s="674" t="s">
        <v>338</v>
      </c>
      <c r="C148" s="852">
        <f>Inputs!$C$6</f>
        <v>3690</v>
      </c>
      <c r="D148" s="674" t="s">
        <v>691</v>
      </c>
      <c r="E148" s="674"/>
      <c r="F148" s="674"/>
      <c r="G148" s="674"/>
      <c r="H148" s="674"/>
      <c r="I148" s="674"/>
      <c r="J148" s="674"/>
      <c r="K148" s="674"/>
      <c r="L148" s="674"/>
      <c r="M148" s="674"/>
      <c r="N148" s="674"/>
      <c r="O148" s="674"/>
      <c r="P148" s="674"/>
      <c r="Q148" s="729"/>
      <c r="R148" s="729"/>
      <c r="S148" s="729"/>
      <c r="T148" s="729"/>
      <c r="U148" s="729"/>
      <c r="V148" s="729"/>
      <c r="W148" s="729"/>
      <c r="X148" s="729"/>
      <c r="Y148" s="729"/>
      <c r="Z148" s="729"/>
      <c r="AA148" s="729"/>
      <c r="AB148" s="729"/>
      <c r="AC148" s="729"/>
      <c r="AD148" s="729"/>
      <c r="AE148" s="729"/>
    </row>
    <row r="149" spans="1:31">
      <c r="A149" s="729"/>
      <c r="B149" s="674" t="s">
        <v>692</v>
      </c>
      <c r="C149" s="826">
        <v>800000000</v>
      </c>
      <c r="D149" s="674" t="s">
        <v>140</v>
      </c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4"/>
      <c r="P149" s="674"/>
      <c r="Q149" s="729"/>
      <c r="R149" s="729"/>
      <c r="S149" s="729"/>
      <c r="T149" s="729"/>
      <c r="U149" s="729"/>
      <c r="V149" s="729"/>
      <c r="W149" s="729"/>
      <c r="X149" s="729"/>
      <c r="Y149" s="729"/>
      <c r="Z149" s="729"/>
      <c r="AA149" s="729"/>
      <c r="AB149" s="729"/>
      <c r="AC149" s="729"/>
      <c r="AD149" s="729"/>
      <c r="AE149" s="729"/>
    </row>
    <row r="150" spans="1:31">
      <c r="A150" s="729"/>
      <c r="B150" s="674" t="s">
        <v>693</v>
      </c>
      <c r="C150" s="826">
        <v>612247701</v>
      </c>
      <c r="D150" s="674" t="s">
        <v>140</v>
      </c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4"/>
      <c r="P150" s="674"/>
      <c r="Q150" s="729"/>
      <c r="R150" s="729"/>
      <c r="S150" s="729"/>
      <c r="T150" s="729"/>
      <c r="U150" s="729"/>
      <c r="V150" s="729"/>
      <c r="W150" s="729"/>
      <c r="X150" s="729"/>
      <c r="Y150" s="729"/>
      <c r="Z150" s="729"/>
      <c r="AA150" s="729"/>
      <c r="AB150" s="729"/>
      <c r="AC150" s="729"/>
      <c r="AD150" s="729"/>
      <c r="AE150" s="729"/>
    </row>
    <row r="151" spans="1:31">
      <c r="A151" s="729"/>
      <c r="B151" s="674" t="s">
        <v>694</v>
      </c>
      <c r="C151" s="826">
        <v>744218137</v>
      </c>
      <c r="D151" s="674" t="s">
        <v>140</v>
      </c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729"/>
      <c r="R151" s="729"/>
      <c r="S151" s="729"/>
      <c r="T151" s="729"/>
      <c r="U151" s="729"/>
      <c r="V151" s="729"/>
      <c r="W151" s="729"/>
      <c r="X151" s="729"/>
      <c r="Y151" s="729"/>
      <c r="Z151" s="729"/>
      <c r="AA151" s="729"/>
      <c r="AB151" s="729"/>
      <c r="AC151" s="729"/>
      <c r="AD151" s="729"/>
      <c r="AE151" s="729"/>
    </row>
    <row r="152" spans="1:31">
      <c r="A152" s="729"/>
      <c r="B152" s="674" t="s">
        <v>695</v>
      </c>
      <c r="C152" s="826">
        <v>787041187</v>
      </c>
      <c r="D152" s="674" t="s">
        <v>140</v>
      </c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729"/>
      <c r="R152" s="729"/>
      <c r="S152" s="729"/>
      <c r="T152" s="729"/>
      <c r="U152" s="729"/>
      <c r="V152" s="729"/>
      <c r="W152" s="729"/>
      <c r="X152" s="729"/>
      <c r="Y152" s="729"/>
      <c r="Z152" s="729"/>
      <c r="AA152" s="729"/>
      <c r="AB152" s="729"/>
      <c r="AC152" s="729"/>
      <c r="AD152" s="729"/>
      <c r="AE152" s="729"/>
    </row>
    <row r="153" spans="1:31">
      <c r="A153" s="729"/>
      <c r="B153" s="674" t="s">
        <v>793</v>
      </c>
      <c r="C153" s="826">
        <v>750867662</v>
      </c>
      <c r="D153" s="674" t="s">
        <v>140</v>
      </c>
      <c r="E153" s="674"/>
      <c r="F153" s="674"/>
      <c r="G153" s="674"/>
      <c r="H153" s="674"/>
      <c r="I153" s="674"/>
      <c r="J153" s="674"/>
      <c r="K153" s="674"/>
      <c r="L153" s="674"/>
      <c r="M153" s="674"/>
      <c r="N153" s="674"/>
      <c r="O153" s="674"/>
      <c r="P153" s="674"/>
      <c r="Q153" s="729"/>
      <c r="R153" s="729"/>
      <c r="S153" s="729"/>
      <c r="T153" s="729"/>
      <c r="U153" s="729"/>
      <c r="V153" s="729"/>
      <c r="W153" s="729"/>
      <c r="X153" s="729"/>
      <c r="Y153" s="729"/>
      <c r="Z153" s="729"/>
      <c r="AA153" s="729"/>
      <c r="AB153" s="729"/>
      <c r="AC153" s="729"/>
      <c r="AD153" s="729"/>
      <c r="AE153" s="729"/>
    </row>
    <row r="154" spans="1:31">
      <c r="A154" s="729"/>
      <c r="B154" s="253" t="s">
        <v>794</v>
      </c>
      <c r="C154" s="104" t="s">
        <v>146</v>
      </c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4"/>
      <c r="P154" s="674"/>
      <c r="Q154" s="729"/>
      <c r="R154" s="729"/>
      <c r="S154" s="729"/>
      <c r="T154" s="729"/>
      <c r="U154" s="729"/>
      <c r="V154" s="729"/>
      <c r="W154" s="729"/>
      <c r="X154" s="729"/>
      <c r="Y154" s="729"/>
      <c r="Z154" s="729"/>
      <c r="AA154" s="729"/>
      <c r="AB154" s="729"/>
      <c r="AC154" s="729"/>
      <c r="AD154" s="729"/>
      <c r="AE154" s="729"/>
    </row>
    <row r="155" spans="1:31">
      <c r="A155" s="729"/>
      <c r="B155" s="674" t="s">
        <v>697</v>
      </c>
      <c r="C155" s="826">
        <v>2100000</v>
      </c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4"/>
      <c r="P155" s="674"/>
      <c r="Q155" s="729"/>
      <c r="R155" s="729"/>
      <c r="S155" s="729"/>
      <c r="T155" s="729"/>
      <c r="U155" s="729"/>
      <c r="V155" s="729"/>
      <c r="W155" s="729"/>
      <c r="X155" s="729"/>
      <c r="Y155" s="729"/>
      <c r="Z155" s="729"/>
      <c r="AA155" s="729"/>
      <c r="AB155" s="729"/>
      <c r="AC155" s="729"/>
      <c r="AD155" s="729"/>
      <c r="AE155" s="729"/>
    </row>
    <row r="156" spans="1:31">
      <c r="A156" s="729"/>
      <c r="B156" s="674" t="s">
        <v>307</v>
      </c>
      <c r="C156" s="826">
        <v>315000</v>
      </c>
      <c r="D156" s="674"/>
      <c r="E156" s="858">
        <v>0</v>
      </c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729"/>
      <c r="R156" s="729"/>
      <c r="S156" s="729"/>
      <c r="T156" s="729"/>
      <c r="U156" s="729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</row>
    <row r="157" spans="1:31">
      <c r="A157" s="729"/>
      <c r="B157" s="674" t="s">
        <v>308</v>
      </c>
      <c r="C157" s="826">
        <v>42000</v>
      </c>
      <c r="D157" s="674"/>
      <c r="E157" s="674"/>
      <c r="F157" s="674"/>
      <c r="G157" s="674"/>
      <c r="H157" s="674"/>
      <c r="I157" s="674"/>
      <c r="J157" s="674"/>
      <c r="K157" s="674"/>
      <c r="L157" s="674"/>
      <c r="M157" s="674"/>
      <c r="N157" s="674"/>
      <c r="O157" s="674"/>
      <c r="P157" s="674"/>
      <c r="Q157" s="729"/>
      <c r="R157" s="729"/>
      <c r="S157" s="729"/>
      <c r="T157" s="729"/>
      <c r="U157" s="729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</row>
    <row r="158" spans="1:31">
      <c r="A158" s="729"/>
      <c r="B158" s="674" t="s">
        <v>698</v>
      </c>
      <c r="C158" s="826">
        <v>63000</v>
      </c>
      <c r="D158" s="674"/>
      <c r="E158" s="674"/>
      <c r="F158" s="674"/>
      <c r="G158" s="674"/>
      <c r="H158" s="674"/>
      <c r="I158" s="674"/>
      <c r="J158" s="674"/>
      <c r="K158" s="674"/>
      <c r="L158" s="674"/>
      <c r="M158" s="674"/>
      <c r="N158" s="674"/>
      <c r="O158" s="674"/>
      <c r="P158" s="674"/>
      <c r="Q158" s="729"/>
      <c r="R158" s="729"/>
      <c r="S158" s="729"/>
      <c r="T158" s="729"/>
      <c r="U158" s="729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</row>
    <row r="159" spans="1:31">
      <c r="A159" s="729"/>
      <c r="B159" s="678"/>
      <c r="C159" s="859"/>
      <c r="D159" s="674"/>
      <c r="E159" s="674"/>
      <c r="F159" s="674"/>
      <c r="G159" s="674"/>
      <c r="H159" s="674"/>
      <c r="I159" s="674"/>
      <c r="J159" s="674"/>
      <c r="K159" s="674"/>
      <c r="L159" s="674"/>
      <c r="M159" s="674"/>
      <c r="N159" s="674"/>
      <c r="O159" s="674"/>
      <c r="P159" s="674"/>
      <c r="Q159" s="729"/>
      <c r="R159" s="729"/>
      <c r="S159" s="729"/>
      <c r="T159" s="729"/>
      <c r="U159" s="729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</row>
    <row r="160" spans="1:31">
      <c r="A160" s="729"/>
      <c r="B160" s="678" t="s">
        <v>301</v>
      </c>
      <c r="C160" s="853">
        <f>SUM(C161:C165)</f>
        <v>374000</v>
      </c>
      <c r="D160" s="674"/>
      <c r="E160" s="674"/>
      <c r="F160" s="674"/>
      <c r="G160" s="674"/>
      <c r="H160" s="674"/>
      <c r="I160" s="674"/>
      <c r="J160" s="674"/>
      <c r="K160" s="674"/>
      <c r="L160" s="674"/>
      <c r="M160" s="674"/>
      <c r="N160" s="674"/>
      <c r="O160" s="674"/>
      <c r="P160" s="674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</row>
    <row r="161" spans="1:31">
      <c r="A161" s="729"/>
      <c r="B161" s="674" t="s">
        <v>699</v>
      </c>
      <c r="C161" s="826">
        <v>50000</v>
      </c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4"/>
      <c r="P161" s="674"/>
      <c r="Q161" s="729"/>
      <c r="R161" s="729"/>
      <c r="S161" s="729"/>
      <c r="T161" s="729"/>
      <c r="U161" s="729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</row>
    <row r="162" spans="1:31">
      <c r="A162" s="729"/>
      <c r="B162" s="674" t="s">
        <v>700</v>
      </c>
      <c r="C162" s="826">
        <v>50000</v>
      </c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4"/>
      <c r="P162" s="674"/>
      <c r="Q162" s="729"/>
      <c r="R162" s="729"/>
      <c r="S162" s="729"/>
      <c r="T162" s="729"/>
      <c r="U162" s="729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</row>
    <row r="163" spans="1:31">
      <c r="A163" s="729"/>
      <c r="B163" s="674" t="s">
        <v>701</v>
      </c>
      <c r="C163" s="826">
        <v>50000</v>
      </c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729"/>
      <c r="R163" s="729"/>
      <c r="S163" s="729"/>
      <c r="T163" s="729"/>
      <c r="U163" s="729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</row>
    <row r="164" spans="1:31">
      <c r="A164" s="729"/>
      <c r="B164" s="674" t="s">
        <v>702</v>
      </c>
      <c r="C164" s="826">
        <v>200000</v>
      </c>
      <c r="D164" s="674"/>
      <c r="E164" s="674"/>
      <c r="F164" s="674"/>
      <c r="G164" s="674"/>
      <c r="H164" s="674"/>
      <c r="I164" s="674"/>
      <c r="J164" s="674"/>
      <c r="K164" s="674"/>
      <c r="L164" s="674"/>
      <c r="M164" s="674"/>
      <c r="N164" s="674"/>
      <c r="O164" s="674"/>
      <c r="P164" s="674"/>
      <c r="Q164" s="729"/>
      <c r="R164" s="729"/>
      <c r="S164" s="729"/>
      <c r="T164" s="729"/>
      <c r="U164" s="729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</row>
    <row r="165" spans="1:31">
      <c r="A165" s="729"/>
      <c r="B165" s="678" t="s">
        <v>703</v>
      </c>
      <c r="C165" s="854">
        <v>24000</v>
      </c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4"/>
      <c r="P165" s="674"/>
      <c r="Q165" s="729"/>
      <c r="R165" s="729"/>
      <c r="S165" s="729"/>
      <c r="T165" s="729"/>
      <c r="U165" s="729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</row>
    <row r="166" spans="1:31">
      <c r="A166" s="729"/>
      <c r="B166" s="678" t="s">
        <v>303</v>
      </c>
      <c r="C166" s="853">
        <f>SUM(C167:C170)</f>
        <v>507000</v>
      </c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4"/>
      <c r="P166" s="674"/>
      <c r="Q166" s="729"/>
      <c r="R166" s="729"/>
      <c r="S166" s="729"/>
      <c r="T166" s="729"/>
      <c r="U166" s="729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</row>
    <row r="167" spans="1:31">
      <c r="A167" s="729"/>
      <c r="B167" s="674" t="s">
        <v>704</v>
      </c>
      <c r="C167" s="826">
        <v>300000</v>
      </c>
      <c r="D167" s="674"/>
      <c r="E167" s="674"/>
      <c r="F167" s="674"/>
      <c r="G167" s="674"/>
      <c r="H167" s="674"/>
      <c r="I167" s="674"/>
      <c r="J167" s="674"/>
      <c r="K167" s="674"/>
      <c r="L167" s="674"/>
      <c r="M167" s="674"/>
      <c r="N167" s="674"/>
      <c r="O167" s="674"/>
      <c r="P167" s="674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</row>
    <row r="168" spans="1:31">
      <c r="A168" s="729"/>
      <c r="B168" s="674" t="s">
        <v>705</v>
      </c>
      <c r="C168" s="826">
        <v>105000</v>
      </c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</row>
    <row r="169" spans="1:31">
      <c r="A169" s="729"/>
      <c r="B169" s="674" t="s">
        <v>706</v>
      </c>
      <c r="C169" s="826">
        <v>60000</v>
      </c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</row>
    <row r="170" spans="1:31">
      <c r="A170" s="729"/>
      <c r="B170" s="678" t="s">
        <v>707</v>
      </c>
      <c r="C170" s="854">
        <v>42000</v>
      </c>
      <c r="D170" s="674"/>
      <c r="E170" s="674"/>
      <c r="F170" s="674"/>
      <c r="G170" s="674"/>
      <c r="H170" s="674"/>
      <c r="I170" s="674"/>
      <c r="J170" s="674"/>
      <c r="K170" s="674"/>
      <c r="L170" s="674"/>
      <c r="M170" s="674"/>
      <c r="N170" s="674"/>
      <c r="O170" s="674"/>
      <c r="P170" s="674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</row>
    <row r="171" spans="1:31">
      <c r="A171" s="729"/>
      <c r="B171" s="678" t="s">
        <v>708</v>
      </c>
      <c r="C171" s="853">
        <f>SUM(C172:C174)</f>
        <v>220000</v>
      </c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4"/>
      <c r="P171" s="674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</row>
    <row r="172" spans="1:31">
      <c r="A172" s="729"/>
      <c r="B172" s="674" t="s">
        <v>709</v>
      </c>
      <c r="C172" s="826">
        <v>36000</v>
      </c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4"/>
      <c r="P172" s="674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</row>
    <row r="173" spans="1:31">
      <c r="A173" s="729"/>
      <c r="B173" s="674" t="s">
        <v>710</v>
      </c>
      <c r="C173" s="826">
        <v>84000</v>
      </c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</row>
    <row r="174" spans="1:31">
      <c r="A174" s="729"/>
      <c r="B174" s="254" t="s">
        <v>711</v>
      </c>
      <c r="C174" s="410">
        <v>100000</v>
      </c>
      <c r="D174" s="674"/>
      <c r="E174" s="674"/>
      <c r="F174" s="674"/>
      <c r="G174" s="674"/>
      <c r="H174" s="674"/>
      <c r="I174" s="674"/>
      <c r="J174" s="674"/>
      <c r="K174" s="674"/>
      <c r="L174" s="674"/>
      <c r="M174" s="674"/>
      <c r="N174" s="674"/>
      <c r="O174" s="674"/>
      <c r="P174" s="674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</row>
    <row r="175" spans="1:31">
      <c r="A175" s="729"/>
      <c r="B175" s="254" t="s">
        <v>795</v>
      </c>
      <c r="C175" s="405">
        <f>C155-C156-C157+C158+C160+C166+C171</f>
        <v>2907000</v>
      </c>
      <c r="D175" s="674"/>
      <c r="E175" s="674"/>
      <c r="F175" s="674"/>
      <c r="G175" s="674"/>
      <c r="H175" s="674"/>
      <c r="I175" s="674"/>
      <c r="J175" s="674"/>
      <c r="K175" s="674"/>
      <c r="L175" s="674"/>
      <c r="M175" s="674"/>
      <c r="N175" s="674"/>
      <c r="O175" s="674"/>
      <c r="P175" s="674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</row>
    <row r="176" spans="1:31">
      <c r="A176" s="729"/>
      <c r="B176" s="674"/>
      <c r="C176" s="674"/>
      <c r="D176" s="674"/>
      <c r="E176" s="674"/>
      <c r="F176" s="674"/>
      <c r="G176" s="674"/>
      <c r="H176" s="674"/>
      <c r="I176" s="674"/>
      <c r="J176" s="674"/>
      <c r="K176" s="674"/>
      <c r="L176" s="674"/>
      <c r="M176" s="674"/>
      <c r="N176" s="674"/>
      <c r="O176" s="674"/>
      <c r="P176" s="674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</row>
    <row r="177" spans="1:31">
      <c r="A177" s="729"/>
      <c r="B177" s="814" t="s">
        <v>796</v>
      </c>
      <c r="C177" s="682"/>
      <c r="D177" s="682"/>
      <c r="E177" s="682"/>
      <c r="F177" s="682"/>
      <c r="G177" s="682"/>
      <c r="H177" s="682"/>
      <c r="I177" s="682"/>
      <c r="J177" s="682"/>
      <c r="K177" s="682"/>
      <c r="L177" s="682"/>
      <c r="M177" s="682"/>
      <c r="N177" s="682"/>
      <c r="O177" s="682"/>
      <c r="P177" s="682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</row>
    <row r="178" spans="1:31">
      <c r="A178" s="729"/>
      <c r="B178" s="855"/>
      <c r="C178" s="855"/>
      <c r="D178" s="855"/>
      <c r="E178" s="855"/>
      <c r="F178" s="855"/>
      <c r="G178" s="855"/>
      <c r="H178" s="855"/>
      <c r="I178" s="855"/>
      <c r="J178" s="855"/>
      <c r="K178" s="855"/>
      <c r="L178" s="855"/>
      <c r="M178" s="855"/>
      <c r="N178" s="855"/>
      <c r="O178" s="855"/>
      <c r="P178" s="855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</row>
    <row r="179" spans="1:31">
      <c r="A179" s="729"/>
      <c r="B179" s="256" t="s">
        <v>714</v>
      </c>
      <c r="C179" s="256" t="s">
        <v>675</v>
      </c>
      <c r="D179" s="256" t="s">
        <v>209</v>
      </c>
      <c r="E179" s="406">
        <v>46054</v>
      </c>
      <c r="F179" s="406">
        <v>46082</v>
      </c>
      <c r="G179" s="406">
        <v>46113</v>
      </c>
      <c r="H179" s="406">
        <v>46143</v>
      </c>
      <c r="I179" s="406">
        <v>46174</v>
      </c>
      <c r="J179" s="406">
        <v>46204</v>
      </c>
      <c r="K179" s="406">
        <v>46235</v>
      </c>
      <c r="L179" s="406">
        <v>46266</v>
      </c>
      <c r="M179" s="406">
        <v>46296</v>
      </c>
      <c r="N179" s="406">
        <v>46327</v>
      </c>
      <c r="O179" s="406">
        <v>46357</v>
      </c>
      <c r="P179" s="256" t="s">
        <v>16</v>
      </c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</row>
    <row r="180" spans="1:31">
      <c r="A180" s="729"/>
      <c r="B180" s="855" t="s">
        <v>715</v>
      </c>
      <c r="C180" s="855" t="s">
        <v>299</v>
      </c>
      <c r="D180" s="819">
        <f>$C$150</f>
        <v>612247701</v>
      </c>
      <c r="E180" s="819">
        <f>$C$151</f>
        <v>744218137</v>
      </c>
      <c r="F180" s="819">
        <f>$C$152</f>
        <v>787041187</v>
      </c>
      <c r="G180" s="819">
        <f>$C$153</f>
        <v>750867662</v>
      </c>
      <c r="H180" s="826">
        <v>0</v>
      </c>
      <c r="I180" s="826">
        <v>0</v>
      </c>
      <c r="J180" s="826">
        <v>0</v>
      </c>
      <c r="K180" s="826">
        <v>0</v>
      </c>
      <c r="L180" s="826">
        <v>0</v>
      </c>
      <c r="M180" s="826">
        <v>0</v>
      </c>
      <c r="N180" s="826">
        <v>0</v>
      </c>
      <c r="O180" s="826">
        <v>0</v>
      </c>
      <c r="P180" s="819">
        <f t="shared" ref="P180:P202" si="10">SUM(D180:O180)</f>
        <v>2894374687</v>
      </c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</row>
    <row r="181" spans="1:31">
      <c r="A181" s="729"/>
      <c r="B181" s="257" t="s">
        <v>716</v>
      </c>
      <c r="C181" s="257" t="s">
        <v>717</v>
      </c>
      <c r="D181" s="407">
        <v>0</v>
      </c>
      <c r="E181" s="407">
        <v>0</v>
      </c>
      <c r="F181" s="407">
        <v>0</v>
      </c>
      <c r="G181" s="407">
        <v>0</v>
      </c>
      <c r="H181" s="408">
        <f t="shared" ref="H181:O181" si="11">$C$149</f>
        <v>800000000</v>
      </c>
      <c r="I181" s="408">
        <f t="shared" si="11"/>
        <v>800000000</v>
      </c>
      <c r="J181" s="408">
        <f t="shared" si="11"/>
        <v>800000000</v>
      </c>
      <c r="K181" s="408">
        <f t="shared" si="11"/>
        <v>800000000</v>
      </c>
      <c r="L181" s="408">
        <f t="shared" si="11"/>
        <v>800000000</v>
      </c>
      <c r="M181" s="408">
        <f t="shared" si="11"/>
        <v>800000000</v>
      </c>
      <c r="N181" s="408">
        <f t="shared" si="11"/>
        <v>800000000</v>
      </c>
      <c r="O181" s="408">
        <f t="shared" si="11"/>
        <v>800000000</v>
      </c>
      <c r="P181" s="408">
        <f t="shared" si="10"/>
        <v>6400000000</v>
      </c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</row>
    <row r="182" spans="1:31">
      <c r="A182" s="729"/>
      <c r="B182" s="257" t="s">
        <v>301</v>
      </c>
      <c r="C182" s="257" t="s">
        <v>718</v>
      </c>
      <c r="D182" s="408">
        <f t="shared" ref="D182:O182" si="12">SUM(D183:D187)</f>
        <v>0</v>
      </c>
      <c r="E182" s="408">
        <f t="shared" si="12"/>
        <v>0</v>
      </c>
      <c r="F182" s="408">
        <f t="shared" si="12"/>
        <v>0</v>
      </c>
      <c r="G182" s="408">
        <f t="shared" si="12"/>
        <v>0</v>
      </c>
      <c r="H182" s="408">
        <f t="shared" si="12"/>
        <v>61336000</v>
      </c>
      <c r="I182" s="408">
        <f t="shared" si="12"/>
        <v>92004000</v>
      </c>
      <c r="J182" s="408">
        <f t="shared" si="12"/>
        <v>122672000</v>
      </c>
      <c r="K182" s="408">
        <f t="shared" si="12"/>
        <v>153340000</v>
      </c>
      <c r="L182" s="408">
        <f t="shared" si="12"/>
        <v>184008000</v>
      </c>
      <c r="M182" s="408">
        <f t="shared" si="12"/>
        <v>214676000</v>
      </c>
      <c r="N182" s="408">
        <f t="shared" si="12"/>
        <v>245344000</v>
      </c>
      <c r="O182" s="408">
        <f t="shared" si="12"/>
        <v>276012000</v>
      </c>
      <c r="P182" s="408">
        <f t="shared" si="10"/>
        <v>1349392000</v>
      </c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</row>
    <row r="183" spans="1:31">
      <c r="A183" s="729"/>
      <c r="B183" s="855" t="s">
        <v>719</v>
      </c>
      <c r="C183" s="855" t="s">
        <v>699</v>
      </c>
      <c r="D183" s="826">
        <v>0</v>
      </c>
      <c r="E183" s="826">
        <v>0</v>
      </c>
      <c r="F183" s="826">
        <v>0</v>
      </c>
      <c r="G183" s="826">
        <v>0</v>
      </c>
      <c r="H183" s="819">
        <f>$C$161*$C$148*2/45</f>
        <v>8200000</v>
      </c>
      <c r="I183" s="819">
        <f>$C$161*$C$148*3/45</f>
        <v>12300000</v>
      </c>
      <c r="J183" s="819">
        <f>$C$161*$C$148*4/45</f>
        <v>16400000</v>
      </c>
      <c r="K183" s="819">
        <f>$C$161*$C$148*5/45</f>
        <v>20500000</v>
      </c>
      <c r="L183" s="819">
        <f>$C$161*$C$148*6/45</f>
        <v>24600000</v>
      </c>
      <c r="M183" s="819">
        <f>$C$161*$C$148*7/45</f>
        <v>28700000</v>
      </c>
      <c r="N183" s="819">
        <f>$C$161*$C$148*8/45</f>
        <v>32800000</v>
      </c>
      <c r="O183" s="819">
        <f>$C$161*$C$148*9/45</f>
        <v>36900000</v>
      </c>
      <c r="P183" s="819">
        <f t="shared" si="10"/>
        <v>180400000</v>
      </c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</row>
    <row r="184" spans="1:31">
      <c r="A184" s="729"/>
      <c r="B184" s="855" t="s">
        <v>719</v>
      </c>
      <c r="C184" s="855" t="s">
        <v>700</v>
      </c>
      <c r="D184" s="826">
        <v>0</v>
      </c>
      <c r="E184" s="826">
        <v>0</v>
      </c>
      <c r="F184" s="826">
        <v>0</v>
      </c>
      <c r="G184" s="826">
        <v>0</v>
      </c>
      <c r="H184" s="819">
        <f>$C$162*$C$148*2/45</f>
        <v>8200000</v>
      </c>
      <c r="I184" s="819">
        <f>$C$162*$C$148*3/45</f>
        <v>12300000</v>
      </c>
      <c r="J184" s="819">
        <f>$C$162*$C$148*4/45</f>
        <v>16400000</v>
      </c>
      <c r="K184" s="819">
        <f>$C$162*$C$148*5/45</f>
        <v>20500000</v>
      </c>
      <c r="L184" s="819">
        <f>$C$162*$C$148*6/45</f>
        <v>24600000</v>
      </c>
      <c r="M184" s="819">
        <f>$C$162*$C$148*7/45</f>
        <v>28700000</v>
      </c>
      <c r="N184" s="819">
        <f>$C$162*$C$148*8/45</f>
        <v>32800000</v>
      </c>
      <c r="O184" s="819">
        <f>$C$162*$C$148*9/45</f>
        <v>36900000</v>
      </c>
      <c r="P184" s="819">
        <f t="shared" si="10"/>
        <v>180400000</v>
      </c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</row>
    <row r="185" spans="1:31">
      <c r="A185" s="729"/>
      <c r="B185" s="855" t="s">
        <v>719</v>
      </c>
      <c r="C185" s="855" t="s">
        <v>701</v>
      </c>
      <c r="D185" s="826">
        <v>0</v>
      </c>
      <c r="E185" s="826">
        <v>0</v>
      </c>
      <c r="F185" s="826">
        <v>0</v>
      </c>
      <c r="G185" s="826">
        <v>0</v>
      </c>
      <c r="H185" s="819">
        <f>$C$163*$C$148*2/45</f>
        <v>8200000</v>
      </c>
      <c r="I185" s="819">
        <f>$C$163*$C$148*3/45</f>
        <v>12300000</v>
      </c>
      <c r="J185" s="819">
        <f>$C$163*$C$148*4/45</f>
        <v>16400000</v>
      </c>
      <c r="K185" s="819">
        <f>$C$163*$C$148*5/45</f>
        <v>20500000</v>
      </c>
      <c r="L185" s="819">
        <f>$C$163*$C$148*6/45</f>
        <v>24600000</v>
      </c>
      <c r="M185" s="819">
        <f>$C$163*$C$148*7/45</f>
        <v>28700000</v>
      </c>
      <c r="N185" s="819">
        <f>$C$163*$C$148*8/45</f>
        <v>32800000</v>
      </c>
      <c r="O185" s="819">
        <f>$C$163*$C$148*9/45</f>
        <v>36900000</v>
      </c>
      <c r="P185" s="819">
        <f t="shared" si="10"/>
        <v>180400000</v>
      </c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</row>
    <row r="186" spans="1:31">
      <c r="A186" s="729"/>
      <c r="B186" s="855" t="s">
        <v>719</v>
      </c>
      <c r="C186" s="855" t="s">
        <v>702</v>
      </c>
      <c r="D186" s="826">
        <v>0</v>
      </c>
      <c r="E186" s="826">
        <v>0</v>
      </c>
      <c r="F186" s="826">
        <v>0</v>
      </c>
      <c r="G186" s="826">
        <v>0</v>
      </c>
      <c r="H186" s="819">
        <f>$C$164*$C$148*2/45</f>
        <v>32800000</v>
      </c>
      <c r="I186" s="819">
        <f>$C$164*$C$148*3/45</f>
        <v>49200000</v>
      </c>
      <c r="J186" s="819">
        <f>$C$164*$C$148*4/45</f>
        <v>65600000</v>
      </c>
      <c r="K186" s="819">
        <f>$C$164*$C$148*5/45</f>
        <v>82000000</v>
      </c>
      <c r="L186" s="819">
        <f>$C$164*$C$148*6/45</f>
        <v>98400000</v>
      </c>
      <c r="M186" s="819">
        <f>$C$164*$C$148*7/45</f>
        <v>114800000</v>
      </c>
      <c r="N186" s="819">
        <f>$C$164*$C$148*8/45</f>
        <v>131200000</v>
      </c>
      <c r="O186" s="819">
        <f>$C$164*$C$148*9/45</f>
        <v>147600000</v>
      </c>
      <c r="P186" s="819">
        <f t="shared" si="10"/>
        <v>721600000</v>
      </c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</row>
    <row r="187" spans="1:31">
      <c r="A187" s="729"/>
      <c r="B187" s="855" t="s">
        <v>719</v>
      </c>
      <c r="C187" s="855" t="s">
        <v>703</v>
      </c>
      <c r="D187" s="826">
        <v>0</v>
      </c>
      <c r="E187" s="826">
        <v>0</v>
      </c>
      <c r="F187" s="826">
        <v>0</v>
      </c>
      <c r="G187" s="826">
        <v>0</v>
      </c>
      <c r="H187" s="819">
        <f>$C$165*$C$148*2/45</f>
        <v>3936000</v>
      </c>
      <c r="I187" s="819">
        <f>$C$165*$C$148*3/45</f>
        <v>5904000</v>
      </c>
      <c r="J187" s="819">
        <f>$C$165*$C$148*4/45</f>
        <v>7872000</v>
      </c>
      <c r="K187" s="819">
        <f>$C$165*$C$148*5/45</f>
        <v>9840000</v>
      </c>
      <c r="L187" s="819">
        <f>$C$165*$C$148*6/45</f>
        <v>11808000</v>
      </c>
      <c r="M187" s="819">
        <f>$C$165*$C$148*7/45</f>
        <v>13776000</v>
      </c>
      <c r="N187" s="819">
        <f>$C$165*$C$148*8/45</f>
        <v>15744000</v>
      </c>
      <c r="O187" s="819">
        <f>$C$165*$C$148*9/45</f>
        <v>17712000</v>
      </c>
      <c r="P187" s="819">
        <f t="shared" si="10"/>
        <v>86592000</v>
      </c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</row>
    <row r="188" spans="1:31">
      <c r="A188" s="729"/>
      <c r="B188" s="855" t="s">
        <v>720</v>
      </c>
      <c r="C188" s="855" t="s">
        <v>698</v>
      </c>
      <c r="D188" s="826">
        <v>0</v>
      </c>
      <c r="E188" s="826">
        <v>0</v>
      </c>
      <c r="F188" s="826">
        <v>0</v>
      </c>
      <c r="G188" s="826">
        <v>0</v>
      </c>
      <c r="H188" s="819">
        <f>$C$158*$C$148*2/45</f>
        <v>10332000</v>
      </c>
      <c r="I188" s="819">
        <f>$C$158*$C$148*3/45</f>
        <v>15498000</v>
      </c>
      <c r="J188" s="819">
        <f>$C$158*$C$148*4/45</f>
        <v>20664000</v>
      </c>
      <c r="K188" s="819">
        <f>$C$158*$C$148*5/45</f>
        <v>25830000</v>
      </c>
      <c r="L188" s="819">
        <f>$C$158*$C$148*6/45</f>
        <v>30996000</v>
      </c>
      <c r="M188" s="819">
        <f>$C$158*$C$148*7/45</f>
        <v>36162000</v>
      </c>
      <c r="N188" s="819">
        <f>$C$158*$C$148*8/45</f>
        <v>41328000</v>
      </c>
      <c r="O188" s="819">
        <f>$C$158*$C$148*9/45</f>
        <v>46494000</v>
      </c>
      <c r="P188" s="819">
        <f t="shared" si="10"/>
        <v>227304000</v>
      </c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</row>
    <row r="189" spans="1:31">
      <c r="A189" s="729"/>
      <c r="B189" s="257" t="s">
        <v>303</v>
      </c>
      <c r="C189" s="257" t="s">
        <v>721</v>
      </c>
      <c r="D189" s="408">
        <f t="shared" ref="D189:O189" si="13">SUM(D190:D193)</f>
        <v>0</v>
      </c>
      <c r="E189" s="408">
        <f t="shared" si="13"/>
        <v>0</v>
      </c>
      <c r="F189" s="408">
        <f t="shared" si="13"/>
        <v>0</v>
      </c>
      <c r="G189" s="408">
        <f t="shared" si="13"/>
        <v>0</v>
      </c>
      <c r="H189" s="408">
        <f t="shared" si="13"/>
        <v>0</v>
      </c>
      <c r="I189" s="408">
        <f t="shared" si="13"/>
        <v>66815357.142857142</v>
      </c>
      <c r="J189" s="408">
        <f t="shared" si="13"/>
        <v>133630714.28571428</v>
      </c>
      <c r="K189" s="408">
        <f t="shared" si="13"/>
        <v>200446071.42857143</v>
      </c>
      <c r="L189" s="408">
        <f t="shared" si="13"/>
        <v>267261428.57142857</v>
      </c>
      <c r="M189" s="408">
        <f t="shared" si="13"/>
        <v>334076785.71428573</v>
      </c>
      <c r="N189" s="408">
        <f t="shared" si="13"/>
        <v>400892142.85714287</v>
      </c>
      <c r="O189" s="408">
        <f t="shared" si="13"/>
        <v>467707500</v>
      </c>
      <c r="P189" s="408">
        <f t="shared" si="10"/>
        <v>1870830000</v>
      </c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</row>
    <row r="190" spans="1:31">
      <c r="A190" s="729"/>
      <c r="B190" s="855" t="s">
        <v>303</v>
      </c>
      <c r="C190" s="855" t="s">
        <v>704</v>
      </c>
      <c r="D190" s="826">
        <v>0</v>
      </c>
      <c r="E190" s="826">
        <v>0</v>
      </c>
      <c r="F190" s="826">
        <v>0</v>
      </c>
      <c r="G190" s="826">
        <v>0</v>
      </c>
      <c r="H190" s="826">
        <v>0</v>
      </c>
      <c r="I190" s="819">
        <f>$C$167*$C$148*1/28</f>
        <v>39535714.285714284</v>
      </c>
      <c r="J190" s="819">
        <f>$C$167*$C$148*2/28</f>
        <v>79071428.571428567</v>
      </c>
      <c r="K190" s="819">
        <f>$C$167*$C$148*3/28</f>
        <v>118607142.85714285</v>
      </c>
      <c r="L190" s="819">
        <f>$C$167*$C$148*4/28</f>
        <v>158142857.14285713</v>
      </c>
      <c r="M190" s="819">
        <f>$C$167*$C$148*5/28</f>
        <v>197678571.42857143</v>
      </c>
      <c r="N190" s="819">
        <f>$C$167*$C$148*6/28</f>
        <v>237214285.7142857</v>
      </c>
      <c r="O190" s="819">
        <f>$C$167*$C$148*7/28</f>
        <v>276750000</v>
      </c>
      <c r="P190" s="819">
        <f t="shared" si="10"/>
        <v>1107000000</v>
      </c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</row>
    <row r="191" spans="1:31">
      <c r="A191" s="729"/>
      <c r="B191" s="855" t="s">
        <v>303</v>
      </c>
      <c r="C191" s="855" t="s">
        <v>705</v>
      </c>
      <c r="D191" s="826">
        <v>0</v>
      </c>
      <c r="E191" s="826">
        <v>0</v>
      </c>
      <c r="F191" s="826">
        <v>0</v>
      </c>
      <c r="G191" s="826">
        <v>0</v>
      </c>
      <c r="H191" s="826">
        <v>0</v>
      </c>
      <c r="I191" s="819">
        <f>$C$168*$C$148*1/28</f>
        <v>13837500</v>
      </c>
      <c r="J191" s="819">
        <f>$C$168*$C$148*2/28</f>
        <v>27675000</v>
      </c>
      <c r="K191" s="819">
        <f>$C$168*$C$148*3/28</f>
        <v>41512500</v>
      </c>
      <c r="L191" s="819">
        <f>$C$168*$C$148*4/28</f>
        <v>55350000</v>
      </c>
      <c r="M191" s="819">
        <f>$C$168*$C$148*5/28</f>
        <v>69187500</v>
      </c>
      <c r="N191" s="819">
        <f>$C$168*$C$148*6/28</f>
        <v>83025000</v>
      </c>
      <c r="O191" s="819">
        <f>$C$168*$C$148*7/28</f>
        <v>96862500</v>
      </c>
      <c r="P191" s="819">
        <f t="shared" si="10"/>
        <v>387450000</v>
      </c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</row>
    <row r="192" spans="1:31">
      <c r="A192" s="729"/>
      <c r="B192" s="855" t="s">
        <v>303</v>
      </c>
      <c r="C192" s="855" t="s">
        <v>706</v>
      </c>
      <c r="D192" s="826">
        <v>0</v>
      </c>
      <c r="E192" s="826">
        <v>0</v>
      </c>
      <c r="F192" s="826">
        <v>0</v>
      </c>
      <c r="G192" s="826">
        <v>0</v>
      </c>
      <c r="H192" s="826">
        <v>0</v>
      </c>
      <c r="I192" s="819">
        <f>$C$169*$C$148*1/28</f>
        <v>7907142.8571428573</v>
      </c>
      <c r="J192" s="819">
        <f>$C$169*$C$148*2/28</f>
        <v>15814285.714285715</v>
      </c>
      <c r="K192" s="819">
        <f>$C$169*$C$148*3/28</f>
        <v>23721428.571428571</v>
      </c>
      <c r="L192" s="819">
        <f>$C$169*$C$148*4/28</f>
        <v>31628571.428571429</v>
      </c>
      <c r="M192" s="819">
        <f>$C$169*$C$148*5/28</f>
        <v>39535714.285714284</v>
      </c>
      <c r="N192" s="819">
        <f>$C$169*$C$148*6/28</f>
        <v>47442857.142857142</v>
      </c>
      <c r="O192" s="819">
        <f>$C$169*$C$148*7/28</f>
        <v>55350000</v>
      </c>
      <c r="P192" s="819">
        <f t="shared" si="10"/>
        <v>221400000</v>
      </c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</row>
    <row r="193" spans="1:31">
      <c r="A193" s="729"/>
      <c r="B193" s="855" t="s">
        <v>303</v>
      </c>
      <c r="C193" s="855" t="s">
        <v>707</v>
      </c>
      <c r="D193" s="826">
        <v>0</v>
      </c>
      <c r="E193" s="826">
        <v>0</v>
      </c>
      <c r="F193" s="826">
        <v>0</v>
      </c>
      <c r="G193" s="826">
        <v>0</v>
      </c>
      <c r="H193" s="826">
        <v>0</v>
      </c>
      <c r="I193" s="819">
        <f>$C$170*$C$148*1/28</f>
        <v>5535000</v>
      </c>
      <c r="J193" s="819">
        <f>$C$170*$C$148*2/28</f>
        <v>11070000</v>
      </c>
      <c r="K193" s="819">
        <f>$C$170*$C$148*3/28</f>
        <v>16605000</v>
      </c>
      <c r="L193" s="819">
        <f>$C$170*$C$148*4/28</f>
        <v>22140000</v>
      </c>
      <c r="M193" s="819">
        <f>$C$170*$C$148*5/28</f>
        <v>27675000</v>
      </c>
      <c r="N193" s="819">
        <f>$C$170*$C$148*6/28</f>
        <v>33210000</v>
      </c>
      <c r="O193" s="819">
        <f>$C$170*$C$148*7/28</f>
        <v>38745000</v>
      </c>
      <c r="P193" s="819">
        <f t="shared" si="10"/>
        <v>154980000</v>
      </c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</row>
    <row r="194" spans="1:31">
      <c r="A194" s="729"/>
      <c r="B194" s="257" t="s">
        <v>708</v>
      </c>
      <c r="C194" s="257" t="s">
        <v>722</v>
      </c>
      <c r="D194" s="408">
        <f t="shared" ref="D194:O194" si="14">SUM(D195:D197)</f>
        <v>0</v>
      </c>
      <c r="E194" s="408">
        <f t="shared" si="14"/>
        <v>0</v>
      </c>
      <c r="F194" s="408">
        <f t="shared" si="14"/>
        <v>0</v>
      </c>
      <c r="G194" s="408">
        <f t="shared" si="14"/>
        <v>0</v>
      </c>
      <c r="H194" s="408">
        <f t="shared" si="14"/>
        <v>36080000</v>
      </c>
      <c r="I194" s="408">
        <f t="shared" si="14"/>
        <v>54120000</v>
      </c>
      <c r="J194" s="408">
        <f t="shared" si="14"/>
        <v>72160000</v>
      </c>
      <c r="K194" s="408">
        <f t="shared" si="14"/>
        <v>90200000</v>
      </c>
      <c r="L194" s="408">
        <f t="shared" si="14"/>
        <v>108240000</v>
      </c>
      <c r="M194" s="408">
        <f t="shared" si="14"/>
        <v>126280000</v>
      </c>
      <c r="N194" s="408">
        <f t="shared" si="14"/>
        <v>144320000</v>
      </c>
      <c r="O194" s="408">
        <f t="shared" si="14"/>
        <v>162360000</v>
      </c>
      <c r="P194" s="408">
        <f t="shared" si="10"/>
        <v>793760000</v>
      </c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</row>
    <row r="195" spans="1:31">
      <c r="A195" s="729"/>
      <c r="B195" s="855" t="s">
        <v>723</v>
      </c>
      <c r="C195" s="855" t="s">
        <v>709</v>
      </c>
      <c r="D195" s="826">
        <v>0</v>
      </c>
      <c r="E195" s="826">
        <v>0</v>
      </c>
      <c r="F195" s="826">
        <v>0</v>
      </c>
      <c r="G195" s="826">
        <v>0</v>
      </c>
      <c r="H195" s="819">
        <f>$C$172*$C$148*2/45</f>
        <v>5904000</v>
      </c>
      <c r="I195" s="819">
        <f>$C$172*$C$148*3/45</f>
        <v>8856000</v>
      </c>
      <c r="J195" s="819">
        <f>$C$172*$C$148*4/45</f>
        <v>11808000</v>
      </c>
      <c r="K195" s="819">
        <f>$C$172*$C$148*5/45</f>
        <v>14760000</v>
      </c>
      <c r="L195" s="819">
        <f>$C$172*$C$148*6/45</f>
        <v>17712000</v>
      </c>
      <c r="M195" s="819">
        <f>$C$172*$C$148*7/45</f>
        <v>20664000</v>
      </c>
      <c r="N195" s="819">
        <f>$C$172*$C$148*8/45</f>
        <v>23616000</v>
      </c>
      <c r="O195" s="819">
        <f>$C$172*$C$148*9/45</f>
        <v>26568000</v>
      </c>
      <c r="P195" s="819">
        <f t="shared" si="10"/>
        <v>129888000</v>
      </c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</row>
    <row r="196" spans="1:31">
      <c r="A196" s="729"/>
      <c r="B196" s="855" t="s">
        <v>723</v>
      </c>
      <c r="C196" s="855" t="s">
        <v>710</v>
      </c>
      <c r="D196" s="826">
        <v>0</v>
      </c>
      <c r="E196" s="826">
        <v>0</v>
      </c>
      <c r="F196" s="826">
        <v>0</v>
      </c>
      <c r="G196" s="826">
        <v>0</v>
      </c>
      <c r="H196" s="819">
        <f>$C$173*$C$148*2/45</f>
        <v>13776000</v>
      </c>
      <c r="I196" s="819">
        <f>$C$173*$C$148*3/45</f>
        <v>20664000</v>
      </c>
      <c r="J196" s="819">
        <f>$C$173*$C$148*4/45</f>
        <v>27552000</v>
      </c>
      <c r="K196" s="819">
        <f>$C$173*$C$148*5/45</f>
        <v>34440000</v>
      </c>
      <c r="L196" s="819">
        <f>$C$173*$C$148*6/45</f>
        <v>41328000</v>
      </c>
      <c r="M196" s="819">
        <f>$C$173*$C$148*7/45</f>
        <v>48216000</v>
      </c>
      <c r="N196" s="819">
        <f>$C$173*$C$148*8/45</f>
        <v>55104000</v>
      </c>
      <c r="O196" s="819">
        <f>$C$173*$C$148*9/45</f>
        <v>61992000</v>
      </c>
      <c r="P196" s="819">
        <f t="shared" si="10"/>
        <v>303072000</v>
      </c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</row>
    <row r="197" spans="1:31">
      <c r="A197" s="729"/>
      <c r="B197" s="855" t="s">
        <v>723</v>
      </c>
      <c r="C197" s="855" t="s">
        <v>711</v>
      </c>
      <c r="D197" s="826">
        <v>0</v>
      </c>
      <c r="E197" s="826">
        <v>0</v>
      </c>
      <c r="F197" s="826">
        <v>0</v>
      </c>
      <c r="G197" s="826">
        <v>0</v>
      </c>
      <c r="H197" s="819">
        <f>$C$174*$C$148*2/45</f>
        <v>16400000</v>
      </c>
      <c r="I197" s="819">
        <f>$C$174*$C$148*3/45</f>
        <v>24600000</v>
      </c>
      <c r="J197" s="819">
        <f>$C$174*$C$148*4/45</f>
        <v>32800000</v>
      </c>
      <c r="K197" s="819">
        <f>$C$174*$C$148*5/45</f>
        <v>41000000</v>
      </c>
      <c r="L197" s="819">
        <f>$C$174*$C$148*6/45</f>
        <v>49200000</v>
      </c>
      <c r="M197" s="819">
        <f>$C$174*$C$148*7/45</f>
        <v>57400000</v>
      </c>
      <c r="N197" s="819">
        <f>$C$174*$C$148*8/45</f>
        <v>65600000</v>
      </c>
      <c r="O197" s="819">
        <f>$C$174*$C$148*9/45</f>
        <v>73800000</v>
      </c>
      <c r="P197" s="819">
        <f t="shared" si="10"/>
        <v>360800000</v>
      </c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</row>
    <row r="198" spans="1:31">
      <c r="A198" s="729"/>
      <c r="B198" s="257" t="s">
        <v>777</v>
      </c>
      <c r="C198" s="257" t="s">
        <v>797</v>
      </c>
      <c r="D198" s="408">
        <f t="shared" ref="D198:O198" si="15">D112</f>
        <v>0</v>
      </c>
      <c r="E198" s="408">
        <f t="shared" si="15"/>
        <v>0</v>
      </c>
      <c r="F198" s="408">
        <f t="shared" si="15"/>
        <v>0</v>
      </c>
      <c r="G198" s="408">
        <f t="shared" si="15"/>
        <v>0</v>
      </c>
      <c r="H198" s="408">
        <f t="shared" si="15"/>
        <v>0</v>
      </c>
      <c r="I198" s="408">
        <f t="shared" si="15"/>
        <v>15376230</v>
      </c>
      <c r="J198" s="408">
        <f t="shared" si="15"/>
        <v>15376230</v>
      </c>
      <c r="K198" s="408">
        <f t="shared" si="15"/>
        <v>450180000</v>
      </c>
      <c r="L198" s="408">
        <f t="shared" si="15"/>
        <v>450180000</v>
      </c>
      <c r="M198" s="408">
        <f t="shared" si="15"/>
        <v>450180000</v>
      </c>
      <c r="N198" s="408">
        <f t="shared" si="15"/>
        <v>450180000</v>
      </c>
      <c r="O198" s="408">
        <f t="shared" si="15"/>
        <v>450180000</v>
      </c>
      <c r="P198" s="408">
        <f t="shared" si="10"/>
        <v>2281652460</v>
      </c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</row>
    <row r="199" spans="1:31">
      <c r="A199" s="729"/>
      <c r="B199" s="257" t="s">
        <v>777</v>
      </c>
      <c r="C199" s="257" t="s">
        <v>798</v>
      </c>
      <c r="D199" s="408">
        <f t="shared" ref="D199:O199" si="16">D113</f>
        <v>0</v>
      </c>
      <c r="E199" s="408">
        <f t="shared" si="16"/>
        <v>0</v>
      </c>
      <c r="F199" s="408">
        <f t="shared" si="16"/>
        <v>0</v>
      </c>
      <c r="G199" s="408">
        <f t="shared" si="16"/>
        <v>0</v>
      </c>
      <c r="H199" s="408">
        <f t="shared" si="16"/>
        <v>479700000</v>
      </c>
      <c r="I199" s="408">
        <f t="shared" si="16"/>
        <v>0</v>
      </c>
      <c r="J199" s="408">
        <f t="shared" si="16"/>
        <v>0</v>
      </c>
      <c r="K199" s="408">
        <f t="shared" si="16"/>
        <v>0</v>
      </c>
      <c r="L199" s="408">
        <f t="shared" si="16"/>
        <v>0</v>
      </c>
      <c r="M199" s="408">
        <f t="shared" si="16"/>
        <v>0</v>
      </c>
      <c r="N199" s="408">
        <f t="shared" si="16"/>
        <v>0</v>
      </c>
      <c r="O199" s="408">
        <f t="shared" si="16"/>
        <v>0</v>
      </c>
      <c r="P199" s="408">
        <f t="shared" si="10"/>
        <v>479700000</v>
      </c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</row>
    <row r="200" spans="1:31">
      <c r="A200" s="729"/>
      <c r="B200" s="855" t="s">
        <v>725</v>
      </c>
      <c r="C200" s="855" t="s">
        <v>307</v>
      </c>
      <c r="D200" s="826">
        <v>0</v>
      </c>
      <c r="E200" s="826">
        <v>0</v>
      </c>
      <c r="F200" s="826">
        <v>0</v>
      </c>
      <c r="G200" s="826">
        <v>0</v>
      </c>
      <c r="H200" s="819">
        <f>-$C$156*$C$148*2/45</f>
        <v>-51660000</v>
      </c>
      <c r="I200" s="819">
        <f>-$C$156*$C$148*3/45</f>
        <v>-77490000</v>
      </c>
      <c r="J200" s="819">
        <f>-$C$156*$C$148*4/45</f>
        <v>-103320000</v>
      </c>
      <c r="K200" s="819">
        <f>-$C$156*$C$148*5/45</f>
        <v>-129150000</v>
      </c>
      <c r="L200" s="819">
        <f>-$C$156*$C$148*6/45</f>
        <v>-154980000</v>
      </c>
      <c r="M200" s="819">
        <f>-$C$156*$C$148*7/45</f>
        <v>-180810000</v>
      </c>
      <c r="N200" s="819">
        <f>-$C$156*$C$148*8/45</f>
        <v>-206640000</v>
      </c>
      <c r="O200" s="819">
        <f>-$C$156*$C$148*9/45</f>
        <v>-232470000</v>
      </c>
      <c r="P200" s="819">
        <f t="shared" si="10"/>
        <v>-1136520000</v>
      </c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</row>
    <row r="201" spans="1:31">
      <c r="A201" s="729"/>
      <c r="B201" s="855" t="s">
        <v>725</v>
      </c>
      <c r="C201" s="855" t="s">
        <v>308</v>
      </c>
      <c r="D201" s="826">
        <v>0</v>
      </c>
      <c r="E201" s="826">
        <v>0</v>
      </c>
      <c r="F201" s="826">
        <v>0</v>
      </c>
      <c r="G201" s="826">
        <v>0</v>
      </c>
      <c r="H201" s="819">
        <f>-$C$157*$C$148*2/45</f>
        <v>-6888000</v>
      </c>
      <c r="I201" s="819">
        <f>-$C$157*$C$148*3/45</f>
        <v>-10332000</v>
      </c>
      <c r="J201" s="819">
        <f>-$C$157*$C$148*4/45</f>
        <v>-13776000</v>
      </c>
      <c r="K201" s="819">
        <f>-$C$157*$C$148*5/45</f>
        <v>-17220000</v>
      </c>
      <c r="L201" s="819">
        <f>-$C$157*$C$148*6/45</f>
        <v>-20664000</v>
      </c>
      <c r="M201" s="819">
        <f>-$C$157*$C$148*7/45</f>
        <v>-24108000</v>
      </c>
      <c r="N201" s="819">
        <f>-$C$157*$C$148*8/45</f>
        <v>-27552000</v>
      </c>
      <c r="O201" s="819">
        <f>-$C$157*$C$148*9/45</f>
        <v>-30996000</v>
      </c>
      <c r="P201" s="819">
        <f t="shared" si="10"/>
        <v>-151536000</v>
      </c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</row>
    <row r="202" spans="1:31">
      <c r="A202" s="729"/>
      <c r="B202" s="569" t="s">
        <v>726</v>
      </c>
      <c r="C202" s="569" t="s">
        <v>727</v>
      </c>
      <c r="D202" s="568">
        <f t="shared" ref="D202:O202" si="17">D180+D181+D182+D188+D189+D194+D198+D199+D200+D201</f>
        <v>612247701</v>
      </c>
      <c r="E202" s="568">
        <f t="shared" si="17"/>
        <v>744218137</v>
      </c>
      <c r="F202" s="568">
        <f t="shared" si="17"/>
        <v>787041187</v>
      </c>
      <c r="G202" s="568">
        <f t="shared" si="17"/>
        <v>750867662</v>
      </c>
      <c r="H202" s="568">
        <f t="shared" si="17"/>
        <v>1328900000</v>
      </c>
      <c r="I202" s="568">
        <f t="shared" si="17"/>
        <v>955991587.14285719</v>
      </c>
      <c r="J202" s="568">
        <f t="shared" si="17"/>
        <v>1047406944.2857144</v>
      </c>
      <c r="K202" s="568">
        <f t="shared" si="17"/>
        <v>1573626071.4285715</v>
      </c>
      <c r="L202" s="568">
        <f t="shared" si="17"/>
        <v>1665041428.5714285</v>
      </c>
      <c r="M202" s="568">
        <f t="shared" si="17"/>
        <v>1756456785.7142859</v>
      </c>
      <c r="N202" s="568">
        <f t="shared" si="17"/>
        <v>1847872142.8571429</v>
      </c>
      <c r="O202" s="568">
        <f t="shared" si="17"/>
        <v>1939287500</v>
      </c>
      <c r="P202" s="568">
        <f t="shared" si="10"/>
        <v>15008957147</v>
      </c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</row>
    <row r="203" spans="1:31">
      <c r="A203" s="729"/>
      <c r="B203" s="855"/>
      <c r="C203" s="855"/>
      <c r="D203" s="855"/>
      <c r="E203" s="855"/>
      <c r="F203" s="855"/>
      <c r="G203" s="855"/>
      <c r="H203" s="855"/>
      <c r="I203" s="855"/>
      <c r="J203" s="855"/>
      <c r="K203" s="855"/>
      <c r="L203" s="855"/>
      <c r="M203" s="855"/>
      <c r="N203" s="855"/>
      <c r="O203" s="855"/>
      <c r="P203" s="855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</row>
    <row r="204" spans="1:31">
      <c r="A204" s="729"/>
      <c r="B204" s="814" t="s">
        <v>799</v>
      </c>
      <c r="C204" s="682"/>
      <c r="D204" s="682"/>
      <c r="E204" s="682"/>
      <c r="F204" s="682"/>
      <c r="G204" s="682"/>
      <c r="H204" s="682"/>
      <c r="I204" s="682"/>
      <c r="J204" s="682"/>
      <c r="K204" s="682"/>
      <c r="L204" s="682"/>
      <c r="M204" s="682"/>
      <c r="N204" s="682"/>
      <c r="O204" s="682"/>
      <c r="P204" s="682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</row>
    <row r="205" spans="1:31">
      <c r="A205" s="729"/>
      <c r="B205" s="255" t="s">
        <v>714</v>
      </c>
      <c r="C205" s="255" t="s">
        <v>675</v>
      </c>
      <c r="D205" s="256" t="s">
        <v>209</v>
      </c>
      <c r="E205" s="406">
        <v>46054</v>
      </c>
      <c r="F205" s="406">
        <v>46082</v>
      </c>
      <c r="G205" s="406">
        <v>46113</v>
      </c>
      <c r="H205" s="406">
        <v>46143</v>
      </c>
      <c r="I205" s="406">
        <v>46174</v>
      </c>
      <c r="J205" s="406">
        <v>46204</v>
      </c>
      <c r="K205" s="406">
        <v>46235</v>
      </c>
      <c r="L205" s="406">
        <v>46266</v>
      </c>
      <c r="M205" s="406">
        <v>46296</v>
      </c>
      <c r="N205" s="406">
        <v>46327</v>
      </c>
      <c r="O205" s="406">
        <v>46357</v>
      </c>
      <c r="P205" s="256" t="s">
        <v>16</v>
      </c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</row>
    <row r="206" spans="1:31">
      <c r="A206" s="729"/>
      <c r="B206" s="855" t="str">
        <f t="shared" ref="B206:C228" si="18">B180</f>
        <v>Actual</v>
      </c>
      <c r="C206" s="855" t="str">
        <f t="shared" si="18"/>
        <v>Ingresos reales reportados</v>
      </c>
      <c r="D206" s="714">
        <f t="shared" ref="D206:P206" si="19">D180/$C$148</f>
        <v>165920.7861788618</v>
      </c>
      <c r="E206" s="714">
        <f t="shared" si="19"/>
        <v>201685.13197831978</v>
      </c>
      <c r="F206" s="714">
        <f t="shared" si="19"/>
        <v>213290.2945799458</v>
      </c>
      <c r="G206" s="714">
        <f t="shared" si="19"/>
        <v>203487.17127371274</v>
      </c>
      <c r="H206" s="714">
        <f t="shared" si="19"/>
        <v>0</v>
      </c>
      <c r="I206" s="714">
        <f t="shared" si="19"/>
        <v>0</v>
      </c>
      <c r="J206" s="714">
        <f t="shared" si="19"/>
        <v>0</v>
      </c>
      <c r="K206" s="714">
        <f t="shared" si="19"/>
        <v>0</v>
      </c>
      <c r="L206" s="714">
        <f t="shared" si="19"/>
        <v>0</v>
      </c>
      <c r="M206" s="714">
        <f t="shared" si="19"/>
        <v>0</v>
      </c>
      <c r="N206" s="714">
        <f t="shared" si="19"/>
        <v>0</v>
      </c>
      <c r="O206" s="714">
        <f t="shared" si="19"/>
        <v>0</v>
      </c>
      <c r="P206" s="714">
        <f t="shared" si="19"/>
        <v>784383.38401084009</v>
      </c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</row>
    <row r="207" spans="1:31">
      <c r="A207" s="729"/>
      <c r="B207" s="257" t="str">
        <f t="shared" si="18"/>
        <v>Base recurrente</v>
      </c>
      <c r="C207" s="257" t="str">
        <f t="shared" si="18"/>
        <v>MRR base (800M plano Abr-Dic)</v>
      </c>
      <c r="D207" s="411">
        <f t="shared" ref="D207:P207" si="20">D181/$C$148</f>
        <v>0</v>
      </c>
      <c r="E207" s="411">
        <f t="shared" si="20"/>
        <v>0</v>
      </c>
      <c r="F207" s="411">
        <f t="shared" si="20"/>
        <v>0</v>
      </c>
      <c r="G207" s="411">
        <f t="shared" si="20"/>
        <v>0</v>
      </c>
      <c r="H207" s="411">
        <f t="shared" si="20"/>
        <v>216802.16802168021</v>
      </c>
      <c r="I207" s="411">
        <f t="shared" si="20"/>
        <v>216802.16802168021</v>
      </c>
      <c r="J207" s="411">
        <f t="shared" si="20"/>
        <v>216802.16802168021</v>
      </c>
      <c r="K207" s="411">
        <f t="shared" si="20"/>
        <v>216802.16802168021</v>
      </c>
      <c r="L207" s="411">
        <f t="shared" si="20"/>
        <v>216802.16802168021</v>
      </c>
      <c r="M207" s="411">
        <f t="shared" si="20"/>
        <v>216802.16802168021</v>
      </c>
      <c r="N207" s="411">
        <f t="shared" si="20"/>
        <v>216802.16802168021</v>
      </c>
      <c r="O207" s="411">
        <f t="shared" si="20"/>
        <v>216802.16802168021</v>
      </c>
      <c r="P207" s="411">
        <f t="shared" si="20"/>
        <v>1734417.3441734416</v>
      </c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</row>
    <row r="208" spans="1:31">
      <c r="A208" s="729"/>
      <c r="B208" s="257" t="str">
        <f t="shared" si="18"/>
        <v>Logos nuevos (MRR)</v>
      </c>
      <c r="C208" s="257" t="str">
        <f t="shared" si="18"/>
        <v>Subtotal logos nuevos</v>
      </c>
      <c r="D208" s="411">
        <f t="shared" ref="D208:P208" si="21">D182/$C$148</f>
        <v>0</v>
      </c>
      <c r="E208" s="411">
        <f t="shared" si="21"/>
        <v>0</v>
      </c>
      <c r="F208" s="411">
        <f t="shared" si="21"/>
        <v>0</v>
      </c>
      <c r="G208" s="411">
        <f t="shared" si="21"/>
        <v>0</v>
      </c>
      <c r="H208" s="411">
        <f t="shared" si="21"/>
        <v>16622.222222222223</v>
      </c>
      <c r="I208" s="411">
        <f t="shared" si="21"/>
        <v>24933.333333333332</v>
      </c>
      <c r="J208" s="411">
        <f t="shared" si="21"/>
        <v>33244.444444444445</v>
      </c>
      <c r="K208" s="411">
        <f t="shared" si="21"/>
        <v>41555.555555555555</v>
      </c>
      <c r="L208" s="411">
        <f t="shared" si="21"/>
        <v>49866.666666666664</v>
      </c>
      <c r="M208" s="411">
        <f t="shared" si="21"/>
        <v>58177.777777777781</v>
      </c>
      <c r="N208" s="411">
        <f t="shared" si="21"/>
        <v>66488.888888888891</v>
      </c>
      <c r="O208" s="411">
        <f t="shared" si="21"/>
        <v>74800</v>
      </c>
      <c r="P208" s="411">
        <f t="shared" si="21"/>
        <v>365688.88888888888</v>
      </c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</row>
    <row r="209" spans="1:31">
      <c r="A209" s="729"/>
      <c r="B209" s="855" t="str">
        <f t="shared" si="18"/>
        <v>Logos nuevos</v>
      </c>
      <c r="C209" s="855" t="str">
        <f t="shared" si="18"/>
        <v xml:space="preserve">   Siesa</v>
      </c>
      <c r="D209" s="714">
        <f t="shared" ref="D209:P209" si="22">D183/$C$148</f>
        <v>0</v>
      </c>
      <c r="E209" s="714">
        <f t="shared" si="22"/>
        <v>0</v>
      </c>
      <c r="F209" s="714">
        <f t="shared" si="22"/>
        <v>0</v>
      </c>
      <c r="G209" s="714">
        <f t="shared" si="22"/>
        <v>0</v>
      </c>
      <c r="H209" s="714">
        <f t="shared" si="22"/>
        <v>2222.2222222222222</v>
      </c>
      <c r="I209" s="714">
        <f t="shared" si="22"/>
        <v>3333.3333333333335</v>
      </c>
      <c r="J209" s="714">
        <f t="shared" si="22"/>
        <v>4444.4444444444443</v>
      </c>
      <c r="K209" s="714">
        <f t="shared" si="22"/>
        <v>5555.5555555555557</v>
      </c>
      <c r="L209" s="714">
        <f t="shared" si="22"/>
        <v>6666.666666666667</v>
      </c>
      <c r="M209" s="714">
        <f t="shared" si="22"/>
        <v>7777.7777777777774</v>
      </c>
      <c r="N209" s="714">
        <f t="shared" si="22"/>
        <v>8888.8888888888887</v>
      </c>
      <c r="O209" s="714">
        <f t="shared" si="22"/>
        <v>10000</v>
      </c>
      <c r="P209" s="714">
        <f t="shared" si="22"/>
        <v>48888.888888888891</v>
      </c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</row>
    <row r="210" spans="1:31">
      <c r="A210" s="729"/>
      <c r="B210" s="855" t="str">
        <f t="shared" si="18"/>
        <v>Logos nuevos</v>
      </c>
      <c r="C210" s="855" t="str">
        <f t="shared" si="18"/>
        <v xml:space="preserve">   Indigo</v>
      </c>
      <c r="D210" s="714">
        <f t="shared" ref="D210:P210" si="23">D184/$C$148</f>
        <v>0</v>
      </c>
      <c r="E210" s="714">
        <f t="shared" si="23"/>
        <v>0</v>
      </c>
      <c r="F210" s="714">
        <f t="shared" si="23"/>
        <v>0</v>
      </c>
      <c r="G210" s="714">
        <f t="shared" si="23"/>
        <v>0</v>
      </c>
      <c r="H210" s="714">
        <f t="shared" si="23"/>
        <v>2222.2222222222222</v>
      </c>
      <c r="I210" s="714">
        <f t="shared" si="23"/>
        <v>3333.3333333333335</v>
      </c>
      <c r="J210" s="714">
        <f t="shared" si="23"/>
        <v>4444.4444444444443</v>
      </c>
      <c r="K210" s="714">
        <f t="shared" si="23"/>
        <v>5555.5555555555557</v>
      </c>
      <c r="L210" s="714">
        <f t="shared" si="23"/>
        <v>6666.666666666667</v>
      </c>
      <c r="M210" s="714">
        <f t="shared" si="23"/>
        <v>7777.7777777777774</v>
      </c>
      <c r="N210" s="714">
        <f t="shared" si="23"/>
        <v>8888.8888888888887</v>
      </c>
      <c r="O210" s="714">
        <f t="shared" si="23"/>
        <v>10000</v>
      </c>
      <c r="P210" s="714">
        <f t="shared" si="23"/>
        <v>48888.888888888891</v>
      </c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</row>
    <row r="211" spans="1:31">
      <c r="A211" s="729"/>
      <c r="B211" s="855" t="str">
        <f t="shared" si="18"/>
        <v>Logos nuevos</v>
      </c>
      <c r="C211" s="855" t="str">
        <f t="shared" si="18"/>
        <v xml:space="preserve">   Weli</v>
      </c>
      <c r="D211" s="714">
        <f t="shared" ref="D211:P211" si="24">D185/$C$148</f>
        <v>0</v>
      </c>
      <c r="E211" s="714">
        <f t="shared" si="24"/>
        <v>0</v>
      </c>
      <c r="F211" s="714">
        <f t="shared" si="24"/>
        <v>0</v>
      </c>
      <c r="G211" s="714">
        <f t="shared" si="24"/>
        <v>0</v>
      </c>
      <c r="H211" s="714">
        <f t="shared" si="24"/>
        <v>2222.2222222222222</v>
      </c>
      <c r="I211" s="714">
        <f t="shared" si="24"/>
        <v>3333.3333333333335</v>
      </c>
      <c r="J211" s="714">
        <f t="shared" si="24"/>
        <v>4444.4444444444443</v>
      </c>
      <c r="K211" s="714">
        <f t="shared" si="24"/>
        <v>5555.5555555555557</v>
      </c>
      <c r="L211" s="714">
        <f t="shared" si="24"/>
        <v>6666.666666666667</v>
      </c>
      <c r="M211" s="714">
        <f t="shared" si="24"/>
        <v>7777.7777777777774</v>
      </c>
      <c r="N211" s="714">
        <f t="shared" si="24"/>
        <v>8888.8888888888887</v>
      </c>
      <c r="O211" s="714">
        <f t="shared" si="24"/>
        <v>10000</v>
      </c>
      <c r="P211" s="714">
        <f t="shared" si="24"/>
        <v>48888.888888888891</v>
      </c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</row>
    <row r="212" spans="1:31">
      <c r="A212" s="729"/>
      <c r="B212" s="855" t="str">
        <f t="shared" si="18"/>
        <v>Logos nuevos</v>
      </c>
      <c r="C212" s="855" t="str">
        <f t="shared" si="18"/>
        <v xml:space="preserve">   Menudeo</v>
      </c>
      <c r="D212" s="714">
        <f t="shared" ref="D212:P212" si="25">D186/$C$148</f>
        <v>0</v>
      </c>
      <c r="E212" s="714">
        <f t="shared" si="25"/>
        <v>0</v>
      </c>
      <c r="F212" s="714">
        <f t="shared" si="25"/>
        <v>0</v>
      </c>
      <c r="G212" s="714">
        <f t="shared" si="25"/>
        <v>0</v>
      </c>
      <c r="H212" s="714">
        <f t="shared" si="25"/>
        <v>8888.8888888888887</v>
      </c>
      <c r="I212" s="714">
        <f t="shared" si="25"/>
        <v>13333.333333333334</v>
      </c>
      <c r="J212" s="714">
        <f t="shared" si="25"/>
        <v>17777.777777777777</v>
      </c>
      <c r="K212" s="714">
        <f t="shared" si="25"/>
        <v>22222.222222222223</v>
      </c>
      <c r="L212" s="714">
        <f t="shared" si="25"/>
        <v>26666.666666666668</v>
      </c>
      <c r="M212" s="714">
        <f t="shared" si="25"/>
        <v>31111.111111111109</v>
      </c>
      <c r="N212" s="714">
        <f t="shared" si="25"/>
        <v>35555.555555555555</v>
      </c>
      <c r="O212" s="714">
        <f t="shared" si="25"/>
        <v>40000</v>
      </c>
      <c r="P212" s="714">
        <f t="shared" si="25"/>
        <v>195555.55555555556</v>
      </c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</row>
    <row r="213" spans="1:31">
      <c r="A213" s="729"/>
      <c r="B213" s="855" t="str">
        <f t="shared" si="18"/>
        <v>Logos nuevos</v>
      </c>
      <c r="C213" s="855" t="str">
        <f t="shared" si="18"/>
        <v xml:space="preserve">   Clientes &gt; 3mil citas</v>
      </c>
      <c r="D213" s="714">
        <f t="shared" ref="D213:P213" si="26">D187/$C$148</f>
        <v>0</v>
      </c>
      <c r="E213" s="714">
        <f t="shared" si="26"/>
        <v>0</v>
      </c>
      <c r="F213" s="714">
        <f t="shared" si="26"/>
        <v>0</v>
      </c>
      <c r="G213" s="714">
        <f t="shared" si="26"/>
        <v>0</v>
      </c>
      <c r="H213" s="714">
        <f t="shared" si="26"/>
        <v>1066.6666666666667</v>
      </c>
      <c r="I213" s="714">
        <f t="shared" si="26"/>
        <v>1600</v>
      </c>
      <c r="J213" s="714">
        <f t="shared" si="26"/>
        <v>2133.3333333333335</v>
      </c>
      <c r="K213" s="714">
        <f t="shared" si="26"/>
        <v>2666.6666666666665</v>
      </c>
      <c r="L213" s="714">
        <f t="shared" si="26"/>
        <v>3200</v>
      </c>
      <c r="M213" s="714">
        <f t="shared" si="26"/>
        <v>3733.3333333333335</v>
      </c>
      <c r="N213" s="714">
        <f t="shared" si="26"/>
        <v>4266.666666666667</v>
      </c>
      <c r="O213" s="714">
        <f t="shared" si="26"/>
        <v>4800</v>
      </c>
      <c r="P213" s="714">
        <f t="shared" si="26"/>
        <v>23466.666666666668</v>
      </c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</row>
    <row r="214" spans="1:31">
      <c r="A214" s="729"/>
      <c r="B214" s="855" t="str">
        <f t="shared" si="18"/>
        <v>One-off</v>
      </c>
      <c r="C214" s="855" t="str">
        <f t="shared" si="18"/>
        <v>One-off (imp. + interop.)</v>
      </c>
      <c r="D214" s="714">
        <f t="shared" ref="D214:P214" si="27">D188/$C$148</f>
        <v>0</v>
      </c>
      <c r="E214" s="714">
        <f t="shared" si="27"/>
        <v>0</v>
      </c>
      <c r="F214" s="714">
        <f t="shared" si="27"/>
        <v>0</v>
      </c>
      <c r="G214" s="714">
        <f t="shared" si="27"/>
        <v>0</v>
      </c>
      <c r="H214" s="714">
        <f t="shared" si="27"/>
        <v>2800</v>
      </c>
      <c r="I214" s="714">
        <f t="shared" si="27"/>
        <v>4200</v>
      </c>
      <c r="J214" s="714">
        <f t="shared" si="27"/>
        <v>5600</v>
      </c>
      <c r="K214" s="714">
        <f t="shared" si="27"/>
        <v>7000</v>
      </c>
      <c r="L214" s="714">
        <f t="shared" si="27"/>
        <v>8400</v>
      </c>
      <c r="M214" s="714">
        <f t="shared" si="27"/>
        <v>9800</v>
      </c>
      <c r="N214" s="714">
        <f t="shared" si="27"/>
        <v>11200</v>
      </c>
      <c r="O214" s="714">
        <f t="shared" si="27"/>
        <v>12600</v>
      </c>
      <c r="P214" s="714">
        <f t="shared" si="27"/>
        <v>61600</v>
      </c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</row>
    <row r="215" spans="1:31">
      <c r="A215" s="729"/>
      <c r="B215" s="257" t="str">
        <f t="shared" si="18"/>
        <v>Innovación</v>
      </c>
      <c r="C215" s="257" t="str">
        <f t="shared" si="18"/>
        <v>Subtotal innovación</v>
      </c>
      <c r="D215" s="411">
        <f t="shared" ref="D215:P215" si="28">D189/$C$148</f>
        <v>0</v>
      </c>
      <c r="E215" s="411">
        <f t="shared" si="28"/>
        <v>0</v>
      </c>
      <c r="F215" s="411">
        <f t="shared" si="28"/>
        <v>0</v>
      </c>
      <c r="G215" s="411">
        <f t="shared" si="28"/>
        <v>0</v>
      </c>
      <c r="H215" s="411">
        <f t="shared" si="28"/>
        <v>0</v>
      </c>
      <c r="I215" s="411">
        <f t="shared" si="28"/>
        <v>18107.142857142855</v>
      </c>
      <c r="J215" s="411">
        <f t="shared" si="28"/>
        <v>36214.28571428571</v>
      </c>
      <c r="K215" s="411">
        <f t="shared" si="28"/>
        <v>54321.428571428572</v>
      </c>
      <c r="L215" s="411">
        <f t="shared" si="28"/>
        <v>72428.57142857142</v>
      </c>
      <c r="M215" s="411">
        <f t="shared" si="28"/>
        <v>90535.71428571429</v>
      </c>
      <c r="N215" s="411">
        <f t="shared" si="28"/>
        <v>108642.85714285714</v>
      </c>
      <c r="O215" s="411">
        <f t="shared" si="28"/>
        <v>126750</v>
      </c>
      <c r="P215" s="411">
        <f t="shared" si="28"/>
        <v>507000</v>
      </c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</row>
    <row r="216" spans="1:31">
      <c r="A216" s="729"/>
      <c r="B216" s="855" t="str">
        <f t="shared" si="18"/>
        <v>Innovación</v>
      </c>
      <c r="C216" s="855" t="str">
        <f t="shared" si="18"/>
        <v xml:space="preserve">   Campañas + bot 2.0</v>
      </c>
      <c r="D216" s="714">
        <f t="shared" ref="D216:P216" si="29">D190/$C$148</f>
        <v>0</v>
      </c>
      <c r="E216" s="714">
        <f t="shared" si="29"/>
        <v>0</v>
      </c>
      <c r="F216" s="714">
        <f t="shared" si="29"/>
        <v>0</v>
      </c>
      <c r="G216" s="714">
        <f t="shared" si="29"/>
        <v>0</v>
      </c>
      <c r="H216" s="714">
        <f t="shared" si="29"/>
        <v>0</v>
      </c>
      <c r="I216" s="714">
        <f t="shared" si="29"/>
        <v>10714.285714285714</v>
      </c>
      <c r="J216" s="714">
        <f t="shared" si="29"/>
        <v>21428.571428571428</v>
      </c>
      <c r="K216" s="714">
        <f t="shared" si="29"/>
        <v>32142.857142857141</v>
      </c>
      <c r="L216" s="714">
        <f t="shared" si="29"/>
        <v>42857.142857142855</v>
      </c>
      <c r="M216" s="714">
        <f t="shared" si="29"/>
        <v>53571.428571428572</v>
      </c>
      <c r="N216" s="714">
        <f t="shared" si="29"/>
        <v>64285.714285714283</v>
      </c>
      <c r="O216" s="714">
        <f t="shared" si="29"/>
        <v>75000</v>
      </c>
      <c r="P216" s="714">
        <f t="shared" si="29"/>
        <v>300000</v>
      </c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</row>
    <row r="217" spans="1:31">
      <c r="A217" s="729"/>
      <c r="B217" s="855" t="str">
        <f t="shared" si="18"/>
        <v>Innovación</v>
      </c>
      <c r="C217" s="855" t="str">
        <f t="shared" si="18"/>
        <v xml:space="preserve">   COCO Pay</v>
      </c>
      <c r="D217" s="714">
        <f t="shared" ref="D217:P217" si="30">D191/$C$148</f>
        <v>0</v>
      </c>
      <c r="E217" s="714">
        <f t="shared" si="30"/>
        <v>0</v>
      </c>
      <c r="F217" s="714">
        <f t="shared" si="30"/>
        <v>0</v>
      </c>
      <c r="G217" s="714">
        <f t="shared" si="30"/>
        <v>0</v>
      </c>
      <c r="H217" s="714">
        <f t="shared" si="30"/>
        <v>0</v>
      </c>
      <c r="I217" s="714">
        <f t="shared" si="30"/>
        <v>3750</v>
      </c>
      <c r="J217" s="714">
        <f t="shared" si="30"/>
        <v>7500</v>
      </c>
      <c r="K217" s="714">
        <f t="shared" si="30"/>
        <v>11250</v>
      </c>
      <c r="L217" s="714">
        <f t="shared" si="30"/>
        <v>15000</v>
      </c>
      <c r="M217" s="714">
        <f t="shared" si="30"/>
        <v>18750</v>
      </c>
      <c r="N217" s="714">
        <f t="shared" si="30"/>
        <v>22500</v>
      </c>
      <c r="O217" s="714">
        <f t="shared" si="30"/>
        <v>26250</v>
      </c>
      <c r="P217" s="714">
        <f t="shared" si="30"/>
        <v>105000</v>
      </c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</row>
    <row r="218" spans="1:31">
      <c r="A218" s="729"/>
      <c r="B218" s="855" t="str">
        <f t="shared" si="18"/>
        <v>Innovación</v>
      </c>
      <c r="C218" s="855" t="str">
        <f t="shared" si="18"/>
        <v xml:space="preserve">   Cirugías</v>
      </c>
      <c r="D218" s="714">
        <f t="shared" ref="D218:P218" si="31">D192/$C$148</f>
        <v>0</v>
      </c>
      <c r="E218" s="714">
        <f t="shared" si="31"/>
        <v>0</v>
      </c>
      <c r="F218" s="714">
        <f t="shared" si="31"/>
        <v>0</v>
      </c>
      <c r="G218" s="714">
        <f t="shared" si="31"/>
        <v>0</v>
      </c>
      <c r="H218" s="714">
        <f t="shared" si="31"/>
        <v>0</v>
      </c>
      <c r="I218" s="714">
        <f t="shared" si="31"/>
        <v>2142.8571428571431</v>
      </c>
      <c r="J218" s="714">
        <f t="shared" si="31"/>
        <v>4285.7142857142862</v>
      </c>
      <c r="K218" s="714">
        <f t="shared" si="31"/>
        <v>6428.5714285714284</v>
      </c>
      <c r="L218" s="714">
        <f t="shared" si="31"/>
        <v>8571.4285714285725</v>
      </c>
      <c r="M218" s="714">
        <f t="shared" si="31"/>
        <v>10714.285714285714</v>
      </c>
      <c r="N218" s="714">
        <f t="shared" si="31"/>
        <v>12857.142857142857</v>
      </c>
      <c r="O218" s="714">
        <f t="shared" si="31"/>
        <v>15000</v>
      </c>
      <c r="P218" s="714">
        <f t="shared" si="31"/>
        <v>60000</v>
      </c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</row>
    <row r="219" spans="1:31">
      <c r="A219" s="729"/>
      <c r="B219" s="855" t="str">
        <f t="shared" si="18"/>
        <v>Innovación</v>
      </c>
      <c r="C219" s="855" t="str">
        <f t="shared" si="18"/>
        <v xml:space="preserve">   ChargeBee</v>
      </c>
      <c r="D219" s="714">
        <f t="shared" ref="D219:P219" si="32">D193/$C$148</f>
        <v>0</v>
      </c>
      <c r="E219" s="714">
        <f t="shared" si="32"/>
        <v>0</v>
      </c>
      <c r="F219" s="714">
        <f t="shared" si="32"/>
        <v>0</v>
      </c>
      <c r="G219" s="714">
        <f t="shared" si="32"/>
        <v>0</v>
      </c>
      <c r="H219" s="714">
        <f t="shared" si="32"/>
        <v>0</v>
      </c>
      <c r="I219" s="714">
        <f t="shared" si="32"/>
        <v>1500</v>
      </c>
      <c r="J219" s="714">
        <f t="shared" si="32"/>
        <v>3000</v>
      </c>
      <c r="K219" s="714">
        <f t="shared" si="32"/>
        <v>4500</v>
      </c>
      <c r="L219" s="714">
        <f t="shared" si="32"/>
        <v>6000</v>
      </c>
      <c r="M219" s="714">
        <f t="shared" si="32"/>
        <v>7500</v>
      </c>
      <c r="N219" s="714">
        <f t="shared" si="32"/>
        <v>9000</v>
      </c>
      <c r="O219" s="714">
        <f t="shared" si="32"/>
        <v>10500</v>
      </c>
      <c r="P219" s="714">
        <f t="shared" si="32"/>
        <v>42000</v>
      </c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</row>
    <row r="220" spans="1:31">
      <c r="A220" s="729"/>
      <c r="B220" s="257" t="str">
        <f t="shared" si="18"/>
        <v>Up/Cross Selling (NRR)</v>
      </c>
      <c r="C220" s="257" t="str">
        <f t="shared" si="18"/>
        <v>Subtotal up/cross selling</v>
      </c>
      <c r="D220" s="411">
        <f t="shared" ref="D220:P220" si="33">D194/$C$148</f>
        <v>0</v>
      </c>
      <c r="E220" s="411">
        <f t="shared" si="33"/>
        <v>0</v>
      </c>
      <c r="F220" s="411">
        <f t="shared" si="33"/>
        <v>0</v>
      </c>
      <c r="G220" s="411">
        <f t="shared" si="33"/>
        <v>0</v>
      </c>
      <c r="H220" s="411">
        <f t="shared" si="33"/>
        <v>9777.7777777777774</v>
      </c>
      <c r="I220" s="411">
        <f t="shared" si="33"/>
        <v>14666.666666666666</v>
      </c>
      <c r="J220" s="411">
        <f t="shared" si="33"/>
        <v>19555.555555555555</v>
      </c>
      <c r="K220" s="411">
        <f t="shared" si="33"/>
        <v>24444.444444444445</v>
      </c>
      <c r="L220" s="411">
        <f t="shared" si="33"/>
        <v>29333.333333333332</v>
      </c>
      <c r="M220" s="411">
        <f t="shared" si="33"/>
        <v>34222.222222222219</v>
      </c>
      <c r="N220" s="411">
        <f t="shared" si="33"/>
        <v>39111.111111111109</v>
      </c>
      <c r="O220" s="411">
        <f t="shared" si="33"/>
        <v>44000</v>
      </c>
      <c r="P220" s="411">
        <f t="shared" si="33"/>
        <v>215111.11111111112</v>
      </c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</row>
    <row r="221" spans="1:31">
      <c r="A221" s="729"/>
      <c r="B221" s="855" t="str">
        <f t="shared" si="18"/>
        <v>Up/Cross</v>
      </c>
      <c r="C221" s="855" t="str">
        <f t="shared" si="18"/>
        <v xml:space="preserve">   Comfama</v>
      </c>
      <c r="D221" s="714">
        <f t="shared" ref="D221:P221" si="34">D195/$C$148</f>
        <v>0</v>
      </c>
      <c r="E221" s="714">
        <f t="shared" si="34"/>
        <v>0</v>
      </c>
      <c r="F221" s="714">
        <f t="shared" si="34"/>
        <v>0</v>
      </c>
      <c r="G221" s="714">
        <f t="shared" si="34"/>
        <v>0</v>
      </c>
      <c r="H221" s="714">
        <f t="shared" si="34"/>
        <v>1600</v>
      </c>
      <c r="I221" s="714">
        <f t="shared" si="34"/>
        <v>2400</v>
      </c>
      <c r="J221" s="714">
        <f t="shared" si="34"/>
        <v>3200</v>
      </c>
      <c r="K221" s="714">
        <f t="shared" si="34"/>
        <v>4000</v>
      </c>
      <c r="L221" s="714">
        <f t="shared" si="34"/>
        <v>4800</v>
      </c>
      <c r="M221" s="714">
        <f t="shared" si="34"/>
        <v>5600</v>
      </c>
      <c r="N221" s="714">
        <f t="shared" si="34"/>
        <v>6400</v>
      </c>
      <c r="O221" s="714">
        <f t="shared" si="34"/>
        <v>7200</v>
      </c>
      <c r="P221" s="714">
        <f t="shared" si="34"/>
        <v>35200</v>
      </c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</row>
    <row r="222" spans="1:31">
      <c r="A222" s="729"/>
      <c r="B222" s="855" t="str">
        <f t="shared" si="18"/>
        <v>Up/Cross</v>
      </c>
      <c r="C222" s="855" t="str">
        <f t="shared" si="18"/>
        <v xml:space="preserve">   Maple</v>
      </c>
      <c r="D222" s="714">
        <f t="shared" ref="D222:P222" si="35">D196/$C$148</f>
        <v>0</v>
      </c>
      <c r="E222" s="714">
        <f t="shared" si="35"/>
        <v>0</v>
      </c>
      <c r="F222" s="714">
        <f t="shared" si="35"/>
        <v>0</v>
      </c>
      <c r="G222" s="714">
        <f t="shared" si="35"/>
        <v>0</v>
      </c>
      <c r="H222" s="714">
        <f t="shared" si="35"/>
        <v>3733.3333333333335</v>
      </c>
      <c r="I222" s="714">
        <f t="shared" si="35"/>
        <v>5600</v>
      </c>
      <c r="J222" s="714">
        <f t="shared" si="35"/>
        <v>7466.666666666667</v>
      </c>
      <c r="K222" s="714">
        <f t="shared" si="35"/>
        <v>9333.3333333333339</v>
      </c>
      <c r="L222" s="714">
        <f t="shared" si="35"/>
        <v>11200</v>
      </c>
      <c r="M222" s="714">
        <f t="shared" si="35"/>
        <v>13066.666666666666</v>
      </c>
      <c r="N222" s="714">
        <f t="shared" si="35"/>
        <v>14933.333333333334</v>
      </c>
      <c r="O222" s="714">
        <f t="shared" si="35"/>
        <v>16800</v>
      </c>
      <c r="P222" s="714">
        <f t="shared" si="35"/>
        <v>82133.333333333328</v>
      </c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</row>
    <row r="223" spans="1:31">
      <c r="A223" s="729"/>
      <c r="B223" s="855" t="str">
        <f t="shared" si="18"/>
        <v>Up/Cross</v>
      </c>
      <c r="C223" s="855" t="str">
        <f t="shared" si="18"/>
        <v xml:space="preserve">   Otros</v>
      </c>
      <c r="D223" s="714">
        <f t="shared" ref="D223:P223" si="36">D197/$C$148</f>
        <v>0</v>
      </c>
      <c r="E223" s="714">
        <f t="shared" si="36"/>
        <v>0</v>
      </c>
      <c r="F223" s="714">
        <f t="shared" si="36"/>
        <v>0</v>
      </c>
      <c r="G223" s="714">
        <f t="shared" si="36"/>
        <v>0</v>
      </c>
      <c r="H223" s="714">
        <f t="shared" si="36"/>
        <v>4444.4444444444443</v>
      </c>
      <c r="I223" s="714">
        <f t="shared" si="36"/>
        <v>6666.666666666667</v>
      </c>
      <c r="J223" s="714">
        <f t="shared" si="36"/>
        <v>8888.8888888888887</v>
      </c>
      <c r="K223" s="714">
        <f t="shared" si="36"/>
        <v>11111.111111111111</v>
      </c>
      <c r="L223" s="714">
        <f t="shared" si="36"/>
        <v>13333.333333333334</v>
      </c>
      <c r="M223" s="714">
        <f t="shared" si="36"/>
        <v>15555.555555555555</v>
      </c>
      <c r="N223" s="714">
        <f t="shared" si="36"/>
        <v>17777.777777777777</v>
      </c>
      <c r="O223" s="714">
        <f t="shared" si="36"/>
        <v>20000</v>
      </c>
      <c r="P223" s="714">
        <f t="shared" si="36"/>
        <v>97777.777777777781</v>
      </c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</row>
    <row r="224" spans="1:31">
      <c r="A224" s="729"/>
      <c r="B224" s="257" t="str">
        <f t="shared" si="18"/>
        <v>Internacional</v>
      </c>
      <c r="C224" s="257" t="str">
        <f t="shared" si="18"/>
        <v>MRR Internacional (de Intnl.)</v>
      </c>
      <c r="D224" s="411">
        <f t="shared" ref="D224:P224" si="37">D198/$C$148</f>
        <v>0</v>
      </c>
      <c r="E224" s="411">
        <f t="shared" si="37"/>
        <v>0</v>
      </c>
      <c r="F224" s="411">
        <f t="shared" si="37"/>
        <v>0</v>
      </c>
      <c r="G224" s="411">
        <f t="shared" si="37"/>
        <v>0</v>
      </c>
      <c r="H224" s="411">
        <f t="shared" si="37"/>
        <v>0</v>
      </c>
      <c r="I224" s="411">
        <f t="shared" si="37"/>
        <v>4167</v>
      </c>
      <c r="J224" s="411">
        <f t="shared" si="37"/>
        <v>4167</v>
      </c>
      <c r="K224" s="411">
        <f t="shared" si="37"/>
        <v>122000</v>
      </c>
      <c r="L224" s="411">
        <f t="shared" si="37"/>
        <v>122000</v>
      </c>
      <c r="M224" s="411">
        <f t="shared" si="37"/>
        <v>122000</v>
      </c>
      <c r="N224" s="411">
        <f t="shared" si="37"/>
        <v>122000</v>
      </c>
      <c r="O224" s="411">
        <f t="shared" si="37"/>
        <v>122000</v>
      </c>
      <c r="P224" s="411">
        <f t="shared" si="37"/>
        <v>618334</v>
      </c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</row>
    <row r="225" spans="1:31">
      <c r="A225" s="729"/>
      <c r="B225" s="257" t="str">
        <f t="shared" si="18"/>
        <v>Internacional</v>
      </c>
      <c r="C225" s="257" t="str">
        <f t="shared" si="18"/>
        <v>One-off Internacional (de Intnl.)</v>
      </c>
      <c r="D225" s="411">
        <f t="shared" ref="D225:P225" si="38">D199/$C$148</f>
        <v>0</v>
      </c>
      <c r="E225" s="411">
        <f t="shared" si="38"/>
        <v>0</v>
      </c>
      <c r="F225" s="411">
        <f t="shared" si="38"/>
        <v>0</v>
      </c>
      <c r="G225" s="411">
        <f t="shared" si="38"/>
        <v>0</v>
      </c>
      <c r="H225" s="411">
        <f t="shared" si="38"/>
        <v>130000</v>
      </c>
      <c r="I225" s="411">
        <f t="shared" si="38"/>
        <v>0</v>
      </c>
      <c r="J225" s="411">
        <f t="shared" si="38"/>
        <v>0</v>
      </c>
      <c r="K225" s="411">
        <f t="shared" si="38"/>
        <v>0</v>
      </c>
      <c r="L225" s="411">
        <f t="shared" si="38"/>
        <v>0</v>
      </c>
      <c r="M225" s="411">
        <f t="shared" si="38"/>
        <v>0</v>
      </c>
      <c r="N225" s="411">
        <f t="shared" si="38"/>
        <v>0</v>
      </c>
      <c r="O225" s="411">
        <f t="shared" si="38"/>
        <v>0</v>
      </c>
      <c r="P225" s="411">
        <f t="shared" si="38"/>
        <v>130000</v>
      </c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</row>
    <row r="226" spans="1:31">
      <c r="A226" s="729"/>
      <c r="B226" s="855" t="str">
        <f t="shared" si="18"/>
        <v>Ajustes</v>
      </c>
      <c r="C226" s="855" t="str">
        <f t="shared" si="18"/>
        <v>Churn (-)</v>
      </c>
      <c r="D226" s="714">
        <f t="shared" ref="D226:P226" si="39">D200/$C$148</f>
        <v>0</v>
      </c>
      <c r="E226" s="714">
        <f t="shared" si="39"/>
        <v>0</v>
      </c>
      <c r="F226" s="714">
        <f t="shared" si="39"/>
        <v>0</v>
      </c>
      <c r="G226" s="714">
        <f t="shared" si="39"/>
        <v>0</v>
      </c>
      <c r="H226" s="714">
        <f t="shared" si="39"/>
        <v>-14000</v>
      </c>
      <c r="I226" s="714">
        <f t="shared" si="39"/>
        <v>-21000</v>
      </c>
      <c r="J226" s="714">
        <f t="shared" si="39"/>
        <v>-28000</v>
      </c>
      <c r="K226" s="714">
        <f t="shared" si="39"/>
        <v>-35000</v>
      </c>
      <c r="L226" s="714">
        <f t="shared" si="39"/>
        <v>-42000</v>
      </c>
      <c r="M226" s="714">
        <f t="shared" si="39"/>
        <v>-49000</v>
      </c>
      <c r="N226" s="714">
        <f t="shared" si="39"/>
        <v>-56000</v>
      </c>
      <c r="O226" s="714">
        <f t="shared" si="39"/>
        <v>-63000</v>
      </c>
      <c r="P226" s="714">
        <f t="shared" si="39"/>
        <v>-308000</v>
      </c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</row>
    <row r="227" spans="1:31">
      <c r="A227" s="729"/>
      <c r="B227" s="855" t="str">
        <f t="shared" si="18"/>
        <v>Ajustes</v>
      </c>
      <c r="C227" s="855" t="str">
        <f t="shared" si="18"/>
        <v>Contracción (-)</v>
      </c>
      <c r="D227" s="714">
        <f t="shared" ref="D227:P227" si="40">D201/$C$148</f>
        <v>0</v>
      </c>
      <c r="E227" s="714">
        <f t="shared" si="40"/>
        <v>0</v>
      </c>
      <c r="F227" s="714">
        <f t="shared" si="40"/>
        <v>0</v>
      </c>
      <c r="G227" s="714">
        <f t="shared" si="40"/>
        <v>0</v>
      </c>
      <c r="H227" s="714">
        <f t="shared" si="40"/>
        <v>-1866.6666666666667</v>
      </c>
      <c r="I227" s="714">
        <f t="shared" si="40"/>
        <v>-2800</v>
      </c>
      <c r="J227" s="714">
        <f t="shared" si="40"/>
        <v>-3733.3333333333335</v>
      </c>
      <c r="K227" s="714">
        <f t="shared" si="40"/>
        <v>-4666.666666666667</v>
      </c>
      <c r="L227" s="714">
        <f t="shared" si="40"/>
        <v>-5600</v>
      </c>
      <c r="M227" s="714">
        <f t="shared" si="40"/>
        <v>-6533.333333333333</v>
      </c>
      <c r="N227" s="714">
        <f t="shared" si="40"/>
        <v>-7466.666666666667</v>
      </c>
      <c r="O227" s="714">
        <f t="shared" si="40"/>
        <v>-8400</v>
      </c>
      <c r="P227" s="714">
        <f t="shared" si="40"/>
        <v>-41066.666666666664</v>
      </c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</row>
    <row r="228" spans="1:31">
      <c r="A228" s="729"/>
      <c r="B228" s="569" t="str">
        <f t="shared" si="18"/>
        <v>Total</v>
      </c>
      <c r="C228" s="569" t="str">
        <f t="shared" si="18"/>
        <v>Total ingresos</v>
      </c>
      <c r="D228" s="571">
        <f t="shared" ref="D228:P228" si="41">D202/$C$148</f>
        <v>165920.7861788618</v>
      </c>
      <c r="E228" s="571">
        <f t="shared" si="41"/>
        <v>201685.13197831978</v>
      </c>
      <c r="F228" s="571">
        <f t="shared" si="41"/>
        <v>213290.2945799458</v>
      </c>
      <c r="G228" s="571">
        <f t="shared" si="41"/>
        <v>203487.17127371274</v>
      </c>
      <c r="H228" s="571">
        <f t="shared" si="41"/>
        <v>360135.50135501358</v>
      </c>
      <c r="I228" s="571">
        <f t="shared" si="41"/>
        <v>259076.31087882307</v>
      </c>
      <c r="J228" s="571">
        <f t="shared" si="41"/>
        <v>283850.12040263263</v>
      </c>
      <c r="K228" s="571">
        <f t="shared" si="41"/>
        <v>426456.92992644216</v>
      </c>
      <c r="L228" s="571">
        <f t="shared" si="41"/>
        <v>451230.73945025163</v>
      </c>
      <c r="M228" s="571">
        <f t="shared" si="41"/>
        <v>476004.54897406121</v>
      </c>
      <c r="N228" s="571">
        <f t="shared" si="41"/>
        <v>500778.35849787074</v>
      </c>
      <c r="O228" s="571">
        <f t="shared" si="41"/>
        <v>525552.16802168021</v>
      </c>
      <c r="P228" s="571">
        <f t="shared" si="41"/>
        <v>4067468.0615176153</v>
      </c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</row>
    <row r="229" spans="1:31">
      <c r="A229" s="729"/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</row>
    <row r="230" spans="1:31">
      <c r="A230" s="729"/>
      <c r="B230" s="674"/>
      <c r="C230" s="674"/>
      <c r="D230" s="674"/>
      <c r="E230" s="674"/>
      <c r="F230" s="674"/>
      <c r="G230" s="674"/>
      <c r="H230" s="674"/>
      <c r="I230" s="674"/>
      <c r="J230" s="674"/>
      <c r="K230" s="674"/>
      <c r="L230" s="674"/>
      <c r="M230" s="674"/>
      <c r="N230" s="674"/>
      <c r="O230" s="674"/>
      <c r="P230" s="674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</row>
    <row r="231" spans="1:31">
      <c r="A231" s="729"/>
      <c r="B231" s="674"/>
      <c r="C231" s="674"/>
      <c r="D231" s="674"/>
      <c r="E231" s="674"/>
      <c r="F231" s="674"/>
      <c r="G231" s="674"/>
      <c r="H231" s="674"/>
      <c r="I231" s="674"/>
      <c r="J231" s="674"/>
      <c r="K231" s="674"/>
      <c r="L231" s="674"/>
      <c r="M231" s="674"/>
      <c r="N231" s="674"/>
      <c r="O231" s="674"/>
      <c r="P231" s="674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</row>
    <row r="232" spans="1:31">
      <c r="A232" s="729"/>
      <c r="B232" s="570" t="s">
        <v>800</v>
      </c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729"/>
      <c r="R232" s="729"/>
      <c r="S232" s="729"/>
      <c r="T232" s="729"/>
      <c r="U232" s="729"/>
      <c r="V232" s="729"/>
      <c r="W232" s="729"/>
      <c r="X232" s="729"/>
      <c r="Y232" s="729"/>
      <c r="Z232" s="729"/>
      <c r="AA232" s="729"/>
      <c r="AB232" s="729"/>
      <c r="AC232" s="729"/>
      <c r="AD232" s="729"/>
      <c r="AE232" s="729"/>
    </row>
    <row r="233" spans="1:31">
      <c r="A233" s="729"/>
      <c r="B233" s="674"/>
      <c r="C233" s="674"/>
      <c r="D233" s="674"/>
      <c r="E233" s="674"/>
      <c r="F233" s="674"/>
      <c r="G233" s="674"/>
      <c r="H233" s="674"/>
      <c r="I233" s="674"/>
      <c r="J233" s="674"/>
      <c r="K233" s="674"/>
      <c r="L233" s="674"/>
      <c r="M233" s="674"/>
      <c r="N233" s="674"/>
      <c r="O233" s="674"/>
      <c r="P233" s="674"/>
      <c r="Q233" s="729"/>
      <c r="R233" s="729"/>
      <c r="S233" s="729"/>
      <c r="T233" s="729"/>
      <c r="U233" s="729"/>
      <c r="V233" s="729"/>
      <c r="W233" s="729"/>
      <c r="X233" s="729"/>
      <c r="Y233" s="729"/>
      <c r="Z233" s="729"/>
      <c r="AA233" s="729"/>
      <c r="AB233" s="729"/>
      <c r="AC233" s="729"/>
      <c r="AD233" s="729"/>
      <c r="AE233" s="729"/>
    </row>
    <row r="234" spans="1:31">
      <c r="A234" s="729"/>
      <c r="B234" s="170" t="s">
        <v>801</v>
      </c>
      <c r="C234" s="170" t="s">
        <v>802</v>
      </c>
      <c r="D234" s="170" t="s">
        <v>803</v>
      </c>
      <c r="E234" s="674"/>
      <c r="F234" s="674"/>
      <c r="G234" s="674"/>
      <c r="H234" s="674"/>
      <c r="I234" s="674"/>
      <c r="J234" s="674"/>
      <c r="K234" s="674"/>
      <c r="L234" s="674"/>
      <c r="M234" s="674"/>
      <c r="N234" s="674"/>
      <c r="O234" s="674"/>
      <c r="P234" s="674"/>
      <c r="Q234" s="729"/>
      <c r="R234" s="729"/>
      <c r="S234" s="729"/>
      <c r="T234" s="729"/>
      <c r="U234" s="729"/>
      <c r="V234" s="729"/>
      <c r="W234" s="729"/>
      <c r="X234" s="729"/>
      <c r="Y234" s="729"/>
      <c r="Z234" s="729"/>
      <c r="AA234" s="729"/>
      <c r="AB234" s="729"/>
      <c r="AC234" s="729"/>
      <c r="AD234" s="729"/>
      <c r="AE234" s="729"/>
    </row>
    <row r="235" spans="1:31">
      <c r="A235" s="729"/>
      <c r="B235" s="860">
        <v>46143</v>
      </c>
      <c r="C235" s="826">
        <v>0</v>
      </c>
      <c r="D235" s="826">
        <v>130000</v>
      </c>
      <c r="E235" s="674"/>
      <c r="F235" s="674"/>
      <c r="G235" s="674"/>
      <c r="H235" s="674"/>
      <c r="I235" s="674"/>
      <c r="J235" s="674"/>
      <c r="K235" s="674"/>
      <c r="L235" s="674"/>
      <c r="M235" s="674"/>
      <c r="N235" s="674"/>
      <c r="O235" s="674"/>
      <c r="P235" s="674"/>
      <c r="Q235" s="729"/>
      <c r="R235" s="729"/>
      <c r="S235" s="729"/>
      <c r="T235" s="729"/>
      <c r="U235" s="729"/>
      <c r="V235" s="729"/>
      <c r="W235" s="729"/>
      <c r="X235" s="729"/>
      <c r="Y235" s="729"/>
      <c r="Z235" s="729"/>
      <c r="AA235" s="729"/>
      <c r="AB235" s="729"/>
      <c r="AC235" s="729"/>
      <c r="AD235" s="729"/>
      <c r="AE235" s="729"/>
    </row>
    <row r="236" spans="1:31">
      <c r="A236" s="729"/>
      <c r="B236" s="860">
        <v>46174</v>
      </c>
      <c r="C236" s="826">
        <v>4167</v>
      </c>
      <c r="D236" s="826">
        <v>0</v>
      </c>
      <c r="E236" s="674"/>
      <c r="F236" s="674"/>
      <c r="G236" s="674"/>
      <c r="H236" s="674"/>
      <c r="I236" s="674"/>
      <c r="J236" s="674"/>
      <c r="K236" s="674"/>
      <c r="L236" s="674"/>
      <c r="M236" s="674"/>
      <c r="N236" s="674"/>
      <c r="O236" s="674"/>
      <c r="P236" s="674"/>
      <c r="Q236" s="729"/>
      <c r="R236" s="729"/>
      <c r="S236" s="729"/>
      <c r="T236" s="729"/>
      <c r="U236" s="729"/>
      <c r="V236" s="729"/>
      <c r="W236" s="729"/>
      <c r="X236" s="729"/>
      <c r="Y236" s="729"/>
      <c r="Z236" s="729"/>
      <c r="AA236" s="729"/>
      <c r="AB236" s="729"/>
      <c r="AC236" s="729"/>
      <c r="AD236" s="729"/>
      <c r="AE236" s="729"/>
    </row>
    <row r="237" spans="1:31">
      <c r="A237" s="729"/>
      <c r="B237" s="860">
        <v>46204</v>
      </c>
      <c r="C237" s="826">
        <v>4167</v>
      </c>
      <c r="D237" s="826">
        <v>0</v>
      </c>
      <c r="E237" s="674"/>
      <c r="F237" s="674"/>
      <c r="G237" s="674"/>
      <c r="H237" s="674"/>
      <c r="I237" s="674"/>
      <c r="J237" s="674"/>
      <c r="K237" s="674"/>
      <c r="L237" s="674"/>
      <c r="M237" s="674"/>
      <c r="N237" s="674"/>
      <c r="O237" s="674"/>
      <c r="P237" s="674"/>
      <c r="Q237" s="729"/>
      <c r="R237" s="729"/>
      <c r="S237" s="729"/>
      <c r="T237" s="729"/>
      <c r="U237" s="729"/>
      <c r="V237" s="729"/>
      <c r="W237" s="729"/>
      <c r="X237" s="729"/>
      <c r="Y237" s="729"/>
      <c r="Z237" s="729"/>
      <c r="AA237" s="729"/>
      <c r="AB237" s="729"/>
      <c r="AC237" s="729"/>
      <c r="AD237" s="729"/>
      <c r="AE237" s="729"/>
    </row>
    <row r="238" spans="1:31">
      <c r="A238" s="729"/>
      <c r="B238" s="860">
        <v>46235</v>
      </c>
      <c r="C238" s="826">
        <v>122000</v>
      </c>
      <c r="D238" s="826">
        <v>0</v>
      </c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4"/>
      <c r="P238" s="674"/>
      <c r="Q238" s="729"/>
      <c r="R238" s="729"/>
      <c r="S238" s="729"/>
      <c r="T238" s="729"/>
      <c r="U238" s="729"/>
      <c r="V238" s="729"/>
      <c r="W238" s="729"/>
      <c r="X238" s="729"/>
      <c r="Y238" s="729"/>
      <c r="Z238" s="729"/>
      <c r="AA238" s="729"/>
      <c r="AB238" s="729"/>
      <c r="AC238" s="729"/>
      <c r="AD238" s="729"/>
      <c r="AE238" s="729"/>
    </row>
    <row r="239" spans="1:31">
      <c r="A239" s="729"/>
      <c r="B239" s="860">
        <v>46266</v>
      </c>
      <c r="C239" s="826">
        <v>122000</v>
      </c>
      <c r="D239" s="826">
        <v>0</v>
      </c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4"/>
      <c r="P239" s="674"/>
      <c r="Q239" s="729"/>
      <c r="R239" s="729"/>
      <c r="S239" s="729"/>
      <c r="T239" s="729"/>
      <c r="U239" s="729"/>
      <c r="V239" s="729"/>
      <c r="W239" s="729"/>
      <c r="X239" s="729"/>
      <c r="Y239" s="729"/>
      <c r="Z239" s="729"/>
      <c r="AA239" s="729"/>
      <c r="AB239" s="729"/>
      <c r="AC239" s="729"/>
      <c r="AD239" s="729"/>
      <c r="AE239" s="729"/>
    </row>
    <row r="240" spans="1:31">
      <c r="A240" s="729"/>
      <c r="B240" s="860">
        <v>46296</v>
      </c>
      <c r="C240" s="826">
        <v>122000</v>
      </c>
      <c r="D240" s="826">
        <v>0</v>
      </c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729"/>
      <c r="R240" s="729"/>
      <c r="S240" s="729"/>
      <c r="T240" s="729"/>
      <c r="U240" s="729"/>
      <c r="V240" s="729"/>
      <c r="W240" s="729"/>
      <c r="X240" s="729"/>
      <c r="Y240" s="729"/>
      <c r="Z240" s="729"/>
      <c r="AA240" s="729"/>
      <c r="AB240" s="729"/>
      <c r="AC240" s="729"/>
      <c r="AD240" s="729"/>
      <c r="AE240" s="729"/>
    </row>
    <row r="241" spans="1:31">
      <c r="A241" s="729"/>
      <c r="B241" s="860">
        <v>46327</v>
      </c>
      <c r="C241" s="826">
        <v>122000</v>
      </c>
      <c r="D241" s="826">
        <v>0</v>
      </c>
      <c r="E241" s="674"/>
      <c r="F241" s="674"/>
      <c r="G241" s="674"/>
      <c r="H241" s="674"/>
      <c r="I241" s="674"/>
      <c r="J241" s="674"/>
      <c r="K241" s="674"/>
      <c r="L241" s="674"/>
      <c r="M241" s="674"/>
      <c r="N241" s="674"/>
      <c r="O241" s="674"/>
      <c r="P241" s="674"/>
      <c r="Q241" s="729"/>
      <c r="R241" s="729"/>
      <c r="S241" s="729"/>
      <c r="T241" s="729"/>
      <c r="U241" s="729"/>
      <c r="V241" s="729"/>
      <c r="W241" s="729"/>
      <c r="X241" s="729"/>
      <c r="Y241" s="729"/>
      <c r="Z241" s="729"/>
      <c r="AA241" s="729"/>
      <c r="AB241" s="729"/>
      <c r="AC241" s="729"/>
      <c r="AD241" s="729"/>
      <c r="AE241" s="729"/>
    </row>
    <row r="242" spans="1:31">
      <c r="A242" s="729"/>
      <c r="B242" s="860">
        <v>46357</v>
      </c>
      <c r="C242" s="826">
        <v>122000</v>
      </c>
      <c r="D242" s="826">
        <v>0</v>
      </c>
      <c r="E242" s="674"/>
      <c r="F242" s="674"/>
      <c r="G242" s="674"/>
      <c r="H242" s="674"/>
      <c r="I242" s="674"/>
      <c r="J242" s="674"/>
      <c r="K242" s="674"/>
      <c r="L242" s="674"/>
      <c r="M242" s="674"/>
      <c r="N242" s="674"/>
      <c r="O242" s="674"/>
      <c r="P242" s="674"/>
      <c r="Q242" s="729"/>
      <c r="R242" s="729"/>
      <c r="S242" s="729"/>
      <c r="T242" s="729"/>
      <c r="U242" s="729"/>
      <c r="V242" s="729"/>
      <c r="W242" s="729"/>
      <c r="X242" s="729"/>
      <c r="Y242" s="729"/>
      <c r="Z242" s="729"/>
      <c r="AA242" s="729"/>
      <c r="AB242" s="729"/>
      <c r="AC242" s="729"/>
      <c r="AD242" s="729"/>
      <c r="AE242" s="729"/>
    </row>
    <row r="243" spans="1:31">
      <c r="A243" s="729"/>
      <c r="B243" s="860">
        <v>46388</v>
      </c>
      <c r="C243" s="826">
        <v>122000</v>
      </c>
      <c r="D243" s="826">
        <v>0</v>
      </c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4"/>
      <c r="P243" s="674"/>
      <c r="Q243" s="729"/>
      <c r="R243" s="729"/>
      <c r="S243" s="729"/>
      <c r="T243" s="729"/>
      <c r="U243" s="729"/>
      <c r="V243" s="729"/>
      <c r="W243" s="729"/>
      <c r="X243" s="729"/>
      <c r="Y243" s="729"/>
      <c r="Z243" s="729"/>
      <c r="AA243" s="729"/>
      <c r="AB243" s="729"/>
      <c r="AC243" s="729"/>
      <c r="AD243" s="729"/>
      <c r="AE243" s="729"/>
    </row>
    <row r="244" spans="1:31">
      <c r="A244" s="729"/>
      <c r="B244" s="860">
        <v>46419</v>
      </c>
      <c r="C244" s="826">
        <v>122000</v>
      </c>
      <c r="D244" s="826">
        <v>0</v>
      </c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4"/>
      <c r="P244" s="674"/>
      <c r="Q244" s="729"/>
      <c r="R244" s="729"/>
      <c r="S244" s="729"/>
      <c r="T244" s="729"/>
      <c r="U244" s="729"/>
      <c r="V244" s="729"/>
      <c r="W244" s="729"/>
      <c r="X244" s="729"/>
      <c r="Y244" s="729"/>
      <c r="Z244" s="729"/>
      <c r="AA244" s="729"/>
      <c r="AB244" s="729"/>
      <c r="AC244" s="729"/>
      <c r="AD244" s="729"/>
      <c r="AE244" s="729"/>
    </row>
    <row r="245" spans="1:31">
      <c r="A245" s="729"/>
      <c r="B245" s="860">
        <v>46447</v>
      </c>
      <c r="C245" s="826">
        <v>122000</v>
      </c>
      <c r="D245" s="826">
        <v>0</v>
      </c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729"/>
      <c r="R245" s="729"/>
      <c r="S245" s="729"/>
      <c r="T245" s="729"/>
      <c r="U245" s="729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</row>
    <row r="246" spans="1:31">
      <c r="A246" s="729"/>
      <c r="B246" s="860">
        <v>46478</v>
      </c>
      <c r="C246" s="826">
        <v>122000</v>
      </c>
      <c r="D246" s="826">
        <v>0</v>
      </c>
      <c r="E246" s="674"/>
      <c r="F246" s="674"/>
      <c r="G246" s="674"/>
      <c r="H246" s="674"/>
      <c r="I246" s="674"/>
      <c r="J246" s="674"/>
      <c r="K246" s="674"/>
      <c r="L246" s="674"/>
      <c r="M246" s="674"/>
      <c r="N246" s="674"/>
      <c r="O246" s="674"/>
      <c r="P246" s="674"/>
      <c r="Q246" s="729"/>
      <c r="R246" s="729"/>
      <c r="S246" s="729"/>
      <c r="T246" s="729"/>
      <c r="U246" s="729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</row>
    <row r="247" spans="1:31">
      <c r="A247" s="729"/>
      <c r="B247" s="860">
        <v>46508</v>
      </c>
      <c r="C247" s="826">
        <v>122000</v>
      </c>
      <c r="D247" s="826">
        <v>0</v>
      </c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4"/>
      <c r="P247" s="674"/>
      <c r="Q247" s="729"/>
      <c r="R247" s="729"/>
      <c r="S247" s="729"/>
      <c r="T247" s="729"/>
      <c r="U247" s="729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</row>
    <row r="248" spans="1:31">
      <c r="A248" s="729"/>
      <c r="B248" s="860">
        <v>46539</v>
      </c>
      <c r="C248" s="826">
        <v>122000</v>
      </c>
      <c r="D248" s="826">
        <v>0</v>
      </c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4"/>
      <c r="P248" s="674"/>
      <c r="Q248" s="729"/>
      <c r="R248" s="729"/>
      <c r="S248" s="729"/>
      <c r="T248" s="729"/>
      <c r="U248" s="729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</row>
    <row r="249" spans="1:31">
      <c r="A249" s="729"/>
      <c r="B249" s="860">
        <v>46569</v>
      </c>
      <c r="C249" s="826">
        <v>122000</v>
      </c>
      <c r="D249" s="826">
        <v>0</v>
      </c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729"/>
      <c r="R249" s="729"/>
      <c r="S249" s="729"/>
      <c r="T249" s="729"/>
      <c r="U249" s="729"/>
      <c r="V249" s="729"/>
      <c r="W249" s="729"/>
      <c r="X249" s="729"/>
      <c r="Y249" s="729"/>
      <c r="Z249" s="729"/>
      <c r="AA249" s="729"/>
      <c r="AB249" s="729"/>
      <c r="AC249" s="729"/>
      <c r="AD249" s="729"/>
      <c r="AE249" s="729"/>
    </row>
    <row r="250" spans="1:31">
      <c r="A250" s="729"/>
      <c r="B250" s="860">
        <v>46600</v>
      </c>
      <c r="C250" s="826">
        <v>122000</v>
      </c>
      <c r="D250" s="826">
        <v>0</v>
      </c>
      <c r="E250" s="674"/>
      <c r="F250" s="674"/>
      <c r="G250" s="674"/>
      <c r="H250" s="674"/>
      <c r="I250" s="674"/>
      <c r="J250" s="674"/>
      <c r="K250" s="674"/>
      <c r="L250" s="674"/>
      <c r="M250" s="674"/>
      <c r="N250" s="674"/>
      <c r="O250" s="674"/>
      <c r="P250" s="674"/>
      <c r="Q250" s="729"/>
      <c r="R250" s="729"/>
      <c r="S250" s="729"/>
      <c r="T250" s="729"/>
      <c r="U250" s="729"/>
      <c r="V250" s="729"/>
      <c r="W250" s="729"/>
      <c r="X250" s="729"/>
      <c r="Y250" s="729"/>
      <c r="Z250" s="729"/>
      <c r="AA250" s="729"/>
      <c r="AB250" s="729"/>
      <c r="AC250" s="729"/>
      <c r="AD250" s="729"/>
      <c r="AE250" s="729"/>
    </row>
    <row r="251" spans="1:31">
      <c r="A251" s="729"/>
      <c r="B251" s="860">
        <v>46631</v>
      </c>
      <c r="C251" s="826">
        <v>122000</v>
      </c>
      <c r="D251" s="826">
        <v>0</v>
      </c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4"/>
      <c r="P251" s="674"/>
      <c r="Q251" s="729"/>
      <c r="R251" s="729"/>
      <c r="S251" s="729"/>
      <c r="T251" s="729"/>
      <c r="U251" s="729"/>
      <c r="V251" s="729"/>
      <c r="W251" s="729"/>
      <c r="X251" s="729"/>
      <c r="Y251" s="729"/>
      <c r="Z251" s="729"/>
      <c r="AA251" s="729"/>
      <c r="AB251" s="729"/>
      <c r="AC251" s="729"/>
      <c r="AD251" s="729"/>
      <c r="AE251" s="729"/>
    </row>
    <row r="252" spans="1:31">
      <c r="A252" s="729"/>
      <c r="B252" s="860">
        <v>46661</v>
      </c>
      <c r="C252" s="826">
        <v>122000</v>
      </c>
      <c r="D252" s="826">
        <v>0</v>
      </c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4"/>
      <c r="P252" s="674"/>
      <c r="Q252" s="729"/>
      <c r="R252" s="729"/>
      <c r="S252" s="729"/>
      <c r="T252" s="729"/>
      <c r="U252" s="729"/>
      <c r="V252" s="729"/>
      <c r="W252" s="729"/>
      <c r="X252" s="729"/>
      <c r="Y252" s="729"/>
      <c r="Z252" s="729"/>
      <c r="AA252" s="729"/>
      <c r="AB252" s="729"/>
      <c r="AC252" s="729"/>
      <c r="AD252" s="729"/>
      <c r="AE252" s="729"/>
    </row>
    <row r="253" spans="1:31">
      <c r="A253" s="729"/>
      <c r="B253" s="860">
        <v>46692</v>
      </c>
      <c r="C253" s="826">
        <v>122000</v>
      </c>
      <c r="D253" s="826">
        <v>0</v>
      </c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729"/>
      <c r="R253" s="729"/>
      <c r="S253" s="729"/>
      <c r="T253" s="729"/>
      <c r="U253" s="729"/>
      <c r="V253" s="729"/>
      <c r="W253" s="729"/>
      <c r="X253" s="729"/>
      <c r="Y253" s="729"/>
      <c r="Z253" s="729"/>
      <c r="AA253" s="729"/>
      <c r="AB253" s="729"/>
      <c r="AC253" s="729"/>
      <c r="AD253" s="729"/>
      <c r="AE253" s="729"/>
    </row>
    <row r="254" spans="1:31">
      <c r="A254" s="729"/>
      <c r="B254" s="860">
        <v>46722</v>
      </c>
      <c r="C254" s="826">
        <v>122000</v>
      </c>
      <c r="D254" s="826">
        <v>0</v>
      </c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729"/>
      <c r="R254" s="729"/>
      <c r="S254" s="729"/>
      <c r="T254" s="729"/>
      <c r="U254" s="729"/>
      <c r="V254" s="729"/>
      <c r="W254" s="729"/>
      <c r="X254" s="729"/>
      <c r="Y254" s="729"/>
      <c r="Z254" s="729"/>
      <c r="AA254" s="729"/>
      <c r="AB254" s="729"/>
      <c r="AC254" s="729"/>
      <c r="AD254" s="729"/>
      <c r="AE254" s="729"/>
    </row>
    <row r="255" spans="1:31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29"/>
      <c r="P255" s="729"/>
      <c r="Q255" s="729"/>
      <c r="R255" s="729"/>
      <c r="S255" s="729"/>
      <c r="T255" s="729"/>
      <c r="U255" s="729"/>
      <c r="V255" s="729"/>
      <c r="W255" s="729"/>
      <c r="X255" s="729"/>
      <c r="Y255" s="729"/>
      <c r="Z255" s="729"/>
      <c r="AA255" s="729"/>
      <c r="AB255" s="729"/>
      <c r="AC255" s="729"/>
      <c r="AD255" s="729"/>
      <c r="AE255" s="729"/>
    </row>
    <row r="256" spans="1:31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29"/>
      <c r="P256" s="729"/>
      <c r="Q256" s="729"/>
      <c r="R256" s="729"/>
      <c r="S256" s="729"/>
      <c r="T256" s="729"/>
      <c r="U256" s="729"/>
      <c r="V256" s="729"/>
      <c r="W256" s="729"/>
      <c r="X256" s="729"/>
      <c r="Y256" s="729"/>
      <c r="Z256" s="729"/>
      <c r="AA256" s="729"/>
      <c r="AB256" s="729"/>
      <c r="AC256" s="729"/>
      <c r="AD256" s="729"/>
      <c r="AE256" s="729"/>
    </row>
    <row r="257" spans="1:31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29"/>
      <c r="P257" s="729"/>
      <c r="Q257" s="729"/>
      <c r="R257" s="729"/>
      <c r="S257" s="729"/>
      <c r="T257" s="729"/>
      <c r="U257" s="729"/>
      <c r="V257" s="729"/>
      <c r="W257" s="729"/>
      <c r="X257" s="729"/>
      <c r="Y257" s="729"/>
      <c r="Z257" s="729"/>
      <c r="AA257" s="729"/>
      <c r="AB257" s="729"/>
      <c r="AC257" s="729"/>
      <c r="AD257" s="729"/>
      <c r="AE257" s="729"/>
    </row>
    <row r="258" spans="1:31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29"/>
      <c r="P258" s="729"/>
      <c r="Q258" s="729"/>
      <c r="R258" s="729"/>
      <c r="S258" s="729"/>
      <c r="T258" s="729"/>
      <c r="U258" s="729"/>
      <c r="V258" s="729"/>
      <c r="W258" s="729"/>
      <c r="X258" s="729"/>
      <c r="Y258" s="729"/>
      <c r="Z258" s="729"/>
      <c r="AA258" s="729"/>
      <c r="AB258" s="729"/>
      <c r="AC258" s="729"/>
      <c r="AD258" s="729"/>
      <c r="AE258" s="729"/>
    </row>
    <row r="259" spans="1:31">
      <c r="A259" s="729"/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  <c r="N259" s="729"/>
      <c r="O259" s="729"/>
      <c r="P259" s="729"/>
      <c r="Q259" s="729"/>
      <c r="R259" s="729"/>
      <c r="S259" s="729"/>
      <c r="T259" s="729"/>
      <c r="U259" s="729"/>
      <c r="V259" s="729"/>
      <c r="W259" s="729"/>
      <c r="X259" s="729"/>
      <c r="Y259" s="729"/>
      <c r="Z259" s="729"/>
      <c r="AA259" s="729"/>
      <c r="AB259" s="729"/>
      <c r="AC259" s="729"/>
      <c r="AD259" s="729"/>
      <c r="AE259" s="729"/>
    </row>
    <row r="260" spans="1:31">
      <c r="A260" s="729"/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  <c r="N260" s="729"/>
      <c r="O260" s="729"/>
      <c r="P260" s="729"/>
      <c r="Q260" s="729"/>
      <c r="R260" s="729"/>
      <c r="S260" s="729"/>
      <c r="T260" s="729"/>
      <c r="U260" s="729"/>
      <c r="V260" s="729"/>
      <c r="W260" s="729"/>
      <c r="X260" s="729"/>
      <c r="Y260" s="729"/>
      <c r="Z260" s="729"/>
      <c r="AA260" s="729"/>
      <c r="AB260" s="729"/>
      <c r="AC260" s="729"/>
      <c r="AD260" s="729"/>
      <c r="AE260" s="729"/>
    </row>
    <row r="261" spans="1:31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29"/>
      <c r="P261" s="729"/>
      <c r="Q261" s="729"/>
      <c r="R261" s="729"/>
      <c r="S261" s="729"/>
      <c r="T261" s="729"/>
      <c r="U261" s="729"/>
      <c r="V261" s="729"/>
      <c r="W261" s="729"/>
      <c r="X261" s="729"/>
      <c r="Y261" s="729"/>
      <c r="Z261" s="729"/>
      <c r="AA261" s="729"/>
      <c r="AB261" s="729"/>
      <c r="AC261" s="729"/>
      <c r="AD261" s="729"/>
      <c r="AE261" s="729"/>
    </row>
    <row r="262" spans="1:31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29"/>
      <c r="P262" s="729"/>
      <c r="Q262" s="729"/>
      <c r="R262" s="729"/>
      <c r="S262" s="729"/>
      <c r="T262" s="729"/>
      <c r="U262" s="729"/>
      <c r="V262" s="729"/>
      <c r="W262" s="729"/>
      <c r="X262" s="729"/>
      <c r="Y262" s="729"/>
      <c r="Z262" s="729"/>
      <c r="AA262" s="729"/>
      <c r="AB262" s="729"/>
      <c r="AC262" s="729"/>
      <c r="AD262" s="729"/>
      <c r="AE262" s="729"/>
    </row>
    <row r="263" spans="1:31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29"/>
      <c r="P263" s="729"/>
      <c r="Q263" s="729"/>
      <c r="R263" s="729"/>
      <c r="S263" s="729"/>
      <c r="T263" s="729"/>
      <c r="U263" s="729"/>
      <c r="V263" s="729"/>
      <c r="W263" s="729"/>
      <c r="X263" s="729"/>
      <c r="Y263" s="729"/>
      <c r="Z263" s="729"/>
      <c r="AA263" s="729"/>
      <c r="AB263" s="729"/>
      <c r="AC263" s="729"/>
      <c r="AD263" s="729"/>
      <c r="AE263" s="729"/>
    </row>
    <row r="264" spans="1:31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29"/>
      <c r="Y264" s="729"/>
      <c r="Z264" s="729"/>
      <c r="AA264" s="729"/>
      <c r="AB264" s="729"/>
      <c r="AC264" s="729"/>
      <c r="AD264" s="729"/>
      <c r="AE264" s="729"/>
    </row>
    <row r="265" spans="1:31">
      <c r="A265" s="729"/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29"/>
      <c r="Y265" s="729"/>
      <c r="Z265" s="729"/>
      <c r="AA265" s="729"/>
      <c r="AB265" s="729"/>
      <c r="AC265" s="729"/>
      <c r="AD265" s="729"/>
      <c r="AE265" s="729"/>
    </row>
    <row r="266" spans="1:31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29"/>
      <c r="P266" s="729"/>
      <c r="Q266" s="729"/>
      <c r="R266" s="729"/>
      <c r="S266" s="729"/>
      <c r="T266" s="729"/>
      <c r="U266" s="729"/>
      <c r="V266" s="729"/>
      <c r="W266" s="729"/>
      <c r="X266" s="729"/>
      <c r="Y266" s="729"/>
      <c r="Z266" s="729"/>
      <c r="AA266" s="729"/>
      <c r="AB266" s="729"/>
      <c r="AC266" s="729"/>
      <c r="AD266" s="729"/>
      <c r="AE266" s="729"/>
    </row>
    <row r="267" spans="1:31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29"/>
      <c r="P267" s="729"/>
      <c r="Q267" s="729"/>
      <c r="R267" s="729"/>
      <c r="S267" s="729"/>
      <c r="T267" s="729"/>
      <c r="U267" s="729"/>
      <c r="V267" s="729"/>
      <c r="W267" s="729"/>
      <c r="X267" s="729"/>
      <c r="Y267" s="729"/>
      <c r="Z267" s="729"/>
      <c r="AA267" s="729"/>
      <c r="AB267" s="729"/>
      <c r="AC267" s="729"/>
      <c r="AD267" s="729"/>
      <c r="AE267" s="729"/>
    </row>
    <row r="268" spans="1:31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29"/>
      <c r="P268" s="729"/>
      <c r="Q268" s="729"/>
      <c r="R268" s="729"/>
      <c r="S268" s="729"/>
      <c r="T268" s="729"/>
      <c r="U268" s="729"/>
      <c r="V268" s="729"/>
      <c r="W268" s="729"/>
      <c r="X268" s="729"/>
      <c r="Y268" s="729"/>
      <c r="Z268" s="729"/>
      <c r="AA268" s="729"/>
      <c r="AB268" s="729"/>
      <c r="AC268" s="729"/>
      <c r="AD268" s="729"/>
      <c r="AE268" s="729"/>
    </row>
    <row r="269" spans="1:31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29"/>
      <c r="P269" s="729"/>
      <c r="Q269" s="729"/>
      <c r="R269" s="729"/>
      <c r="S269" s="729"/>
      <c r="T269" s="729"/>
      <c r="U269" s="729"/>
      <c r="V269" s="729"/>
      <c r="W269" s="729"/>
      <c r="X269" s="729"/>
      <c r="Y269" s="729"/>
      <c r="Z269" s="729"/>
      <c r="AA269" s="729"/>
      <c r="AB269" s="729"/>
      <c r="AC269" s="729"/>
      <c r="AD269" s="729"/>
      <c r="AE269" s="729"/>
    </row>
    <row r="270" spans="1:31">
      <c r="A270" s="729"/>
      <c r="B270" s="729"/>
      <c r="C270" s="729"/>
      <c r="D270" s="729"/>
      <c r="E270" s="729"/>
      <c r="F270" s="729"/>
      <c r="G270" s="729"/>
      <c r="H270" s="729"/>
      <c r="I270" s="729"/>
      <c r="J270" s="729"/>
      <c r="K270" s="729"/>
      <c r="L270" s="729"/>
      <c r="M270" s="729"/>
      <c r="N270" s="729"/>
      <c r="O270" s="729"/>
      <c r="P270" s="729"/>
      <c r="Q270" s="729"/>
      <c r="R270" s="729"/>
      <c r="S270" s="729"/>
      <c r="T270" s="729"/>
      <c r="U270" s="729"/>
      <c r="V270" s="729"/>
      <c r="W270" s="729"/>
      <c r="X270" s="729"/>
      <c r="Y270" s="729"/>
      <c r="Z270" s="729"/>
      <c r="AA270" s="729"/>
      <c r="AB270" s="729"/>
      <c r="AC270" s="729"/>
      <c r="AD270" s="729"/>
      <c r="AE270" s="729"/>
    </row>
    <row r="271" spans="1:31">
      <c r="A271" s="729"/>
      <c r="B271" s="729"/>
      <c r="C271" s="729"/>
      <c r="D271" s="729"/>
      <c r="E271" s="729"/>
      <c r="F271" s="729"/>
      <c r="G271" s="729"/>
      <c r="H271" s="729"/>
      <c r="I271" s="729"/>
      <c r="J271" s="729"/>
      <c r="K271" s="729"/>
      <c r="L271" s="729"/>
      <c r="M271" s="729"/>
      <c r="N271" s="729"/>
      <c r="O271" s="729"/>
      <c r="P271" s="729"/>
      <c r="Q271" s="729"/>
      <c r="R271" s="729"/>
      <c r="S271" s="729"/>
      <c r="T271" s="729"/>
      <c r="U271" s="729"/>
      <c r="V271" s="729"/>
      <c r="W271" s="729"/>
      <c r="X271" s="729"/>
      <c r="Y271" s="729"/>
      <c r="Z271" s="729"/>
      <c r="AA271" s="729"/>
      <c r="AB271" s="729"/>
      <c r="AC271" s="729"/>
      <c r="AD271" s="729"/>
      <c r="AE271" s="729"/>
    </row>
    <row r="272" spans="1:31">
      <c r="A272" s="729"/>
      <c r="B272" s="729"/>
      <c r="C272" s="729"/>
      <c r="D272" s="729"/>
      <c r="E272" s="729"/>
      <c r="F272" s="729"/>
      <c r="G272" s="729"/>
      <c r="H272" s="729"/>
      <c r="I272" s="729"/>
      <c r="J272" s="729"/>
      <c r="K272" s="729"/>
      <c r="L272" s="729"/>
      <c r="M272" s="729"/>
      <c r="N272" s="729"/>
      <c r="O272" s="729"/>
      <c r="P272" s="729"/>
      <c r="Q272" s="729"/>
      <c r="R272" s="729"/>
      <c r="S272" s="729"/>
      <c r="T272" s="729"/>
      <c r="U272" s="729"/>
      <c r="V272" s="729"/>
      <c r="W272" s="729"/>
      <c r="X272" s="729"/>
      <c r="Y272" s="729"/>
      <c r="Z272" s="729"/>
      <c r="AA272" s="729"/>
      <c r="AB272" s="729"/>
      <c r="AC272" s="729"/>
      <c r="AD272" s="729"/>
      <c r="AE272" s="729"/>
    </row>
    <row r="273" spans="1:31">
      <c r="A273" s="729"/>
      <c r="B273" s="729"/>
      <c r="C273" s="729"/>
      <c r="D273" s="729"/>
      <c r="E273" s="729"/>
      <c r="F273" s="729"/>
      <c r="G273" s="729"/>
      <c r="H273" s="729"/>
      <c r="I273" s="729"/>
      <c r="J273" s="729"/>
      <c r="K273" s="729"/>
      <c r="L273" s="729"/>
      <c r="M273" s="729"/>
      <c r="N273" s="729"/>
      <c r="O273" s="729"/>
      <c r="P273" s="729"/>
      <c r="Q273" s="729"/>
      <c r="R273" s="729"/>
      <c r="S273" s="729"/>
      <c r="T273" s="729"/>
      <c r="U273" s="729"/>
      <c r="V273" s="729"/>
      <c r="W273" s="729"/>
      <c r="X273" s="729"/>
      <c r="Y273" s="729"/>
      <c r="Z273" s="729"/>
      <c r="AA273" s="729"/>
      <c r="AB273" s="729"/>
      <c r="AC273" s="729"/>
      <c r="AD273" s="729"/>
      <c r="AE273" s="729"/>
    </row>
    <row r="274" spans="1:31">
      <c r="A274" s="729"/>
      <c r="B274" s="729"/>
      <c r="C274" s="729"/>
      <c r="D274" s="729"/>
      <c r="E274" s="729"/>
      <c r="F274" s="729"/>
      <c r="G274" s="729"/>
      <c r="H274" s="729"/>
      <c r="I274" s="729"/>
      <c r="J274" s="729"/>
      <c r="K274" s="729"/>
      <c r="L274" s="729"/>
      <c r="M274" s="729"/>
      <c r="N274" s="729"/>
      <c r="O274" s="729"/>
      <c r="P274" s="729"/>
      <c r="Q274" s="729"/>
      <c r="R274" s="729"/>
      <c r="S274" s="729"/>
      <c r="T274" s="729"/>
      <c r="U274" s="729"/>
      <c r="V274" s="729"/>
      <c r="W274" s="729"/>
      <c r="X274" s="729"/>
      <c r="Y274" s="729"/>
      <c r="Z274" s="729"/>
      <c r="AA274" s="729"/>
      <c r="AB274" s="729"/>
      <c r="AC274" s="729"/>
      <c r="AD274" s="729"/>
      <c r="AE274" s="729"/>
    </row>
    <row r="275" spans="1:31">
      <c r="A275" s="729"/>
      <c r="B275" s="729"/>
      <c r="C275" s="729"/>
      <c r="D275" s="729"/>
      <c r="E275" s="729"/>
      <c r="F275" s="729"/>
      <c r="G275" s="729"/>
      <c r="H275" s="729"/>
      <c r="I275" s="729"/>
      <c r="J275" s="729"/>
      <c r="K275" s="729"/>
      <c r="L275" s="729"/>
      <c r="M275" s="729"/>
      <c r="N275" s="729"/>
      <c r="O275" s="729"/>
      <c r="P275" s="729"/>
      <c r="Q275" s="729"/>
      <c r="R275" s="729"/>
      <c r="S275" s="729"/>
      <c r="T275" s="729"/>
      <c r="U275" s="729"/>
      <c r="V275" s="729"/>
      <c r="W275" s="729"/>
      <c r="X275" s="729"/>
      <c r="Y275" s="729"/>
      <c r="Z275" s="729"/>
      <c r="AA275" s="729"/>
      <c r="AB275" s="729"/>
      <c r="AC275" s="729"/>
      <c r="AD275" s="729"/>
      <c r="AE275" s="729"/>
    </row>
    <row r="276" spans="1:31">
      <c r="A276" s="729"/>
      <c r="B276" s="729"/>
      <c r="C276" s="729"/>
      <c r="D276" s="729"/>
      <c r="E276" s="729"/>
      <c r="F276" s="729"/>
      <c r="G276" s="729"/>
      <c r="H276" s="729"/>
      <c r="I276" s="729"/>
      <c r="J276" s="729"/>
      <c r="K276" s="729"/>
      <c r="L276" s="729"/>
      <c r="M276" s="729"/>
      <c r="N276" s="729"/>
      <c r="O276" s="729"/>
      <c r="P276" s="729"/>
      <c r="Q276" s="729"/>
      <c r="R276" s="729"/>
      <c r="S276" s="729"/>
      <c r="T276" s="729"/>
      <c r="U276" s="729"/>
      <c r="V276" s="729"/>
      <c r="W276" s="729"/>
      <c r="X276" s="729"/>
      <c r="Y276" s="729"/>
      <c r="Z276" s="729"/>
      <c r="AA276" s="729"/>
      <c r="AB276" s="729"/>
      <c r="AC276" s="729"/>
      <c r="AD276" s="729"/>
      <c r="AE276" s="729"/>
    </row>
    <row r="277" spans="1:31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29"/>
      <c r="P277" s="729"/>
      <c r="Q277" s="729"/>
      <c r="R277" s="729"/>
      <c r="S277" s="729"/>
      <c r="T277" s="729"/>
      <c r="U277" s="729"/>
      <c r="V277" s="729"/>
      <c r="W277" s="729"/>
      <c r="X277" s="729"/>
      <c r="Y277" s="729"/>
      <c r="Z277" s="729"/>
      <c r="AA277" s="729"/>
      <c r="AB277" s="729"/>
      <c r="AC277" s="729"/>
      <c r="AD277" s="729"/>
      <c r="AE277" s="729"/>
    </row>
    <row r="278" spans="1:31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29"/>
      <c r="P278" s="729"/>
      <c r="Q278" s="729"/>
      <c r="R278" s="729"/>
      <c r="S278" s="729"/>
      <c r="T278" s="729"/>
      <c r="U278" s="729"/>
      <c r="V278" s="729"/>
      <c r="W278" s="729"/>
      <c r="X278" s="729"/>
      <c r="Y278" s="729"/>
      <c r="Z278" s="729"/>
      <c r="AA278" s="729"/>
      <c r="AB278" s="729"/>
      <c r="AC278" s="729"/>
      <c r="AD278" s="729"/>
      <c r="AE278" s="729"/>
    </row>
    <row r="279" spans="1:31">
      <c r="A279" s="729"/>
      <c r="B279" s="729"/>
      <c r="C279" s="729"/>
      <c r="D279" s="729"/>
      <c r="E279" s="729"/>
      <c r="F279" s="729"/>
      <c r="G279" s="729"/>
      <c r="H279" s="729"/>
      <c r="I279" s="729"/>
      <c r="J279" s="729"/>
      <c r="K279" s="729"/>
      <c r="L279" s="729"/>
      <c r="M279" s="729"/>
      <c r="N279" s="729"/>
      <c r="O279" s="729"/>
      <c r="P279" s="729"/>
      <c r="Q279" s="729"/>
      <c r="R279" s="729"/>
      <c r="S279" s="729"/>
      <c r="T279" s="729"/>
      <c r="U279" s="729"/>
      <c r="V279" s="729"/>
      <c r="W279" s="729"/>
      <c r="X279" s="729"/>
      <c r="Y279" s="729"/>
      <c r="Z279" s="729"/>
      <c r="AA279" s="729"/>
      <c r="AB279" s="729"/>
      <c r="AC279" s="729"/>
      <c r="AD279" s="729"/>
      <c r="AE279" s="729"/>
    </row>
    <row r="280" spans="1:31">
      <c r="A280" s="729"/>
      <c r="B280" s="729"/>
      <c r="C280" s="729"/>
      <c r="D280" s="729"/>
      <c r="E280" s="729"/>
      <c r="F280" s="729"/>
      <c r="G280" s="729"/>
      <c r="H280" s="729"/>
      <c r="I280" s="729"/>
      <c r="J280" s="729"/>
      <c r="K280" s="729"/>
      <c r="L280" s="729"/>
      <c r="M280" s="729"/>
      <c r="N280" s="729"/>
      <c r="O280" s="729"/>
      <c r="P280" s="729"/>
      <c r="Q280" s="729"/>
      <c r="R280" s="729"/>
      <c r="S280" s="729"/>
      <c r="T280" s="729"/>
      <c r="U280" s="729"/>
      <c r="V280" s="729"/>
      <c r="W280" s="729"/>
      <c r="X280" s="729"/>
      <c r="Y280" s="729"/>
      <c r="Z280" s="729"/>
      <c r="AA280" s="729"/>
      <c r="AB280" s="729"/>
      <c r="AC280" s="729"/>
      <c r="AD280" s="729"/>
      <c r="AE280" s="729"/>
    </row>
    <row r="281" spans="1:31">
      <c r="A281" s="729"/>
      <c r="B281" s="729"/>
      <c r="C281" s="729"/>
      <c r="D281" s="729"/>
      <c r="E281" s="729"/>
      <c r="F281" s="729"/>
      <c r="G281" s="729"/>
      <c r="H281" s="729"/>
      <c r="I281" s="729"/>
      <c r="J281" s="729"/>
      <c r="K281" s="729"/>
      <c r="L281" s="729"/>
      <c r="M281" s="729"/>
      <c r="N281" s="729"/>
      <c r="O281" s="729"/>
      <c r="P281" s="729"/>
      <c r="Q281" s="729"/>
      <c r="R281" s="729"/>
      <c r="S281" s="729"/>
      <c r="T281" s="729"/>
      <c r="U281" s="729"/>
      <c r="V281" s="729"/>
      <c r="W281" s="729"/>
      <c r="X281" s="729"/>
      <c r="Y281" s="729"/>
      <c r="Z281" s="729"/>
      <c r="AA281" s="729"/>
      <c r="AB281" s="729"/>
      <c r="AC281" s="729"/>
      <c r="AD281" s="729"/>
      <c r="AE281" s="729"/>
    </row>
    <row r="282" spans="1:31">
      <c r="A282" s="729"/>
      <c r="B282" s="729"/>
      <c r="C282" s="729"/>
      <c r="D282" s="729"/>
      <c r="E282" s="729"/>
      <c r="F282" s="729"/>
      <c r="G282" s="729"/>
      <c r="H282" s="729"/>
      <c r="I282" s="729"/>
      <c r="J282" s="729"/>
      <c r="K282" s="729"/>
      <c r="L282" s="729"/>
      <c r="M282" s="729"/>
      <c r="N282" s="729"/>
      <c r="O282" s="729"/>
      <c r="P282" s="729"/>
      <c r="Q282" s="729"/>
      <c r="R282" s="729"/>
      <c r="S282" s="729"/>
      <c r="T282" s="729"/>
      <c r="U282" s="729"/>
      <c r="V282" s="729"/>
      <c r="W282" s="729"/>
      <c r="X282" s="729"/>
      <c r="Y282" s="729"/>
      <c r="Z282" s="729"/>
      <c r="AA282" s="729"/>
      <c r="AB282" s="729"/>
      <c r="AC282" s="729"/>
      <c r="AD282" s="729"/>
      <c r="AE282" s="729"/>
    </row>
    <row r="283" spans="1:31">
      <c r="A283" s="729"/>
      <c r="B283" s="729"/>
      <c r="C283" s="729"/>
      <c r="D283" s="729"/>
      <c r="E283" s="729"/>
      <c r="F283" s="729"/>
      <c r="G283" s="729"/>
      <c r="H283" s="729"/>
      <c r="I283" s="729"/>
      <c r="J283" s="729"/>
      <c r="K283" s="729"/>
      <c r="L283" s="729"/>
      <c r="M283" s="729"/>
      <c r="N283" s="729"/>
      <c r="O283" s="729"/>
      <c r="P283" s="729"/>
      <c r="Q283" s="729"/>
      <c r="R283" s="729"/>
      <c r="S283" s="729"/>
      <c r="T283" s="729"/>
      <c r="U283" s="729"/>
      <c r="V283" s="729"/>
      <c r="W283" s="729"/>
      <c r="X283" s="729"/>
      <c r="Y283" s="729"/>
      <c r="Z283" s="729"/>
      <c r="AA283" s="729"/>
      <c r="AB283" s="729"/>
      <c r="AC283" s="729"/>
      <c r="AD283" s="729"/>
      <c r="AE283" s="729"/>
    </row>
    <row r="284" spans="1:31">
      <c r="A284" s="729"/>
      <c r="B284" s="729"/>
      <c r="C284" s="729"/>
      <c r="D284" s="729"/>
      <c r="E284" s="729"/>
      <c r="F284" s="729"/>
      <c r="G284" s="729"/>
      <c r="H284" s="729"/>
      <c r="I284" s="729"/>
      <c r="J284" s="729"/>
      <c r="K284" s="729"/>
      <c r="L284" s="729"/>
      <c r="M284" s="729"/>
      <c r="N284" s="729"/>
      <c r="O284" s="729"/>
      <c r="P284" s="729"/>
      <c r="Q284" s="729"/>
      <c r="R284" s="729"/>
      <c r="S284" s="729"/>
      <c r="T284" s="729"/>
      <c r="U284" s="729"/>
      <c r="V284" s="729"/>
      <c r="W284" s="729"/>
      <c r="X284" s="729"/>
      <c r="Y284" s="729"/>
      <c r="Z284" s="729"/>
      <c r="AA284" s="729"/>
      <c r="AB284" s="729"/>
      <c r="AC284" s="729"/>
      <c r="AD284" s="729"/>
      <c r="AE284" s="729"/>
    </row>
    <row r="285" spans="1:31">
      <c r="A285" s="729"/>
      <c r="B285" s="729"/>
      <c r="C285" s="729"/>
      <c r="D285" s="729"/>
      <c r="E285" s="729"/>
      <c r="F285" s="729"/>
      <c r="G285" s="729"/>
      <c r="H285" s="729"/>
      <c r="I285" s="729"/>
      <c r="J285" s="729"/>
      <c r="K285" s="729"/>
      <c r="L285" s="729"/>
      <c r="M285" s="729"/>
      <c r="N285" s="729"/>
      <c r="O285" s="729"/>
      <c r="P285" s="729"/>
      <c r="Q285" s="729"/>
      <c r="R285" s="729"/>
      <c r="S285" s="729"/>
      <c r="T285" s="729"/>
      <c r="U285" s="729"/>
      <c r="V285" s="729"/>
      <c r="W285" s="729"/>
      <c r="X285" s="729"/>
      <c r="Y285" s="729"/>
      <c r="Z285" s="729"/>
      <c r="AA285" s="729"/>
      <c r="AB285" s="729"/>
      <c r="AC285" s="729"/>
      <c r="AD285" s="729"/>
      <c r="AE285" s="729"/>
    </row>
    <row r="286" spans="1:31">
      <c r="A286" s="729"/>
      <c r="B286" s="729"/>
      <c r="C286" s="729"/>
      <c r="D286" s="729"/>
      <c r="E286" s="729"/>
      <c r="F286" s="729"/>
      <c r="G286" s="729"/>
      <c r="H286" s="729"/>
      <c r="I286" s="729"/>
      <c r="J286" s="729"/>
      <c r="K286" s="729"/>
      <c r="L286" s="729"/>
      <c r="M286" s="729"/>
      <c r="N286" s="729"/>
      <c r="O286" s="729"/>
      <c r="P286" s="729"/>
      <c r="Q286" s="729"/>
      <c r="R286" s="729"/>
      <c r="S286" s="729"/>
      <c r="T286" s="729"/>
      <c r="U286" s="729"/>
      <c r="V286" s="729"/>
      <c r="W286" s="729"/>
      <c r="X286" s="729"/>
      <c r="Y286" s="729"/>
      <c r="Z286" s="729"/>
      <c r="AA286" s="729"/>
      <c r="AB286" s="729"/>
      <c r="AC286" s="729"/>
      <c r="AD286" s="729"/>
      <c r="AE286" s="729"/>
    </row>
    <row r="287" spans="1:31">
      <c r="A287" s="729"/>
      <c r="B287" s="729"/>
      <c r="C287" s="729"/>
      <c r="D287" s="729"/>
      <c r="E287" s="729"/>
      <c r="F287" s="729"/>
      <c r="G287" s="729"/>
      <c r="H287" s="729"/>
      <c r="I287" s="729"/>
      <c r="J287" s="729"/>
      <c r="K287" s="729"/>
      <c r="L287" s="729"/>
      <c r="M287" s="729"/>
      <c r="N287" s="729"/>
      <c r="O287" s="729"/>
      <c r="P287" s="729"/>
      <c r="Q287" s="729"/>
      <c r="R287" s="729"/>
      <c r="S287" s="729"/>
      <c r="T287" s="729"/>
      <c r="U287" s="729"/>
      <c r="V287" s="729"/>
      <c r="W287" s="729"/>
      <c r="X287" s="729"/>
      <c r="Y287" s="729"/>
      <c r="Z287" s="729"/>
      <c r="AA287" s="729"/>
      <c r="AB287" s="729"/>
      <c r="AC287" s="729"/>
      <c r="AD287" s="729"/>
      <c r="AE287" s="729"/>
    </row>
    <row r="288" spans="1:31">
      <c r="A288" s="729"/>
      <c r="B288" s="729"/>
      <c r="C288" s="729"/>
      <c r="D288" s="729"/>
      <c r="E288" s="729"/>
      <c r="F288" s="729"/>
      <c r="G288" s="729"/>
      <c r="H288" s="729"/>
      <c r="I288" s="729"/>
      <c r="J288" s="729"/>
      <c r="K288" s="729"/>
      <c r="L288" s="729"/>
      <c r="M288" s="729"/>
      <c r="N288" s="729"/>
      <c r="O288" s="729"/>
      <c r="P288" s="729"/>
      <c r="Q288" s="729"/>
      <c r="R288" s="729"/>
      <c r="S288" s="729"/>
      <c r="T288" s="729"/>
      <c r="U288" s="729"/>
      <c r="V288" s="729"/>
      <c r="W288" s="729"/>
      <c r="X288" s="729"/>
      <c r="Y288" s="729"/>
      <c r="Z288" s="729"/>
      <c r="AA288" s="729"/>
      <c r="AB288" s="729"/>
      <c r="AC288" s="729"/>
      <c r="AD288" s="729"/>
      <c r="AE288" s="729"/>
    </row>
    <row r="289" spans="1:31">
      <c r="A289" s="729"/>
      <c r="B289" s="729"/>
      <c r="C289" s="729"/>
      <c r="D289" s="729"/>
      <c r="E289" s="729"/>
      <c r="F289" s="729"/>
      <c r="G289" s="729"/>
      <c r="H289" s="729"/>
      <c r="I289" s="729"/>
      <c r="J289" s="729"/>
      <c r="K289" s="729"/>
      <c r="L289" s="729"/>
      <c r="M289" s="729"/>
      <c r="N289" s="729"/>
      <c r="O289" s="729"/>
      <c r="P289" s="729"/>
      <c r="Q289" s="729"/>
      <c r="R289" s="729"/>
      <c r="S289" s="729"/>
      <c r="T289" s="729"/>
      <c r="U289" s="729"/>
      <c r="V289" s="729"/>
      <c r="W289" s="729"/>
      <c r="X289" s="729"/>
      <c r="Y289" s="729"/>
      <c r="Z289" s="729"/>
      <c r="AA289" s="729"/>
      <c r="AB289" s="729"/>
      <c r="AC289" s="729"/>
      <c r="AD289" s="729"/>
      <c r="AE289" s="729"/>
    </row>
    <row r="290" spans="1:31">
      <c r="A290" s="729"/>
      <c r="B290" s="729"/>
      <c r="C290" s="729"/>
      <c r="D290" s="729"/>
      <c r="E290" s="729"/>
      <c r="F290" s="729"/>
      <c r="G290" s="729"/>
      <c r="H290" s="729"/>
      <c r="I290" s="729"/>
      <c r="J290" s="729"/>
      <c r="K290" s="729"/>
      <c r="L290" s="729"/>
      <c r="M290" s="729"/>
      <c r="N290" s="729"/>
      <c r="O290" s="729"/>
      <c r="P290" s="729"/>
      <c r="Q290" s="729"/>
      <c r="R290" s="729"/>
      <c r="S290" s="729"/>
      <c r="T290" s="729"/>
      <c r="U290" s="729"/>
      <c r="V290" s="729"/>
      <c r="W290" s="729"/>
      <c r="X290" s="729"/>
      <c r="Y290" s="729"/>
      <c r="Z290" s="729"/>
      <c r="AA290" s="729"/>
      <c r="AB290" s="729"/>
      <c r="AC290" s="729"/>
      <c r="AD290" s="729"/>
      <c r="AE290" s="729"/>
    </row>
    <row r="291" spans="1:31">
      <c r="A291" s="729"/>
      <c r="B291" s="729"/>
      <c r="C291" s="729"/>
      <c r="D291" s="729"/>
      <c r="E291" s="729"/>
      <c r="F291" s="729"/>
      <c r="G291" s="729"/>
      <c r="H291" s="729"/>
      <c r="I291" s="729"/>
      <c r="J291" s="729"/>
      <c r="K291" s="729"/>
      <c r="L291" s="729"/>
      <c r="M291" s="729"/>
      <c r="N291" s="729"/>
      <c r="O291" s="729"/>
      <c r="P291" s="729"/>
      <c r="Q291" s="729"/>
      <c r="R291" s="729"/>
      <c r="S291" s="729"/>
      <c r="T291" s="729"/>
      <c r="U291" s="729"/>
      <c r="V291" s="729"/>
      <c r="W291" s="729"/>
      <c r="X291" s="729"/>
      <c r="Y291" s="729"/>
      <c r="Z291" s="729"/>
      <c r="AA291" s="729"/>
      <c r="AB291" s="729"/>
      <c r="AC291" s="729"/>
      <c r="AD291" s="729"/>
      <c r="AE291" s="729"/>
    </row>
    <row r="292" spans="1:31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29"/>
      <c r="P292" s="729"/>
      <c r="Q292" s="729"/>
      <c r="R292" s="729"/>
      <c r="S292" s="729"/>
      <c r="T292" s="729"/>
      <c r="U292" s="729"/>
      <c r="V292" s="729"/>
      <c r="W292" s="729"/>
      <c r="X292" s="729"/>
      <c r="Y292" s="729"/>
      <c r="Z292" s="729"/>
      <c r="AA292" s="729"/>
      <c r="AB292" s="729"/>
      <c r="AC292" s="729"/>
      <c r="AD292" s="729"/>
      <c r="AE292" s="729"/>
    </row>
    <row r="293" spans="1:31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29"/>
      <c r="P293" s="729"/>
      <c r="Q293" s="729"/>
      <c r="R293" s="729"/>
      <c r="S293" s="729"/>
      <c r="T293" s="729"/>
      <c r="U293" s="729"/>
      <c r="V293" s="729"/>
      <c r="W293" s="729"/>
      <c r="X293" s="729"/>
      <c r="Y293" s="729"/>
      <c r="Z293" s="729"/>
      <c r="AA293" s="729"/>
      <c r="AB293" s="729"/>
      <c r="AC293" s="729"/>
      <c r="AD293" s="729"/>
      <c r="AE293" s="729"/>
    </row>
    <row r="294" spans="1:31">
      <c r="A294" s="729"/>
      <c r="B294" s="729"/>
      <c r="C294" s="729"/>
      <c r="D294" s="729"/>
      <c r="E294" s="729"/>
      <c r="F294" s="729"/>
      <c r="G294" s="729"/>
      <c r="H294" s="729"/>
      <c r="I294" s="729"/>
      <c r="J294" s="729"/>
      <c r="K294" s="729"/>
      <c r="L294" s="729"/>
      <c r="M294" s="729"/>
      <c r="N294" s="729"/>
      <c r="O294" s="729"/>
      <c r="P294" s="729"/>
      <c r="Q294" s="729"/>
      <c r="R294" s="729"/>
      <c r="S294" s="729"/>
      <c r="T294" s="729"/>
      <c r="U294" s="729"/>
      <c r="V294" s="729"/>
      <c r="W294" s="729"/>
      <c r="X294" s="729"/>
      <c r="Y294" s="729"/>
      <c r="Z294" s="729"/>
      <c r="AA294" s="729"/>
      <c r="AB294" s="729"/>
      <c r="AC294" s="729"/>
      <c r="AD294" s="729"/>
      <c r="AE294" s="729"/>
    </row>
    <row r="295" spans="1:31">
      <c r="A295" s="729"/>
      <c r="B295" s="729"/>
      <c r="C295" s="729"/>
      <c r="D295" s="729"/>
      <c r="E295" s="729"/>
      <c r="F295" s="729"/>
      <c r="G295" s="729"/>
      <c r="H295" s="729"/>
      <c r="I295" s="729"/>
      <c r="J295" s="729"/>
      <c r="K295" s="729"/>
      <c r="L295" s="729"/>
      <c r="M295" s="729"/>
      <c r="N295" s="729"/>
      <c r="O295" s="729"/>
      <c r="P295" s="729"/>
      <c r="Q295" s="729"/>
      <c r="R295" s="729"/>
      <c r="S295" s="729"/>
      <c r="T295" s="729"/>
      <c r="U295" s="729"/>
      <c r="V295" s="729"/>
      <c r="W295" s="729"/>
      <c r="X295" s="729"/>
      <c r="Y295" s="729"/>
      <c r="Z295" s="729"/>
      <c r="AA295" s="729"/>
      <c r="AB295" s="729"/>
      <c r="AC295" s="729"/>
      <c r="AD295" s="729"/>
      <c r="AE295" s="729"/>
    </row>
    <row r="296" spans="1:31">
      <c r="A296" s="729"/>
      <c r="B296" s="729"/>
      <c r="C296" s="729"/>
      <c r="D296" s="729"/>
      <c r="E296" s="729"/>
      <c r="F296" s="729"/>
      <c r="G296" s="729"/>
      <c r="H296" s="729"/>
      <c r="I296" s="729"/>
      <c r="J296" s="729"/>
      <c r="K296" s="729"/>
      <c r="L296" s="729"/>
      <c r="M296" s="729"/>
      <c r="N296" s="729"/>
      <c r="O296" s="729"/>
      <c r="P296" s="729"/>
      <c r="Q296" s="729"/>
      <c r="R296" s="729"/>
      <c r="S296" s="729"/>
      <c r="T296" s="729"/>
      <c r="U296" s="729"/>
      <c r="V296" s="729"/>
      <c r="W296" s="729"/>
      <c r="X296" s="729"/>
      <c r="Y296" s="729"/>
      <c r="Z296" s="729"/>
      <c r="AA296" s="729"/>
      <c r="AB296" s="729"/>
      <c r="AC296" s="729"/>
      <c r="AD296" s="729"/>
      <c r="AE296" s="729"/>
    </row>
    <row r="297" spans="1:31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29"/>
      <c r="P297" s="729"/>
      <c r="Q297" s="729"/>
      <c r="R297" s="729"/>
      <c r="S297" s="729"/>
      <c r="T297" s="729"/>
      <c r="U297" s="729"/>
      <c r="V297" s="729"/>
      <c r="W297" s="729"/>
      <c r="X297" s="729"/>
      <c r="Y297" s="729"/>
      <c r="Z297" s="729"/>
      <c r="AA297" s="729"/>
      <c r="AB297" s="729"/>
      <c r="AC297" s="729"/>
      <c r="AD297" s="729"/>
      <c r="AE297" s="729"/>
    </row>
    <row r="298" spans="1:31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29"/>
      <c r="P298" s="729"/>
      <c r="Q298" s="729"/>
      <c r="R298" s="729"/>
      <c r="S298" s="729"/>
      <c r="T298" s="729"/>
      <c r="U298" s="729"/>
      <c r="V298" s="729"/>
      <c r="W298" s="729"/>
      <c r="X298" s="729"/>
      <c r="Y298" s="729"/>
      <c r="Z298" s="729"/>
      <c r="AA298" s="729"/>
      <c r="AB298" s="729"/>
      <c r="AC298" s="729"/>
      <c r="AD298" s="729"/>
      <c r="AE298" s="729"/>
    </row>
    <row r="299" spans="1:31">
      <c r="A299" s="729"/>
      <c r="B299" s="729"/>
      <c r="C299" s="729"/>
      <c r="D299" s="729"/>
      <c r="E299" s="729"/>
      <c r="F299" s="729"/>
      <c r="G299" s="729"/>
      <c r="H299" s="729"/>
      <c r="I299" s="729"/>
      <c r="J299" s="729"/>
      <c r="K299" s="729"/>
      <c r="L299" s="729"/>
      <c r="M299" s="729"/>
      <c r="N299" s="729"/>
      <c r="O299" s="729"/>
      <c r="P299" s="729"/>
      <c r="Q299" s="729"/>
      <c r="R299" s="729"/>
      <c r="S299" s="729"/>
      <c r="T299" s="729"/>
      <c r="U299" s="729"/>
      <c r="V299" s="729"/>
      <c r="W299" s="729"/>
      <c r="X299" s="729"/>
      <c r="Y299" s="729"/>
      <c r="Z299" s="729"/>
      <c r="AA299" s="729"/>
      <c r="AB299" s="729"/>
      <c r="AC299" s="729"/>
      <c r="AD299" s="729"/>
      <c r="AE299" s="729"/>
    </row>
    <row r="300" spans="1:31">
      <c r="A300" s="729"/>
      <c r="B300" s="729"/>
      <c r="C300" s="729"/>
      <c r="D300" s="729"/>
      <c r="E300" s="729"/>
      <c r="F300" s="729"/>
      <c r="G300" s="729"/>
      <c r="H300" s="729"/>
      <c r="I300" s="729"/>
      <c r="J300" s="729"/>
      <c r="K300" s="729"/>
      <c r="L300" s="729"/>
      <c r="M300" s="729"/>
      <c r="N300" s="729"/>
      <c r="O300" s="729"/>
      <c r="P300" s="729"/>
      <c r="Q300" s="729"/>
      <c r="R300" s="729"/>
      <c r="S300" s="729"/>
      <c r="T300" s="729"/>
      <c r="U300" s="729"/>
      <c r="V300" s="729"/>
      <c r="W300" s="729"/>
      <c r="X300" s="729"/>
      <c r="Y300" s="729"/>
      <c r="Z300" s="729"/>
      <c r="AA300" s="729"/>
      <c r="AB300" s="729"/>
      <c r="AC300" s="729"/>
      <c r="AD300" s="729"/>
      <c r="AE300" s="729"/>
    </row>
    <row r="301" spans="1:31">
      <c r="A301" s="729"/>
      <c r="B301" s="729"/>
      <c r="C301" s="729"/>
      <c r="D301" s="729"/>
      <c r="E301" s="729"/>
      <c r="F301" s="729"/>
      <c r="G301" s="729"/>
      <c r="H301" s="729"/>
      <c r="I301" s="729"/>
      <c r="J301" s="729"/>
      <c r="K301" s="729"/>
      <c r="L301" s="729"/>
      <c r="M301" s="729"/>
      <c r="N301" s="729"/>
      <c r="O301" s="729"/>
      <c r="P301" s="729"/>
      <c r="Q301" s="729"/>
      <c r="R301" s="729"/>
      <c r="S301" s="729"/>
      <c r="T301" s="729"/>
      <c r="U301" s="729"/>
      <c r="V301" s="729"/>
      <c r="W301" s="729"/>
      <c r="X301" s="729"/>
      <c r="Y301" s="729"/>
      <c r="Z301" s="729"/>
      <c r="AA301" s="729"/>
      <c r="AB301" s="729"/>
      <c r="AC301" s="729"/>
      <c r="AD301" s="729"/>
      <c r="AE301" s="729"/>
    </row>
    <row r="302" spans="1:31">
      <c r="A302" s="729"/>
      <c r="B302" s="729"/>
      <c r="C302" s="729"/>
      <c r="D302" s="729"/>
      <c r="E302" s="729"/>
      <c r="F302" s="729"/>
      <c r="G302" s="729"/>
      <c r="H302" s="729"/>
      <c r="I302" s="729"/>
      <c r="J302" s="729"/>
      <c r="K302" s="729"/>
      <c r="L302" s="729"/>
      <c r="M302" s="729"/>
      <c r="N302" s="729"/>
      <c r="O302" s="729"/>
      <c r="P302" s="729"/>
      <c r="Q302" s="729"/>
      <c r="R302" s="729"/>
      <c r="S302" s="729"/>
      <c r="T302" s="729"/>
      <c r="U302" s="729"/>
      <c r="V302" s="729"/>
      <c r="W302" s="729"/>
      <c r="X302" s="729"/>
      <c r="Y302" s="729"/>
      <c r="Z302" s="729"/>
      <c r="AA302" s="729"/>
      <c r="AB302" s="729"/>
      <c r="AC302" s="729"/>
      <c r="AD302" s="729"/>
      <c r="AE302" s="729"/>
    </row>
    <row r="303" spans="1:31">
      <c r="A303" s="729"/>
      <c r="B303" s="729"/>
      <c r="C303" s="729"/>
      <c r="D303" s="729"/>
      <c r="E303" s="729"/>
      <c r="F303" s="729"/>
      <c r="G303" s="729"/>
      <c r="H303" s="729"/>
      <c r="I303" s="729"/>
      <c r="J303" s="729"/>
      <c r="K303" s="729"/>
      <c r="L303" s="729"/>
      <c r="M303" s="729"/>
      <c r="N303" s="729"/>
      <c r="O303" s="729"/>
      <c r="P303" s="729"/>
      <c r="Q303" s="729"/>
      <c r="R303" s="729"/>
      <c r="S303" s="729"/>
      <c r="T303" s="729"/>
      <c r="U303" s="729"/>
      <c r="V303" s="729"/>
      <c r="W303" s="729"/>
      <c r="X303" s="729"/>
      <c r="Y303" s="729"/>
      <c r="Z303" s="729"/>
      <c r="AA303" s="729"/>
      <c r="AB303" s="729"/>
      <c r="AC303" s="729"/>
      <c r="AD303" s="729"/>
      <c r="AE303" s="729"/>
    </row>
    <row r="304" spans="1:31">
      <c r="A304" s="729"/>
      <c r="B304" s="729"/>
      <c r="C304" s="729"/>
      <c r="D304" s="729"/>
      <c r="E304" s="729"/>
      <c r="F304" s="729"/>
      <c r="G304" s="729"/>
      <c r="H304" s="729"/>
      <c r="I304" s="729"/>
      <c r="J304" s="729"/>
      <c r="K304" s="729"/>
      <c r="L304" s="729"/>
      <c r="M304" s="729"/>
      <c r="N304" s="729"/>
      <c r="O304" s="729"/>
      <c r="P304" s="729"/>
      <c r="Q304" s="729"/>
      <c r="R304" s="729"/>
      <c r="S304" s="729"/>
      <c r="T304" s="729"/>
      <c r="U304" s="729"/>
      <c r="V304" s="729"/>
      <c r="W304" s="729"/>
      <c r="X304" s="729"/>
      <c r="Y304" s="729"/>
      <c r="Z304" s="729"/>
      <c r="AA304" s="729"/>
      <c r="AB304" s="729"/>
      <c r="AC304" s="729"/>
      <c r="AD304" s="729"/>
      <c r="AE304" s="729"/>
    </row>
    <row r="305" spans="1:31">
      <c r="A305" s="729"/>
      <c r="B305" s="729"/>
      <c r="C305" s="729"/>
      <c r="D305" s="729"/>
      <c r="E305" s="729"/>
      <c r="F305" s="729"/>
      <c r="G305" s="729"/>
      <c r="H305" s="729"/>
      <c r="I305" s="729"/>
      <c r="J305" s="729"/>
      <c r="K305" s="729"/>
      <c r="L305" s="729"/>
      <c r="M305" s="729"/>
      <c r="N305" s="729"/>
      <c r="O305" s="729"/>
      <c r="P305" s="729"/>
      <c r="Q305" s="729"/>
      <c r="R305" s="729"/>
      <c r="S305" s="729"/>
      <c r="T305" s="729"/>
      <c r="U305" s="729"/>
      <c r="V305" s="729"/>
      <c r="W305" s="729"/>
      <c r="X305" s="729"/>
      <c r="Y305" s="729"/>
      <c r="Z305" s="729"/>
      <c r="AA305" s="729"/>
      <c r="AB305" s="729"/>
      <c r="AC305" s="729"/>
      <c r="AD305" s="729"/>
      <c r="AE305" s="729"/>
    </row>
    <row r="306" spans="1:31">
      <c r="A306" s="729"/>
      <c r="B306" s="729"/>
      <c r="C306" s="729"/>
      <c r="D306" s="729"/>
      <c r="E306" s="729"/>
      <c r="F306" s="729"/>
      <c r="G306" s="729"/>
      <c r="H306" s="729"/>
      <c r="I306" s="729"/>
      <c r="J306" s="729"/>
      <c r="K306" s="729"/>
      <c r="L306" s="729"/>
      <c r="M306" s="729"/>
      <c r="N306" s="729"/>
      <c r="O306" s="729"/>
      <c r="P306" s="729"/>
      <c r="Q306" s="729"/>
      <c r="R306" s="729"/>
      <c r="S306" s="729"/>
      <c r="T306" s="729"/>
      <c r="U306" s="729"/>
      <c r="V306" s="729"/>
      <c r="W306" s="729"/>
      <c r="X306" s="729"/>
      <c r="Y306" s="729"/>
      <c r="Z306" s="729"/>
      <c r="AA306" s="729"/>
      <c r="AB306" s="729"/>
      <c r="AC306" s="729"/>
      <c r="AD306" s="729"/>
      <c r="AE306" s="729"/>
    </row>
    <row r="307" spans="1:31">
      <c r="A307" s="729"/>
      <c r="B307" s="729"/>
      <c r="C307" s="729"/>
      <c r="D307" s="729"/>
      <c r="E307" s="729"/>
      <c r="F307" s="729"/>
      <c r="G307" s="729"/>
      <c r="H307" s="729"/>
      <c r="I307" s="729"/>
      <c r="J307" s="729"/>
      <c r="K307" s="729"/>
      <c r="L307" s="729"/>
      <c r="M307" s="729"/>
      <c r="N307" s="729"/>
      <c r="O307" s="729"/>
      <c r="P307" s="729"/>
      <c r="Q307" s="729"/>
      <c r="R307" s="729"/>
      <c r="S307" s="729"/>
      <c r="T307" s="729"/>
      <c r="U307" s="729"/>
      <c r="V307" s="729"/>
      <c r="W307" s="729"/>
      <c r="X307" s="729"/>
      <c r="Y307" s="729"/>
      <c r="Z307" s="729"/>
      <c r="AA307" s="729"/>
      <c r="AB307" s="729"/>
      <c r="AC307" s="729"/>
      <c r="AD307" s="729"/>
      <c r="AE307" s="729"/>
    </row>
    <row r="308" spans="1:31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29"/>
      <c r="P308" s="729"/>
      <c r="Q308" s="729"/>
      <c r="R308" s="729"/>
      <c r="S308" s="729"/>
      <c r="T308" s="729"/>
      <c r="U308" s="729"/>
      <c r="V308" s="729"/>
      <c r="W308" s="729"/>
      <c r="X308" s="729"/>
      <c r="Y308" s="729"/>
      <c r="Z308" s="729"/>
      <c r="AA308" s="729"/>
      <c r="AB308" s="729"/>
      <c r="AC308" s="729"/>
      <c r="AD308" s="729"/>
      <c r="AE308" s="729"/>
    </row>
    <row r="309" spans="1:31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29"/>
      <c r="P309" s="729"/>
      <c r="Q309" s="729"/>
      <c r="R309" s="729"/>
      <c r="S309" s="729"/>
      <c r="T309" s="729"/>
      <c r="U309" s="729"/>
      <c r="V309" s="729"/>
      <c r="W309" s="729"/>
      <c r="X309" s="729"/>
      <c r="Y309" s="729"/>
      <c r="Z309" s="729"/>
      <c r="AA309" s="729"/>
      <c r="AB309" s="729"/>
      <c r="AC309" s="729"/>
      <c r="AD309" s="729"/>
      <c r="AE309" s="729"/>
    </row>
    <row r="310" spans="1:31">
      <c r="A310" s="729"/>
      <c r="B310" s="729"/>
      <c r="C310" s="729"/>
      <c r="D310" s="729"/>
      <c r="E310" s="729"/>
      <c r="F310" s="729"/>
      <c r="G310" s="729"/>
      <c r="H310" s="729"/>
      <c r="I310" s="729"/>
      <c r="J310" s="729"/>
      <c r="K310" s="729"/>
      <c r="L310" s="729"/>
      <c r="M310" s="729"/>
      <c r="N310" s="729"/>
      <c r="O310" s="729"/>
      <c r="P310" s="729"/>
      <c r="Q310" s="729"/>
      <c r="R310" s="729"/>
      <c r="S310" s="729"/>
      <c r="T310" s="729"/>
      <c r="U310" s="729"/>
      <c r="V310" s="729"/>
      <c r="W310" s="729"/>
      <c r="X310" s="729"/>
      <c r="Y310" s="729"/>
      <c r="Z310" s="729"/>
      <c r="AA310" s="729"/>
      <c r="AB310" s="729"/>
      <c r="AC310" s="729"/>
      <c r="AD310" s="729"/>
      <c r="AE310" s="729"/>
    </row>
    <row r="311" spans="1:31">
      <c r="A311" s="729"/>
      <c r="B311" s="729"/>
      <c r="C311" s="729"/>
      <c r="D311" s="729"/>
      <c r="E311" s="729"/>
      <c r="F311" s="729"/>
      <c r="G311" s="729"/>
      <c r="H311" s="729"/>
      <c r="I311" s="729"/>
      <c r="J311" s="729"/>
      <c r="K311" s="729"/>
      <c r="L311" s="729"/>
      <c r="M311" s="729"/>
      <c r="N311" s="729"/>
      <c r="O311" s="729"/>
      <c r="P311" s="729"/>
      <c r="Q311" s="729"/>
      <c r="R311" s="729"/>
      <c r="S311" s="729"/>
      <c r="T311" s="729"/>
      <c r="U311" s="729"/>
      <c r="V311" s="729"/>
      <c r="W311" s="729"/>
      <c r="X311" s="729"/>
      <c r="Y311" s="729"/>
      <c r="Z311" s="729"/>
      <c r="AA311" s="729"/>
      <c r="AB311" s="729"/>
      <c r="AC311" s="729"/>
      <c r="AD311" s="729"/>
      <c r="AE311" s="729"/>
    </row>
    <row r="312" spans="1:31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29"/>
      <c r="P312" s="729"/>
      <c r="Q312" s="729"/>
      <c r="R312" s="729"/>
      <c r="S312" s="729"/>
      <c r="T312" s="729"/>
      <c r="U312" s="729"/>
      <c r="V312" s="729"/>
      <c r="W312" s="729"/>
      <c r="X312" s="729"/>
      <c r="Y312" s="729"/>
      <c r="Z312" s="729"/>
      <c r="AA312" s="729"/>
      <c r="AB312" s="729"/>
      <c r="AC312" s="729"/>
      <c r="AD312" s="729"/>
      <c r="AE312" s="729"/>
    </row>
    <row r="313" spans="1:31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29"/>
      <c r="P313" s="729"/>
      <c r="Q313" s="729"/>
      <c r="R313" s="729"/>
      <c r="S313" s="729"/>
      <c r="T313" s="729"/>
      <c r="U313" s="729"/>
      <c r="V313" s="729"/>
      <c r="W313" s="729"/>
      <c r="X313" s="729"/>
      <c r="Y313" s="729"/>
      <c r="Z313" s="729"/>
      <c r="AA313" s="729"/>
      <c r="AB313" s="729"/>
      <c r="AC313" s="729"/>
      <c r="AD313" s="729"/>
      <c r="AE313" s="729"/>
    </row>
    <row r="314" spans="1:31">
      <c r="A314" s="729"/>
      <c r="B314" s="729"/>
      <c r="C314" s="729"/>
      <c r="D314" s="729"/>
      <c r="E314" s="729"/>
      <c r="F314" s="729"/>
      <c r="G314" s="729"/>
      <c r="H314" s="729"/>
      <c r="I314" s="729"/>
      <c r="J314" s="729"/>
      <c r="K314" s="729"/>
      <c r="L314" s="729"/>
      <c r="M314" s="729"/>
      <c r="N314" s="729"/>
      <c r="O314" s="729"/>
      <c r="P314" s="729"/>
      <c r="Q314" s="729"/>
      <c r="R314" s="729"/>
      <c r="S314" s="729"/>
      <c r="T314" s="729"/>
      <c r="U314" s="729"/>
      <c r="V314" s="729"/>
      <c r="W314" s="729"/>
      <c r="X314" s="729"/>
      <c r="Y314" s="729"/>
      <c r="Z314" s="729"/>
      <c r="AA314" s="729"/>
      <c r="AB314" s="729"/>
      <c r="AC314" s="729"/>
      <c r="AD314" s="729"/>
      <c r="AE314" s="729"/>
    </row>
    <row r="315" spans="1:31">
      <c r="A315" s="729"/>
      <c r="B315" s="729"/>
      <c r="C315" s="729"/>
      <c r="D315" s="729"/>
      <c r="E315" s="729"/>
      <c r="F315" s="729"/>
      <c r="G315" s="729"/>
      <c r="H315" s="729"/>
      <c r="I315" s="729"/>
      <c r="J315" s="729"/>
      <c r="K315" s="729"/>
      <c r="L315" s="729"/>
      <c r="M315" s="729"/>
      <c r="N315" s="729"/>
      <c r="O315" s="729"/>
      <c r="P315" s="729"/>
      <c r="Q315" s="729"/>
      <c r="R315" s="729"/>
      <c r="S315" s="729"/>
      <c r="T315" s="729"/>
      <c r="U315" s="729"/>
      <c r="V315" s="729"/>
      <c r="W315" s="729"/>
      <c r="X315" s="729"/>
      <c r="Y315" s="729"/>
      <c r="Z315" s="729"/>
      <c r="AA315" s="729"/>
      <c r="AB315" s="729"/>
      <c r="AC315" s="729"/>
      <c r="AD315" s="729"/>
      <c r="AE315" s="729"/>
    </row>
    <row r="316" spans="1:31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29"/>
      <c r="P316" s="729"/>
      <c r="Q316" s="729"/>
      <c r="R316" s="729"/>
      <c r="S316" s="729"/>
      <c r="T316" s="729"/>
      <c r="U316" s="729"/>
      <c r="V316" s="729"/>
      <c r="W316" s="729"/>
      <c r="X316" s="729"/>
      <c r="Y316" s="729"/>
      <c r="Z316" s="729"/>
      <c r="AA316" s="729"/>
      <c r="AB316" s="729"/>
      <c r="AC316" s="729"/>
      <c r="AD316" s="729"/>
      <c r="AE316" s="729"/>
    </row>
    <row r="317" spans="1:31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29"/>
      <c r="P317" s="729"/>
      <c r="Q317" s="729"/>
      <c r="R317" s="729"/>
      <c r="S317" s="729"/>
      <c r="T317" s="729"/>
      <c r="U317" s="729"/>
      <c r="V317" s="729"/>
      <c r="W317" s="729"/>
      <c r="X317" s="729"/>
      <c r="Y317" s="729"/>
      <c r="Z317" s="729"/>
      <c r="AA317" s="729"/>
      <c r="AB317" s="729"/>
      <c r="AC317" s="729"/>
      <c r="AD317" s="729"/>
      <c r="AE317" s="729"/>
    </row>
    <row r="318" spans="1:31">
      <c r="A318" s="729"/>
      <c r="B318" s="729"/>
      <c r="C318" s="729"/>
      <c r="D318" s="729"/>
      <c r="E318" s="729"/>
      <c r="F318" s="729"/>
      <c r="G318" s="729"/>
      <c r="H318" s="729"/>
      <c r="I318" s="729"/>
      <c r="J318" s="729"/>
      <c r="K318" s="729"/>
      <c r="L318" s="729"/>
      <c r="M318" s="729"/>
      <c r="N318" s="729"/>
      <c r="O318" s="729"/>
      <c r="P318" s="729"/>
      <c r="Q318" s="729"/>
      <c r="R318" s="729"/>
      <c r="S318" s="729"/>
      <c r="T318" s="729"/>
      <c r="U318" s="729"/>
      <c r="V318" s="729"/>
      <c r="W318" s="729"/>
      <c r="X318" s="729"/>
      <c r="Y318" s="729"/>
      <c r="Z318" s="729"/>
      <c r="AA318" s="729"/>
      <c r="AB318" s="729"/>
      <c r="AC318" s="729"/>
      <c r="AD318" s="729"/>
      <c r="AE318" s="729"/>
    </row>
    <row r="319" spans="1:31">
      <c r="A319" s="729"/>
      <c r="B319" s="729"/>
      <c r="C319" s="729"/>
      <c r="D319" s="729"/>
      <c r="E319" s="729"/>
      <c r="F319" s="729"/>
      <c r="G319" s="729"/>
      <c r="H319" s="729"/>
      <c r="I319" s="729"/>
      <c r="J319" s="729"/>
      <c r="K319" s="729"/>
      <c r="L319" s="729"/>
      <c r="M319" s="729"/>
      <c r="N319" s="729"/>
      <c r="O319" s="729"/>
      <c r="P319" s="729"/>
      <c r="Q319" s="729"/>
      <c r="R319" s="729"/>
      <c r="S319" s="729"/>
      <c r="T319" s="729"/>
      <c r="U319" s="729"/>
      <c r="V319" s="729"/>
      <c r="W319" s="729"/>
      <c r="X319" s="729"/>
      <c r="Y319" s="729"/>
      <c r="Z319" s="729"/>
      <c r="AA319" s="729"/>
      <c r="AB319" s="729"/>
      <c r="AC319" s="729"/>
      <c r="AD319" s="729"/>
      <c r="AE319" s="729"/>
    </row>
    <row r="320" spans="1:31">
      <c r="A320" s="729"/>
      <c r="B320" s="729"/>
      <c r="C320" s="729"/>
      <c r="D320" s="729"/>
      <c r="E320" s="729"/>
      <c r="F320" s="729"/>
      <c r="G320" s="729"/>
      <c r="H320" s="729"/>
      <c r="I320" s="729"/>
      <c r="J320" s="729"/>
      <c r="K320" s="729"/>
      <c r="L320" s="729"/>
      <c r="M320" s="729"/>
      <c r="N320" s="729"/>
      <c r="O320" s="729"/>
      <c r="P320" s="729"/>
      <c r="Q320" s="729"/>
      <c r="R320" s="729"/>
      <c r="S320" s="729"/>
      <c r="T320" s="729"/>
      <c r="U320" s="729"/>
      <c r="V320" s="729"/>
      <c r="W320" s="729"/>
      <c r="X320" s="729"/>
      <c r="Y320" s="729"/>
      <c r="Z320" s="729"/>
      <c r="AA320" s="729"/>
      <c r="AB320" s="729"/>
      <c r="AC320" s="729"/>
      <c r="AD320" s="729"/>
      <c r="AE320" s="729"/>
    </row>
    <row r="321" spans="1:31">
      <c r="A321" s="729"/>
      <c r="B321" s="729"/>
      <c r="C321" s="729"/>
      <c r="D321" s="729"/>
      <c r="E321" s="729"/>
      <c r="F321" s="729"/>
      <c r="G321" s="729"/>
      <c r="H321" s="729"/>
      <c r="I321" s="729"/>
      <c r="J321" s="729"/>
      <c r="K321" s="729"/>
      <c r="L321" s="729"/>
      <c r="M321" s="729"/>
      <c r="N321" s="729"/>
      <c r="O321" s="729"/>
      <c r="P321" s="729"/>
      <c r="Q321" s="729"/>
      <c r="R321" s="729"/>
      <c r="S321" s="729"/>
      <c r="T321" s="729"/>
      <c r="U321" s="729"/>
      <c r="V321" s="729"/>
      <c r="W321" s="729"/>
      <c r="X321" s="729"/>
      <c r="Y321" s="729"/>
      <c r="Z321" s="729"/>
      <c r="AA321" s="729"/>
      <c r="AB321" s="729"/>
      <c r="AC321" s="729"/>
      <c r="AD321" s="729"/>
      <c r="AE321" s="729"/>
    </row>
    <row r="322" spans="1:31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29"/>
      <c r="P322" s="729"/>
      <c r="Q322" s="729"/>
      <c r="R322" s="729"/>
      <c r="S322" s="729"/>
      <c r="T322" s="729"/>
      <c r="U322" s="729"/>
      <c r="V322" s="729"/>
      <c r="W322" s="729"/>
      <c r="X322" s="729"/>
      <c r="Y322" s="729"/>
      <c r="Z322" s="729"/>
      <c r="AA322" s="729"/>
      <c r="AB322" s="729"/>
      <c r="AC322" s="729"/>
      <c r="AD322" s="729"/>
      <c r="AE322" s="729"/>
    </row>
    <row r="323" spans="1:31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29"/>
      <c r="P323" s="729"/>
      <c r="Q323" s="729"/>
      <c r="R323" s="729"/>
      <c r="S323" s="729"/>
      <c r="T323" s="729"/>
      <c r="U323" s="729"/>
      <c r="V323" s="729"/>
      <c r="W323" s="729"/>
      <c r="X323" s="729"/>
      <c r="Y323" s="729"/>
      <c r="Z323" s="729"/>
      <c r="AA323" s="729"/>
      <c r="AB323" s="729"/>
      <c r="AC323" s="729"/>
      <c r="AD323" s="729"/>
      <c r="AE323" s="729"/>
    </row>
    <row r="324" spans="1:31">
      <c r="A324" s="729"/>
      <c r="B324" s="729"/>
      <c r="C324" s="729"/>
      <c r="D324" s="729"/>
      <c r="E324" s="729"/>
      <c r="F324" s="729"/>
      <c r="G324" s="729"/>
      <c r="H324" s="729"/>
      <c r="I324" s="729"/>
      <c r="J324" s="729"/>
      <c r="K324" s="729"/>
      <c r="L324" s="729"/>
      <c r="M324" s="729"/>
      <c r="N324" s="729"/>
      <c r="O324" s="729"/>
      <c r="P324" s="729"/>
      <c r="Q324" s="729"/>
      <c r="R324" s="729"/>
      <c r="S324" s="729"/>
      <c r="T324" s="729"/>
      <c r="U324" s="729"/>
      <c r="V324" s="729"/>
      <c r="W324" s="729"/>
      <c r="X324" s="729"/>
      <c r="Y324" s="729"/>
      <c r="Z324" s="729"/>
      <c r="AA324" s="729"/>
      <c r="AB324" s="729"/>
      <c r="AC324" s="729"/>
      <c r="AD324" s="729"/>
      <c r="AE324" s="729"/>
    </row>
    <row r="325" spans="1:31">
      <c r="A325" s="729"/>
      <c r="B325" s="729"/>
      <c r="C325" s="729"/>
      <c r="D325" s="729"/>
      <c r="E325" s="729"/>
      <c r="F325" s="729"/>
      <c r="G325" s="729"/>
      <c r="H325" s="729"/>
      <c r="I325" s="729"/>
      <c r="J325" s="729"/>
      <c r="K325" s="729"/>
      <c r="L325" s="729"/>
      <c r="M325" s="729"/>
      <c r="N325" s="729"/>
      <c r="O325" s="729"/>
      <c r="P325" s="729"/>
      <c r="Q325" s="729"/>
      <c r="R325" s="729"/>
      <c r="S325" s="729"/>
      <c r="T325" s="729"/>
      <c r="U325" s="729"/>
      <c r="V325" s="729"/>
      <c r="W325" s="729"/>
      <c r="X325" s="729"/>
      <c r="Y325" s="729"/>
      <c r="Z325" s="729"/>
      <c r="AA325" s="729"/>
      <c r="AB325" s="729"/>
      <c r="AC325" s="729"/>
      <c r="AD325" s="729"/>
      <c r="AE325" s="729"/>
    </row>
    <row r="326" spans="1:31">
      <c r="A326" s="729"/>
      <c r="B326" s="729"/>
      <c r="C326" s="729"/>
      <c r="D326" s="729"/>
      <c r="E326" s="729"/>
      <c r="F326" s="729"/>
      <c r="G326" s="729"/>
      <c r="H326" s="729"/>
      <c r="I326" s="729"/>
      <c r="J326" s="729"/>
      <c r="K326" s="729"/>
      <c r="L326" s="729"/>
      <c r="M326" s="729"/>
      <c r="N326" s="729"/>
      <c r="O326" s="729"/>
      <c r="P326" s="729"/>
      <c r="Q326" s="729"/>
      <c r="R326" s="729"/>
      <c r="S326" s="729"/>
      <c r="T326" s="729"/>
      <c r="U326" s="729"/>
      <c r="V326" s="729"/>
      <c r="W326" s="729"/>
      <c r="X326" s="729"/>
      <c r="Y326" s="729"/>
      <c r="Z326" s="729"/>
      <c r="AA326" s="729"/>
      <c r="AB326" s="729"/>
      <c r="AC326" s="729"/>
      <c r="AD326" s="729"/>
      <c r="AE326" s="729"/>
    </row>
    <row r="327" spans="1:31">
      <c r="A327" s="729"/>
      <c r="B327" s="729"/>
      <c r="C327" s="729"/>
      <c r="D327" s="729"/>
      <c r="E327" s="729"/>
      <c r="F327" s="729"/>
      <c r="G327" s="729"/>
      <c r="H327" s="729"/>
      <c r="I327" s="729"/>
      <c r="J327" s="729"/>
      <c r="K327" s="729"/>
      <c r="L327" s="729"/>
      <c r="M327" s="729"/>
      <c r="N327" s="729"/>
      <c r="O327" s="729"/>
      <c r="P327" s="729"/>
      <c r="Q327" s="729"/>
      <c r="R327" s="729"/>
      <c r="S327" s="729"/>
      <c r="T327" s="729"/>
      <c r="U327" s="729"/>
      <c r="V327" s="729"/>
      <c r="W327" s="729"/>
      <c r="X327" s="729"/>
      <c r="Y327" s="729"/>
      <c r="Z327" s="729"/>
      <c r="AA327" s="729"/>
      <c r="AB327" s="729"/>
      <c r="AC327" s="729"/>
      <c r="AD327" s="729"/>
      <c r="AE327" s="729"/>
    </row>
    <row r="328" spans="1:31">
      <c r="A328" s="729"/>
      <c r="B328" s="729"/>
      <c r="C328" s="729"/>
      <c r="D328" s="729"/>
      <c r="E328" s="729"/>
      <c r="F328" s="729"/>
      <c r="G328" s="729"/>
      <c r="H328" s="729"/>
      <c r="I328" s="729"/>
      <c r="J328" s="729"/>
      <c r="K328" s="729"/>
      <c r="L328" s="729"/>
      <c r="M328" s="729"/>
      <c r="N328" s="729"/>
      <c r="O328" s="729"/>
      <c r="P328" s="729"/>
      <c r="Q328" s="729"/>
      <c r="R328" s="729"/>
      <c r="S328" s="729"/>
      <c r="T328" s="729"/>
      <c r="U328" s="729"/>
      <c r="V328" s="729"/>
      <c r="W328" s="729"/>
      <c r="X328" s="729"/>
      <c r="Y328" s="729"/>
      <c r="Z328" s="729"/>
      <c r="AA328" s="729"/>
      <c r="AB328" s="729"/>
      <c r="AC328" s="729"/>
      <c r="AD328" s="729"/>
      <c r="AE328" s="729"/>
    </row>
    <row r="329" spans="1:31">
      <c r="A329" s="729"/>
      <c r="B329" s="729"/>
      <c r="C329" s="729"/>
      <c r="D329" s="729"/>
      <c r="E329" s="729"/>
      <c r="F329" s="729"/>
      <c r="G329" s="729"/>
      <c r="H329" s="729"/>
      <c r="I329" s="729"/>
      <c r="J329" s="729"/>
      <c r="K329" s="729"/>
      <c r="L329" s="729"/>
      <c r="M329" s="729"/>
      <c r="N329" s="729"/>
      <c r="O329" s="729"/>
      <c r="P329" s="729"/>
      <c r="Q329" s="729"/>
      <c r="R329" s="729"/>
      <c r="S329" s="729"/>
      <c r="T329" s="729"/>
      <c r="U329" s="729"/>
      <c r="V329" s="729"/>
      <c r="W329" s="729"/>
      <c r="X329" s="729"/>
      <c r="Y329" s="729"/>
      <c r="Z329" s="729"/>
      <c r="AA329" s="729"/>
      <c r="AB329" s="729"/>
      <c r="AC329" s="729"/>
      <c r="AD329" s="729"/>
      <c r="AE329" s="729"/>
    </row>
    <row r="330" spans="1:31">
      <c r="A330" s="729"/>
      <c r="B330" s="729"/>
      <c r="C330" s="729"/>
      <c r="D330" s="729"/>
      <c r="E330" s="729"/>
      <c r="F330" s="729"/>
      <c r="G330" s="729"/>
      <c r="H330" s="729"/>
      <c r="I330" s="729"/>
      <c r="J330" s="729"/>
      <c r="K330" s="729"/>
      <c r="L330" s="729"/>
      <c r="M330" s="729"/>
      <c r="N330" s="729"/>
      <c r="O330" s="729"/>
      <c r="P330" s="729"/>
      <c r="Q330" s="729"/>
      <c r="R330" s="729"/>
      <c r="S330" s="729"/>
      <c r="T330" s="729"/>
      <c r="U330" s="729"/>
      <c r="V330" s="729"/>
      <c r="W330" s="729"/>
      <c r="X330" s="729"/>
      <c r="Y330" s="729"/>
      <c r="Z330" s="729"/>
      <c r="AA330" s="729"/>
      <c r="AB330" s="729"/>
      <c r="AC330" s="729"/>
      <c r="AD330" s="729"/>
      <c r="AE330" s="729"/>
    </row>
    <row r="331" spans="1:31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29"/>
      <c r="P331" s="729"/>
      <c r="Q331" s="729"/>
      <c r="R331" s="729"/>
      <c r="S331" s="729"/>
      <c r="T331" s="729"/>
      <c r="U331" s="729"/>
      <c r="V331" s="729"/>
      <c r="W331" s="729"/>
      <c r="X331" s="729"/>
      <c r="Y331" s="729"/>
      <c r="Z331" s="729"/>
      <c r="AA331" s="729"/>
      <c r="AB331" s="729"/>
      <c r="AC331" s="729"/>
      <c r="AD331" s="729"/>
      <c r="AE331" s="729"/>
    </row>
    <row r="332" spans="1:31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29"/>
      <c r="P332" s="729"/>
      <c r="Q332" s="729"/>
      <c r="R332" s="729"/>
      <c r="S332" s="729"/>
      <c r="T332" s="729"/>
      <c r="U332" s="729"/>
      <c r="V332" s="729"/>
      <c r="W332" s="729"/>
      <c r="X332" s="729"/>
      <c r="Y332" s="729"/>
      <c r="Z332" s="729"/>
      <c r="AA332" s="729"/>
      <c r="AB332" s="729"/>
      <c r="AC332" s="729"/>
      <c r="AD332" s="729"/>
      <c r="AE332" s="729"/>
    </row>
    <row r="333" spans="1:31">
      <c r="A333" s="729"/>
      <c r="B333" s="729"/>
      <c r="C333" s="729"/>
      <c r="D333" s="729"/>
      <c r="E333" s="729"/>
      <c r="F333" s="729"/>
      <c r="G333" s="729"/>
      <c r="H333" s="729"/>
      <c r="I333" s="729"/>
      <c r="J333" s="729"/>
      <c r="K333" s="729"/>
      <c r="L333" s="729"/>
      <c r="M333" s="729"/>
      <c r="N333" s="729"/>
      <c r="O333" s="729"/>
      <c r="P333" s="729"/>
      <c r="Q333" s="729"/>
      <c r="R333" s="729"/>
      <c r="S333" s="729"/>
      <c r="T333" s="729"/>
      <c r="U333" s="729"/>
      <c r="V333" s="729"/>
      <c r="W333" s="729"/>
      <c r="X333" s="729"/>
      <c r="Y333" s="729"/>
      <c r="Z333" s="729"/>
      <c r="AA333" s="729"/>
      <c r="AB333" s="729"/>
      <c r="AC333" s="729"/>
      <c r="AD333" s="729"/>
      <c r="AE333" s="729"/>
    </row>
    <row r="334" spans="1:31">
      <c r="A334" s="729"/>
      <c r="B334" s="729"/>
      <c r="C334" s="729"/>
      <c r="D334" s="729"/>
      <c r="E334" s="729"/>
      <c r="F334" s="729"/>
      <c r="G334" s="729"/>
      <c r="H334" s="729"/>
      <c r="I334" s="729"/>
      <c r="J334" s="729"/>
      <c r="K334" s="729"/>
      <c r="L334" s="729"/>
      <c r="M334" s="729"/>
      <c r="N334" s="729"/>
      <c r="O334" s="729"/>
      <c r="P334" s="729"/>
      <c r="Q334" s="729"/>
      <c r="R334" s="729"/>
      <c r="S334" s="729"/>
      <c r="T334" s="729"/>
      <c r="U334" s="729"/>
      <c r="V334" s="729"/>
      <c r="W334" s="729"/>
      <c r="X334" s="729"/>
      <c r="Y334" s="729"/>
      <c r="Z334" s="729"/>
      <c r="AA334" s="729"/>
      <c r="AB334" s="729"/>
      <c r="AC334" s="729"/>
      <c r="AD334" s="729"/>
      <c r="AE334" s="729"/>
    </row>
    <row r="335" spans="1:31">
      <c r="A335" s="729"/>
      <c r="B335" s="729"/>
      <c r="C335" s="729"/>
      <c r="D335" s="729"/>
      <c r="E335" s="729"/>
      <c r="F335" s="729"/>
      <c r="G335" s="729"/>
      <c r="H335" s="729"/>
      <c r="I335" s="729"/>
      <c r="J335" s="729"/>
      <c r="K335" s="729"/>
      <c r="L335" s="729"/>
      <c r="M335" s="729"/>
      <c r="N335" s="729"/>
      <c r="O335" s="729"/>
      <c r="P335" s="729"/>
      <c r="Q335" s="729"/>
      <c r="R335" s="729"/>
      <c r="S335" s="729"/>
      <c r="T335" s="729"/>
      <c r="U335" s="729"/>
      <c r="V335" s="729"/>
      <c r="W335" s="729"/>
      <c r="X335" s="729"/>
      <c r="Y335" s="729"/>
      <c r="Z335" s="729"/>
      <c r="AA335" s="729"/>
      <c r="AB335" s="729"/>
      <c r="AC335" s="729"/>
      <c r="AD335" s="729"/>
      <c r="AE335" s="729"/>
    </row>
    <row r="336" spans="1:31">
      <c r="A336" s="729"/>
      <c r="B336" s="729"/>
      <c r="C336" s="729"/>
      <c r="D336" s="729"/>
      <c r="E336" s="729"/>
      <c r="F336" s="729"/>
      <c r="G336" s="729"/>
      <c r="H336" s="729"/>
      <c r="I336" s="729"/>
      <c r="J336" s="729"/>
      <c r="K336" s="729"/>
      <c r="L336" s="729"/>
      <c r="M336" s="729"/>
      <c r="N336" s="729"/>
      <c r="O336" s="729"/>
      <c r="P336" s="729"/>
      <c r="Q336" s="729"/>
      <c r="R336" s="729"/>
      <c r="S336" s="729"/>
      <c r="T336" s="729"/>
      <c r="U336" s="729"/>
      <c r="V336" s="729"/>
      <c r="W336" s="729"/>
      <c r="X336" s="729"/>
      <c r="Y336" s="729"/>
      <c r="Z336" s="729"/>
      <c r="AA336" s="729"/>
      <c r="AB336" s="729"/>
      <c r="AC336" s="729"/>
      <c r="AD336" s="729"/>
      <c r="AE336" s="729"/>
    </row>
    <row r="337" spans="1:31">
      <c r="A337" s="729"/>
      <c r="B337" s="729"/>
      <c r="C337" s="729"/>
      <c r="D337" s="729"/>
      <c r="E337" s="729"/>
      <c r="F337" s="729"/>
      <c r="G337" s="729"/>
      <c r="H337" s="729"/>
      <c r="I337" s="729"/>
      <c r="J337" s="729"/>
      <c r="K337" s="729"/>
      <c r="L337" s="729"/>
      <c r="M337" s="729"/>
      <c r="N337" s="729"/>
      <c r="O337" s="729"/>
      <c r="P337" s="729"/>
      <c r="Q337" s="729"/>
      <c r="R337" s="729"/>
      <c r="S337" s="729"/>
      <c r="T337" s="729"/>
      <c r="U337" s="729"/>
      <c r="V337" s="729"/>
      <c r="W337" s="729"/>
      <c r="X337" s="729"/>
      <c r="Y337" s="729"/>
      <c r="Z337" s="729"/>
      <c r="AA337" s="729"/>
      <c r="AB337" s="729"/>
      <c r="AC337" s="729"/>
      <c r="AD337" s="729"/>
      <c r="AE337" s="729"/>
    </row>
    <row r="338" spans="1:31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29"/>
      <c r="P338" s="729"/>
      <c r="Q338" s="729"/>
      <c r="R338" s="729"/>
      <c r="S338" s="729"/>
      <c r="T338" s="729"/>
      <c r="U338" s="729"/>
      <c r="V338" s="729"/>
      <c r="W338" s="729"/>
      <c r="X338" s="729"/>
      <c r="Y338" s="729"/>
      <c r="Z338" s="729"/>
      <c r="AA338" s="729"/>
      <c r="AB338" s="729"/>
      <c r="AC338" s="729"/>
      <c r="AD338" s="729"/>
      <c r="AE338" s="729"/>
    </row>
    <row r="339" spans="1:31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29"/>
      <c r="P339" s="729"/>
      <c r="Q339" s="729"/>
      <c r="R339" s="729"/>
      <c r="S339" s="729"/>
      <c r="T339" s="729"/>
      <c r="U339" s="729"/>
      <c r="V339" s="729"/>
      <c r="W339" s="729"/>
      <c r="X339" s="729"/>
      <c r="Y339" s="729"/>
      <c r="Z339" s="729"/>
      <c r="AA339" s="729"/>
      <c r="AB339" s="729"/>
      <c r="AC339" s="729"/>
      <c r="AD339" s="729"/>
      <c r="AE339" s="729"/>
    </row>
    <row r="340" spans="1:31">
      <c r="A340" s="729"/>
      <c r="B340" s="729"/>
      <c r="C340" s="729"/>
      <c r="D340" s="729"/>
      <c r="E340" s="729"/>
      <c r="F340" s="729"/>
      <c r="G340" s="729"/>
      <c r="H340" s="729"/>
      <c r="I340" s="729"/>
      <c r="J340" s="729"/>
      <c r="K340" s="729"/>
      <c r="L340" s="729"/>
      <c r="M340" s="729"/>
      <c r="N340" s="729"/>
      <c r="O340" s="729"/>
      <c r="P340" s="729"/>
      <c r="Q340" s="729"/>
      <c r="R340" s="729"/>
      <c r="S340" s="729"/>
      <c r="T340" s="729"/>
      <c r="U340" s="729"/>
      <c r="V340" s="729"/>
      <c r="W340" s="729"/>
      <c r="X340" s="729"/>
      <c r="Y340" s="729"/>
      <c r="Z340" s="729"/>
      <c r="AA340" s="729"/>
      <c r="AB340" s="729"/>
      <c r="AC340" s="729"/>
      <c r="AD340" s="729"/>
      <c r="AE340" s="729"/>
    </row>
    <row r="341" spans="1:31">
      <c r="A341" s="729"/>
      <c r="B341" s="729"/>
      <c r="C341" s="729"/>
      <c r="D341" s="729"/>
      <c r="E341" s="729"/>
      <c r="F341" s="729"/>
      <c r="G341" s="729"/>
      <c r="H341" s="729"/>
      <c r="I341" s="729"/>
      <c r="J341" s="729"/>
      <c r="K341" s="729"/>
      <c r="L341" s="729"/>
      <c r="M341" s="729"/>
      <c r="N341" s="729"/>
      <c r="O341" s="729"/>
      <c r="P341" s="729"/>
      <c r="Q341" s="729"/>
      <c r="R341" s="729"/>
      <c r="S341" s="729"/>
      <c r="T341" s="729"/>
      <c r="U341" s="729"/>
      <c r="V341" s="729"/>
      <c r="W341" s="729"/>
      <c r="X341" s="729"/>
      <c r="Y341" s="729"/>
      <c r="Z341" s="729"/>
      <c r="AA341" s="729"/>
      <c r="AB341" s="729"/>
      <c r="AC341" s="729"/>
      <c r="AD341" s="729"/>
      <c r="AE341" s="729"/>
    </row>
    <row r="342" spans="1:31">
      <c r="A342" s="729"/>
      <c r="B342" s="729"/>
      <c r="C342" s="729"/>
      <c r="D342" s="729"/>
      <c r="E342" s="729"/>
      <c r="F342" s="729"/>
      <c r="G342" s="729"/>
      <c r="H342" s="729"/>
      <c r="I342" s="729"/>
      <c r="J342" s="729"/>
      <c r="K342" s="729"/>
      <c r="L342" s="729"/>
      <c r="M342" s="729"/>
      <c r="N342" s="729"/>
      <c r="O342" s="729"/>
      <c r="P342" s="729"/>
      <c r="Q342" s="729"/>
      <c r="R342" s="729"/>
      <c r="S342" s="729"/>
      <c r="T342" s="729"/>
      <c r="U342" s="729"/>
      <c r="V342" s="729"/>
      <c r="W342" s="729"/>
      <c r="X342" s="729"/>
      <c r="Y342" s="729"/>
      <c r="Z342" s="729"/>
      <c r="AA342" s="729"/>
      <c r="AB342" s="729"/>
      <c r="AC342" s="729"/>
      <c r="AD342" s="729"/>
      <c r="AE342" s="729"/>
    </row>
    <row r="343" spans="1:31">
      <c r="A343" s="729"/>
      <c r="B343" s="729"/>
      <c r="C343" s="729"/>
      <c r="D343" s="729"/>
      <c r="E343" s="729"/>
      <c r="F343" s="729"/>
      <c r="G343" s="729"/>
      <c r="H343" s="729"/>
      <c r="I343" s="729"/>
      <c r="J343" s="729"/>
      <c r="K343" s="729"/>
      <c r="L343" s="729"/>
      <c r="M343" s="729"/>
      <c r="N343" s="729"/>
      <c r="O343" s="729"/>
      <c r="P343" s="729"/>
      <c r="Q343" s="729"/>
      <c r="R343" s="729"/>
      <c r="S343" s="729"/>
      <c r="T343" s="729"/>
      <c r="U343" s="729"/>
      <c r="V343" s="729"/>
      <c r="W343" s="729"/>
      <c r="X343" s="729"/>
      <c r="Y343" s="729"/>
      <c r="Z343" s="729"/>
      <c r="AA343" s="729"/>
      <c r="AB343" s="729"/>
      <c r="AC343" s="729"/>
      <c r="AD343" s="729"/>
      <c r="AE343" s="729"/>
    </row>
    <row r="344" spans="1:31">
      <c r="A344" s="729"/>
      <c r="B344" s="729"/>
      <c r="C344" s="729"/>
      <c r="D344" s="729"/>
      <c r="E344" s="729"/>
      <c r="F344" s="729"/>
      <c r="G344" s="729"/>
      <c r="H344" s="729"/>
      <c r="I344" s="729"/>
      <c r="J344" s="729"/>
      <c r="K344" s="729"/>
      <c r="L344" s="729"/>
      <c r="M344" s="729"/>
      <c r="N344" s="729"/>
      <c r="O344" s="729"/>
      <c r="P344" s="729"/>
      <c r="Q344" s="729"/>
      <c r="R344" s="729"/>
      <c r="S344" s="729"/>
      <c r="T344" s="729"/>
      <c r="U344" s="729"/>
      <c r="V344" s="729"/>
      <c r="W344" s="729"/>
      <c r="X344" s="729"/>
      <c r="Y344" s="729"/>
      <c r="Z344" s="729"/>
      <c r="AA344" s="729"/>
      <c r="AB344" s="729"/>
      <c r="AC344" s="729"/>
      <c r="AD344" s="729"/>
      <c r="AE344" s="729"/>
    </row>
    <row r="345" spans="1:31">
      <c r="A345" s="729"/>
      <c r="B345" s="729"/>
      <c r="C345" s="729"/>
      <c r="D345" s="729"/>
      <c r="E345" s="729"/>
      <c r="F345" s="729"/>
      <c r="G345" s="729"/>
      <c r="H345" s="729"/>
      <c r="I345" s="729"/>
      <c r="J345" s="729"/>
      <c r="K345" s="729"/>
      <c r="L345" s="729"/>
      <c r="M345" s="729"/>
      <c r="N345" s="729"/>
      <c r="O345" s="729"/>
      <c r="P345" s="729"/>
      <c r="Q345" s="729"/>
      <c r="R345" s="729"/>
      <c r="S345" s="729"/>
      <c r="T345" s="729"/>
      <c r="U345" s="729"/>
      <c r="V345" s="729"/>
      <c r="W345" s="729"/>
      <c r="X345" s="729"/>
      <c r="Y345" s="729"/>
      <c r="Z345" s="729"/>
      <c r="AA345" s="729"/>
      <c r="AB345" s="729"/>
      <c r="AC345" s="729"/>
      <c r="AD345" s="729"/>
      <c r="AE345" s="729"/>
    </row>
    <row r="346" spans="1:31">
      <c r="A346" s="729"/>
      <c r="B346" s="729"/>
      <c r="C346" s="729"/>
      <c r="D346" s="729"/>
      <c r="E346" s="729"/>
      <c r="F346" s="729"/>
      <c r="G346" s="729"/>
      <c r="H346" s="729"/>
      <c r="I346" s="729"/>
      <c r="J346" s="729"/>
      <c r="K346" s="729"/>
      <c r="L346" s="729"/>
      <c r="M346" s="729"/>
      <c r="N346" s="729"/>
      <c r="O346" s="729"/>
      <c r="P346" s="729"/>
      <c r="Q346" s="729"/>
      <c r="R346" s="729"/>
      <c r="S346" s="729"/>
      <c r="T346" s="729"/>
      <c r="U346" s="729"/>
      <c r="V346" s="729"/>
      <c r="W346" s="729"/>
      <c r="X346" s="729"/>
      <c r="Y346" s="729"/>
      <c r="Z346" s="729"/>
      <c r="AA346" s="729"/>
      <c r="AB346" s="729"/>
      <c r="AC346" s="729"/>
      <c r="AD346" s="729"/>
      <c r="AE346" s="729"/>
    </row>
    <row r="347" spans="1:31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29"/>
      <c r="P347" s="729"/>
      <c r="Q347" s="729"/>
      <c r="R347" s="729"/>
      <c r="S347" s="729"/>
      <c r="T347" s="729"/>
      <c r="U347" s="729"/>
      <c r="V347" s="729"/>
      <c r="W347" s="729"/>
      <c r="X347" s="729"/>
      <c r="Y347" s="729"/>
      <c r="Z347" s="729"/>
      <c r="AA347" s="729"/>
      <c r="AB347" s="729"/>
      <c r="AC347" s="729"/>
      <c r="AD347" s="729"/>
      <c r="AE347" s="729"/>
    </row>
    <row r="348" spans="1:31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29"/>
      <c r="P348" s="729"/>
      <c r="Q348" s="729"/>
      <c r="R348" s="729"/>
      <c r="S348" s="729"/>
      <c r="T348" s="729"/>
      <c r="U348" s="729"/>
      <c r="V348" s="729"/>
      <c r="W348" s="729"/>
      <c r="X348" s="729"/>
      <c r="Y348" s="729"/>
      <c r="Z348" s="729"/>
      <c r="AA348" s="729"/>
      <c r="AB348" s="729"/>
      <c r="AC348" s="729"/>
      <c r="AD348" s="729"/>
      <c r="AE348" s="729"/>
    </row>
    <row r="349" spans="1:31">
      <c r="A349" s="729"/>
      <c r="B349" s="729"/>
      <c r="C349" s="729"/>
      <c r="D349" s="729"/>
      <c r="E349" s="729"/>
      <c r="F349" s="729"/>
      <c r="G349" s="729"/>
      <c r="H349" s="729"/>
      <c r="I349" s="729"/>
      <c r="J349" s="729"/>
      <c r="K349" s="729"/>
      <c r="L349" s="729"/>
      <c r="M349" s="729"/>
      <c r="N349" s="729"/>
      <c r="O349" s="729"/>
      <c r="P349" s="729"/>
      <c r="Q349" s="729"/>
      <c r="R349" s="729"/>
      <c r="S349" s="729"/>
      <c r="T349" s="729"/>
      <c r="U349" s="729"/>
      <c r="V349" s="729"/>
      <c r="W349" s="729"/>
      <c r="X349" s="729"/>
      <c r="Y349" s="729"/>
      <c r="Z349" s="729"/>
      <c r="AA349" s="729"/>
      <c r="AB349" s="729"/>
      <c r="AC349" s="729"/>
      <c r="AD349" s="729"/>
      <c r="AE349" s="729"/>
    </row>
    <row r="350" spans="1:31">
      <c r="A350" s="729"/>
      <c r="B350" s="729"/>
      <c r="C350" s="729"/>
      <c r="D350" s="729"/>
      <c r="E350" s="729"/>
      <c r="F350" s="729"/>
      <c r="G350" s="729"/>
      <c r="H350" s="729"/>
      <c r="I350" s="729"/>
      <c r="J350" s="729"/>
      <c r="K350" s="729"/>
      <c r="L350" s="729"/>
      <c r="M350" s="729"/>
      <c r="N350" s="729"/>
      <c r="O350" s="729"/>
      <c r="P350" s="729"/>
      <c r="Q350" s="729"/>
      <c r="R350" s="729"/>
      <c r="S350" s="729"/>
      <c r="T350" s="729"/>
      <c r="U350" s="729"/>
      <c r="V350" s="729"/>
      <c r="W350" s="729"/>
      <c r="X350" s="729"/>
      <c r="Y350" s="729"/>
      <c r="Z350" s="729"/>
      <c r="AA350" s="729"/>
      <c r="AB350" s="729"/>
      <c r="AC350" s="729"/>
      <c r="AD350" s="729"/>
      <c r="AE350" s="729"/>
    </row>
    <row r="351" spans="1:31">
      <c r="A351" s="729"/>
      <c r="B351" s="729"/>
      <c r="C351" s="729"/>
      <c r="D351" s="729"/>
      <c r="E351" s="729"/>
      <c r="F351" s="729"/>
      <c r="G351" s="729"/>
      <c r="H351" s="729"/>
      <c r="I351" s="729"/>
      <c r="J351" s="729"/>
      <c r="K351" s="729"/>
      <c r="L351" s="729"/>
      <c r="M351" s="729"/>
      <c r="N351" s="729"/>
      <c r="O351" s="729"/>
      <c r="P351" s="729"/>
      <c r="Q351" s="729"/>
      <c r="R351" s="729"/>
      <c r="S351" s="729"/>
      <c r="T351" s="729"/>
      <c r="U351" s="729"/>
      <c r="V351" s="729"/>
      <c r="W351" s="729"/>
      <c r="X351" s="729"/>
      <c r="Y351" s="729"/>
      <c r="Z351" s="729"/>
      <c r="AA351" s="729"/>
      <c r="AB351" s="729"/>
      <c r="AC351" s="729"/>
      <c r="AD351" s="729"/>
      <c r="AE351" s="729"/>
    </row>
    <row r="352" spans="1:31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29"/>
      <c r="P352" s="729"/>
      <c r="Q352" s="729"/>
      <c r="R352" s="729"/>
      <c r="S352" s="729"/>
      <c r="T352" s="729"/>
      <c r="U352" s="729"/>
      <c r="V352" s="729"/>
      <c r="W352" s="729"/>
      <c r="X352" s="729"/>
      <c r="Y352" s="729"/>
      <c r="Z352" s="729"/>
      <c r="AA352" s="729"/>
      <c r="AB352" s="729"/>
      <c r="AC352" s="729"/>
      <c r="AD352" s="729"/>
      <c r="AE352" s="729"/>
    </row>
    <row r="353" spans="1:31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29"/>
      <c r="P353" s="729"/>
      <c r="Q353" s="729"/>
      <c r="R353" s="729"/>
      <c r="S353" s="729"/>
      <c r="T353" s="729"/>
      <c r="U353" s="729"/>
      <c r="V353" s="729"/>
      <c r="W353" s="729"/>
      <c r="X353" s="729"/>
      <c r="Y353" s="729"/>
      <c r="Z353" s="729"/>
      <c r="AA353" s="729"/>
      <c r="AB353" s="729"/>
      <c r="AC353" s="729"/>
      <c r="AD353" s="729"/>
      <c r="AE353" s="729"/>
    </row>
    <row r="354" spans="1:31">
      <c r="A354" s="729"/>
      <c r="B354" s="729"/>
      <c r="C354" s="729"/>
      <c r="D354" s="729"/>
      <c r="E354" s="729"/>
      <c r="F354" s="729"/>
      <c r="G354" s="729"/>
      <c r="H354" s="729"/>
      <c r="I354" s="729"/>
      <c r="J354" s="729"/>
      <c r="K354" s="729"/>
      <c r="L354" s="729"/>
      <c r="M354" s="729"/>
      <c r="N354" s="729"/>
      <c r="O354" s="729"/>
      <c r="P354" s="729"/>
      <c r="Q354" s="729"/>
      <c r="R354" s="729"/>
      <c r="S354" s="729"/>
      <c r="T354" s="729"/>
      <c r="U354" s="729"/>
      <c r="V354" s="729"/>
      <c r="W354" s="729"/>
      <c r="X354" s="729"/>
      <c r="Y354" s="729"/>
      <c r="Z354" s="729"/>
      <c r="AA354" s="729"/>
      <c r="AB354" s="729"/>
      <c r="AC354" s="729"/>
      <c r="AD354" s="729"/>
      <c r="AE354" s="729"/>
    </row>
    <row r="355" spans="1:31">
      <c r="A355" s="729"/>
      <c r="B355" s="729"/>
      <c r="C355" s="729"/>
      <c r="D355" s="729"/>
      <c r="E355" s="729"/>
      <c r="F355" s="729"/>
      <c r="G355" s="729"/>
      <c r="H355" s="729"/>
      <c r="I355" s="729"/>
      <c r="J355" s="729"/>
      <c r="K355" s="729"/>
      <c r="L355" s="729"/>
      <c r="M355" s="729"/>
      <c r="N355" s="729"/>
      <c r="O355" s="729"/>
      <c r="P355" s="729"/>
      <c r="Q355" s="729"/>
      <c r="R355" s="729"/>
      <c r="S355" s="729"/>
      <c r="T355" s="729"/>
      <c r="U355" s="729"/>
      <c r="V355" s="729"/>
      <c r="W355" s="729"/>
      <c r="X355" s="729"/>
      <c r="Y355" s="729"/>
      <c r="Z355" s="729"/>
      <c r="AA355" s="729"/>
      <c r="AB355" s="729"/>
      <c r="AC355" s="729"/>
      <c r="AD355" s="729"/>
      <c r="AE355" s="729"/>
    </row>
    <row r="356" spans="1:31">
      <c r="A356" s="729"/>
      <c r="B356" s="729"/>
      <c r="C356" s="729"/>
      <c r="D356" s="729"/>
      <c r="E356" s="729"/>
      <c r="F356" s="729"/>
      <c r="G356" s="729"/>
      <c r="H356" s="729"/>
      <c r="I356" s="729"/>
      <c r="J356" s="729"/>
      <c r="K356" s="729"/>
      <c r="L356" s="729"/>
      <c r="M356" s="729"/>
      <c r="N356" s="729"/>
      <c r="O356" s="729"/>
      <c r="P356" s="729"/>
      <c r="Q356" s="729"/>
      <c r="R356" s="729"/>
      <c r="S356" s="729"/>
      <c r="T356" s="729"/>
      <c r="U356" s="729"/>
      <c r="V356" s="729"/>
      <c r="W356" s="729"/>
      <c r="X356" s="729"/>
      <c r="Y356" s="729"/>
      <c r="Z356" s="729"/>
      <c r="AA356" s="729"/>
      <c r="AB356" s="729"/>
      <c r="AC356" s="729"/>
      <c r="AD356" s="729"/>
      <c r="AE356" s="729"/>
    </row>
    <row r="357" spans="1:31">
      <c r="A357" s="729"/>
      <c r="B357" s="729"/>
      <c r="C357" s="729"/>
      <c r="D357" s="729"/>
      <c r="E357" s="729"/>
      <c r="F357" s="729"/>
      <c r="G357" s="729"/>
      <c r="H357" s="729"/>
      <c r="I357" s="729"/>
      <c r="J357" s="729"/>
      <c r="K357" s="729"/>
      <c r="L357" s="729"/>
      <c r="M357" s="729"/>
      <c r="N357" s="729"/>
      <c r="O357" s="729"/>
      <c r="P357" s="729"/>
      <c r="Q357" s="729"/>
      <c r="R357" s="729"/>
      <c r="S357" s="729"/>
      <c r="T357" s="729"/>
      <c r="U357" s="729"/>
      <c r="V357" s="729"/>
      <c r="W357" s="729"/>
      <c r="X357" s="729"/>
      <c r="Y357" s="729"/>
      <c r="Z357" s="729"/>
      <c r="AA357" s="729"/>
      <c r="AB357" s="729"/>
      <c r="AC357" s="729"/>
      <c r="AD357" s="729"/>
      <c r="AE357" s="729"/>
    </row>
    <row r="358" spans="1:31">
      <c r="A358" s="729"/>
      <c r="B358" s="729"/>
      <c r="C358" s="729"/>
      <c r="D358" s="729"/>
      <c r="E358" s="729"/>
      <c r="F358" s="729"/>
      <c r="G358" s="729"/>
      <c r="H358" s="729"/>
      <c r="I358" s="729"/>
      <c r="J358" s="729"/>
      <c r="K358" s="729"/>
      <c r="L358" s="729"/>
      <c r="M358" s="729"/>
      <c r="N358" s="729"/>
      <c r="O358" s="729"/>
      <c r="P358" s="729"/>
      <c r="Q358" s="729"/>
      <c r="R358" s="729"/>
      <c r="S358" s="729"/>
      <c r="T358" s="729"/>
      <c r="U358" s="729"/>
      <c r="V358" s="729"/>
      <c r="W358" s="729"/>
      <c r="X358" s="729"/>
      <c r="Y358" s="729"/>
      <c r="Z358" s="729"/>
      <c r="AA358" s="729"/>
      <c r="AB358" s="729"/>
      <c r="AC358" s="729"/>
      <c r="AD358" s="729"/>
      <c r="AE358" s="729"/>
    </row>
    <row r="359" spans="1:31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29"/>
      <c r="P359" s="729"/>
      <c r="Q359" s="729"/>
      <c r="R359" s="729"/>
      <c r="S359" s="729"/>
      <c r="T359" s="729"/>
      <c r="U359" s="729"/>
      <c r="V359" s="729"/>
      <c r="W359" s="729"/>
      <c r="X359" s="729"/>
      <c r="Y359" s="729"/>
      <c r="Z359" s="729"/>
      <c r="AA359" s="729"/>
      <c r="AB359" s="729"/>
      <c r="AC359" s="729"/>
      <c r="AD359" s="729"/>
      <c r="AE359" s="729"/>
    </row>
    <row r="360" spans="1:31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29"/>
      <c r="P360" s="729"/>
      <c r="Q360" s="729"/>
      <c r="R360" s="729"/>
      <c r="S360" s="729"/>
      <c r="T360" s="729"/>
      <c r="U360" s="729"/>
      <c r="V360" s="729"/>
      <c r="W360" s="729"/>
      <c r="X360" s="729"/>
      <c r="Y360" s="729"/>
      <c r="Z360" s="729"/>
      <c r="AA360" s="729"/>
      <c r="AB360" s="729"/>
      <c r="AC360" s="729"/>
      <c r="AD360" s="729"/>
      <c r="AE360" s="729"/>
    </row>
    <row r="361" spans="1:31">
      <c r="A361" s="729"/>
      <c r="B361" s="729"/>
      <c r="C361" s="729"/>
      <c r="D361" s="729"/>
      <c r="E361" s="729"/>
      <c r="F361" s="729"/>
      <c r="G361" s="729"/>
      <c r="H361" s="729"/>
      <c r="I361" s="729"/>
      <c r="J361" s="729"/>
      <c r="K361" s="729"/>
      <c r="L361" s="729"/>
      <c r="M361" s="729"/>
      <c r="N361" s="729"/>
      <c r="O361" s="729"/>
      <c r="P361" s="729"/>
      <c r="Q361" s="729"/>
      <c r="R361" s="729"/>
      <c r="S361" s="729"/>
      <c r="T361" s="729"/>
      <c r="U361" s="729"/>
      <c r="V361" s="729"/>
      <c r="W361" s="729"/>
      <c r="X361" s="729"/>
      <c r="Y361" s="729"/>
      <c r="Z361" s="729"/>
      <c r="AA361" s="729"/>
      <c r="AB361" s="729"/>
      <c r="AC361" s="729"/>
      <c r="AD361" s="729"/>
      <c r="AE361" s="729"/>
    </row>
    <row r="362" spans="1:31">
      <c r="A362" s="729"/>
      <c r="B362" s="729"/>
      <c r="C362" s="729"/>
      <c r="D362" s="729"/>
      <c r="E362" s="729"/>
      <c r="F362" s="729"/>
      <c r="G362" s="729"/>
      <c r="H362" s="729"/>
      <c r="I362" s="729"/>
      <c r="J362" s="729"/>
      <c r="K362" s="729"/>
      <c r="L362" s="729"/>
      <c r="M362" s="729"/>
      <c r="N362" s="729"/>
      <c r="O362" s="729"/>
      <c r="P362" s="729"/>
      <c r="Q362" s="729"/>
      <c r="R362" s="729"/>
      <c r="S362" s="729"/>
      <c r="T362" s="729"/>
      <c r="U362" s="729"/>
      <c r="V362" s="729"/>
      <c r="W362" s="729"/>
      <c r="X362" s="729"/>
      <c r="Y362" s="729"/>
      <c r="Z362" s="729"/>
      <c r="AA362" s="729"/>
      <c r="AB362" s="729"/>
      <c r="AC362" s="729"/>
      <c r="AD362" s="729"/>
      <c r="AE362" s="729"/>
    </row>
    <row r="363" spans="1:31">
      <c r="A363" s="729"/>
      <c r="B363" s="729"/>
      <c r="C363" s="729"/>
      <c r="D363" s="729"/>
      <c r="E363" s="729"/>
      <c r="F363" s="729"/>
      <c r="G363" s="729"/>
      <c r="H363" s="729"/>
      <c r="I363" s="729"/>
      <c r="J363" s="729"/>
      <c r="K363" s="729"/>
      <c r="L363" s="729"/>
      <c r="M363" s="729"/>
      <c r="N363" s="729"/>
      <c r="O363" s="729"/>
      <c r="P363" s="729"/>
      <c r="Q363" s="729"/>
      <c r="R363" s="729"/>
      <c r="S363" s="729"/>
      <c r="T363" s="729"/>
      <c r="U363" s="729"/>
      <c r="V363" s="729"/>
      <c r="W363" s="729"/>
      <c r="X363" s="729"/>
      <c r="Y363" s="729"/>
      <c r="Z363" s="729"/>
      <c r="AA363" s="729"/>
      <c r="AB363" s="729"/>
      <c r="AC363" s="729"/>
      <c r="AD363" s="729"/>
      <c r="AE363" s="729"/>
    </row>
    <row r="364" spans="1:31">
      <c r="A364" s="729"/>
      <c r="B364" s="729"/>
      <c r="C364" s="729"/>
      <c r="D364" s="729"/>
      <c r="E364" s="729"/>
      <c r="F364" s="729"/>
      <c r="G364" s="729"/>
      <c r="H364" s="729"/>
      <c r="I364" s="729"/>
      <c r="J364" s="729"/>
      <c r="K364" s="729"/>
      <c r="L364" s="729"/>
      <c r="M364" s="729"/>
      <c r="N364" s="729"/>
      <c r="O364" s="729"/>
      <c r="P364" s="729"/>
      <c r="Q364" s="729"/>
      <c r="R364" s="729"/>
      <c r="S364" s="729"/>
      <c r="T364" s="729"/>
      <c r="U364" s="729"/>
      <c r="V364" s="729"/>
      <c r="W364" s="729"/>
      <c r="X364" s="729"/>
      <c r="Y364" s="729"/>
      <c r="Z364" s="729"/>
      <c r="AA364" s="729"/>
      <c r="AB364" s="729"/>
      <c r="AC364" s="729"/>
      <c r="AD364" s="729"/>
      <c r="AE364" s="729"/>
    </row>
    <row r="365" spans="1:31">
      <c r="A365" s="729"/>
      <c r="B365" s="729"/>
      <c r="C365" s="729"/>
      <c r="D365" s="729"/>
      <c r="E365" s="729"/>
      <c r="F365" s="729"/>
      <c r="G365" s="729"/>
      <c r="H365" s="729"/>
      <c r="I365" s="729"/>
      <c r="J365" s="729"/>
      <c r="K365" s="729"/>
      <c r="L365" s="729"/>
      <c r="M365" s="729"/>
      <c r="N365" s="729"/>
      <c r="O365" s="729"/>
      <c r="P365" s="729"/>
      <c r="Q365" s="729"/>
      <c r="R365" s="729"/>
      <c r="S365" s="729"/>
      <c r="T365" s="729"/>
      <c r="U365" s="729"/>
      <c r="V365" s="729"/>
      <c r="W365" s="729"/>
      <c r="X365" s="729"/>
      <c r="Y365" s="729"/>
      <c r="Z365" s="729"/>
      <c r="AA365" s="729"/>
      <c r="AB365" s="729"/>
      <c r="AC365" s="729"/>
      <c r="AD365" s="729"/>
      <c r="AE365" s="729"/>
    </row>
    <row r="366" spans="1:31">
      <c r="A366" s="729"/>
      <c r="B366" s="729"/>
      <c r="C366" s="729"/>
      <c r="D366" s="729"/>
      <c r="E366" s="729"/>
      <c r="F366" s="729"/>
      <c r="G366" s="729"/>
      <c r="H366" s="729"/>
      <c r="I366" s="729"/>
      <c r="J366" s="729"/>
      <c r="K366" s="729"/>
      <c r="L366" s="729"/>
      <c r="M366" s="729"/>
      <c r="N366" s="729"/>
      <c r="O366" s="729"/>
      <c r="P366" s="729"/>
      <c r="Q366" s="729"/>
      <c r="R366" s="729"/>
      <c r="S366" s="729"/>
      <c r="T366" s="729"/>
      <c r="U366" s="729"/>
      <c r="V366" s="729"/>
      <c r="W366" s="729"/>
      <c r="X366" s="729"/>
      <c r="Y366" s="729"/>
      <c r="Z366" s="729"/>
      <c r="AA366" s="729"/>
      <c r="AB366" s="729"/>
      <c r="AC366" s="729"/>
      <c r="AD366" s="729"/>
      <c r="AE366" s="729"/>
    </row>
    <row r="367" spans="1:31">
      <c r="A367" s="729"/>
      <c r="B367" s="729"/>
      <c r="C367" s="729"/>
      <c r="D367" s="729"/>
      <c r="E367" s="729"/>
      <c r="F367" s="729"/>
      <c r="G367" s="729"/>
      <c r="H367" s="729"/>
      <c r="I367" s="729"/>
      <c r="J367" s="729"/>
      <c r="K367" s="729"/>
      <c r="L367" s="729"/>
      <c r="M367" s="729"/>
      <c r="N367" s="729"/>
      <c r="O367" s="729"/>
      <c r="P367" s="729"/>
      <c r="Q367" s="729"/>
      <c r="R367" s="729"/>
      <c r="S367" s="729"/>
      <c r="T367" s="729"/>
      <c r="U367" s="729"/>
      <c r="V367" s="729"/>
      <c r="W367" s="729"/>
      <c r="X367" s="729"/>
      <c r="Y367" s="729"/>
      <c r="Z367" s="729"/>
      <c r="AA367" s="729"/>
      <c r="AB367" s="729"/>
      <c r="AC367" s="729"/>
      <c r="AD367" s="729"/>
      <c r="AE367" s="729"/>
    </row>
    <row r="368" spans="1:31">
      <c r="A368" s="729"/>
      <c r="B368" s="729"/>
      <c r="C368" s="729"/>
      <c r="D368" s="729"/>
      <c r="E368" s="729"/>
      <c r="F368" s="729"/>
      <c r="G368" s="729"/>
      <c r="H368" s="729"/>
      <c r="I368" s="729"/>
      <c r="J368" s="729"/>
      <c r="K368" s="729"/>
      <c r="L368" s="729"/>
      <c r="M368" s="729"/>
      <c r="N368" s="729"/>
      <c r="O368" s="729"/>
      <c r="P368" s="729"/>
      <c r="Q368" s="729"/>
      <c r="R368" s="729"/>
      <c r="S368" s="729"/>
      <c r="T368" s="729"/>
      <c r="U368" s="729"/>
      <c r="V368" s="729"/>
      <c r="W368" s="729"/>
      <c r="X368" s="729"/>
      <c r="Y368" s="729"/>
      <c r="Z368" s="729"/>
      <c r="AA368" s="729"/>
      <c r="AB368" s="729"/>
      <c r="AC368" s="729"/>
      <c r="AD368" s="729"/>
      <c r="AE368" s="729"/>
    </row>
    <row r="369" spans="1:31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29"/>
      <c r="P369" s="729"/>
      <c r="Q369" s="729"/>
      <c r="R369" s="729"/>
      <c r="S369" s="729"/>
      <c r="T369" s="729"/>
      <c r="U369" s="729"/>
      <c r="V369" s="729"/>
      <c r="W369" s="729"/>
      <c r="X369" s="729"/>
      <c r="Y369" s="729"/>
      <c r="Z369" s="729"/>
      <c r="AA369" s="729"/>
      <c r="AB369" s="729"/>
      <c r="AC369" s="729"/>
      <c r="AD369" s="729"/>
      <c r="AE369" s="729"/>
    </row>
    <row r="370" spans="1:31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29"/>
      <c r="P370" s="729"/>
      <c r="Q370" s="729"/>
      <c r="R370" s="729"/>
      <c r="S370" s="729"/>
      <c r="T370" s="729"/>
      <c r="U370" s="729"/>
      <c r="V370" s="729"/>
      <c r="W370" s="729"/>
      <c r="X370" s="729"/>
      <c r="Y370" s="729"/>
      <c r="Z370" s="729"/>
      <c r="AA370" s="729"/>
      <c r="AB370" s="729"/>
      <c r="AC370" s="729"/>
      <c r="AD370" s="729"/>
      <c r="AE370" s="729"/>
    </row>
    <row r="371" spans="1:31">
      <c r="A371" s="729"/>
      <c r="B371" s="729"/>
      <c r="C371" s="729"/>
      <c r="D371" s="729"/>
      <c r="E371" s="729"/>
      <c r="F371" s="729"/>
      <c r="G371" s="729"/>
      <c r="H371" s="729"/>
      <c r="I371" s="729"/>
      <c r="J371" s="729"/>
      <c r="K371" s="729"/>
      <c r="L371" s="729"/>
      <c r="M371" s="729"/>
      <c r="N371" s="729"/>
      <c r="O371" s="729"/>
      <c r="P371" s="729"/>
      <c r="Q371" s="729"/>
      <c r="R371" s="729"/>
      <c r="S371" s="729"/>
      <c r="T371" s="729"/>
      <c r="U371" s="729"/>
      <c r="V371" s="729"/>
      <c r="W371" s="729"/>
      <c r="X371" s="729"/>
      <c r="Y371" s="729"/>
      <c r="Z371" s="729"/>
      <c r="AA371" s="729"/>
      <c r="AB371" s="729"/>
      <c r="AC371" s="729"/>
      <c r="AD371" s="729"/>
      <c r="AE371" s="729"/>
    </row>
    <row r="372" spans="1:31">
      <c r="A372" s="729"/>
      <c r="B372" s="729"/>
      <c r="C372" s="729"/>
      <c r="D372" s="729"/>
      <c r="E372" s="729"/>
      <c r="F372" s="729"/>
      <c r="G372" s="729"/>
      <c r="H372" s="729"/>
      <c r="I372" s="729"/>
      <c r="J372" s="729"/>
      <c r="K372" s="729"/>
      <c r="L372" s="729"/>
      <c r="M372" s="729"/>
      <c r="N372" s="729"/>
      <c r="O372" s="729"/>
      <c r="P372" s="729"/>
      <c r="Q372" s="729"/>
      <c r="R372" s="729"/>
      <c r="S372" s="729"/>
      <c r="T372" s="729"/>
      <c r="U372" s="729"/>
      <c r="V372" s="729"/>
      <c r="W372" s="729"/>
      <c r="X372" s="729"/>
      <c r="Y372" s="729"/>
      <c r="Z372" s="729"/>
      <c r="AA372" s="729"/>
      <c r="AB372" s="729"/>
      <c r="AC372" s="729"/>
      <c r="AD372" s="729"/>
      <c r="AE372" s="729"/>
    </row>
    <row r="373" spans="1:31">
      <c r="A373" s="729"/>
      <c r="B373" s="729"/>
      <c r="C373" s="729"/>
      <c r="D373" s="729"/>
      <c r="E373" s="729"/>
      <c r="F373" s="729"/>
      <c r="G373" s="729"/>
      <c r="H373" s="729"/>
      <c r="I373" s="729"/>
      <c r="J373" s="729"/>
      <c r="K373" s="729"/>
      <c r="L373" s="729"/>
      <c r="M373" s="729"/>
      <c r="N373" s="729"/>
      <c r="O373" s="729"/>
      <c r="P373" s="729"/>
      <c r="Q373" s="729"/>
      <c r="R373" s="729"/>
      <c r="S373" s="729"/>
      <c r="T373" s="729"/>
      <c r="U373" s="729"/>
      <c r="V373" s="729"/>
      <c r="W373" s="729"/>
      <c r="X373" s="729"/>
      <c r="Y373" s="729"/>
      <c r="Z373" s="729"/>
      <c r="AA373" s="729"/>
      <c r="AB373" s="729"/>
      <c r="AC373" s="729"/>
      <c r="AD373" s="729"/>
      <c r="AE373" s="729"/>
    </row>
    <row r="374" spans="1:31">
      <c r="A374" s="729"/>
      <c r="B374" s="729"/>
      <c r="C374" s="729"/>
      <c r="D374" s="729"/>
      <c r="E374" s="729"/>
      <c r="F374" s="729"/>
      <c r="G374" s="729"/>
      <c r="H374" s="729"/>
      <c r="I374" s="729"/>
      <c r="J374" s="729"/>
      <c r="K374" s="729"/>
      <c r="L374" s="729"/>
      <c r="M374" s="729"/>
      <c r="N374" s="729"/>
      <c r="O374" s="729"/>
      <c r="P374" s="729"/>
      <c r="Q374" s="729"/>
      <c r="R374" s="729"/>
      <c r="S374" s="729"/>
      <c r="T374" s="729"/>
      <c r="U374" s="729"/>
      <c r="V374" s="729"/>
      <c r="W374" s="729"/>
      <c r="X374" s="729"/>
      <c r="Y374" s="729"/>
      <c r="Z374" s="729"/>
      <c r="AA374" s="729"/>
      <c r="AB374" s="729"/>
      <c r="AC374" s="729"/>
      <c r="AD374" s="729"/>
      <c r="AE374" s="729"/>
    </row>
  </sheetData>
  <mergeCells count="5">
    <mergeCell ref="B1:P1"/>
    <mergeCell ref="B7:P7"/>
    <mergeCell ref="B92:P92"/>
    <mergeCell ref="B145:P145"/>
    <mergeCell ref="B232:P23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C492-D1CC-4151-9909-1FC2AF3FFEFC}">
  <sheetPr>
    <tabColor rgb="FF548235"/>
  </sheetPr>
  <dimension ref="A1:AE270"/>
  <sheetViews>
    <sheetView showGridLines="0" topLeftCell="A137" workbookViewId="0">
      <pane xSplit="2" topLeftCell="G1" activePane="topRight" state="frozen"/>
      <selection activeCell="A83" sqref="A83"/>
      <selection pane="topRight" activeCell="G83" sqref="G83"/>
    </sheetView>
    <sheetView topLeftCell="A25" workbookViewId="1"/>
  </sheetViews>
  <sheetFormatPr defaultRowHeight="14.4"/>
  <cols>
    <col min="2" max="2" width="63" customWidth="1"/>
    <col min="3" max="16" width="17" customWidth="1"/>
    <col min="17" max="18" width="10.109375" customWidth="1"/>
    <col min="19" max="703" width="13" customWidth="1"/>
  </cols>
  <sheetData>
    <row r="1" spans="1:31">
      <c r="A1" s="729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</row>
    <row r="2" spans="1:31">
      <c r="A2" s="729"/>
      <c r="B2" s="861" t="s">
        <v>1194</v>
      </c>
      <c r="C2" s="674"/>
      <c r="D2" s="674"/>
      <c r="E2" s="674"/>
      <c r="F2" s="674"/>
      <c r="G2" s="674"/>
      <c r="H2" s="674"/>
      <c r="I2" s="674"/>
      <c r="J2" s="674"/>
      <c r="K2" s="674"/>
      <c r="L2" s="862" t="s">
        <v>269</v>
      </c>
      <c r="M2" s="863">
        <v>3690</v>
      </c>
      <c r="N2" s="674"/>
      <c r="O2" s="674"/>
      <c r="P2" s="674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</row>
    <row r="3" spans="1:31">
      <c r="A3" s="729"/>
      <c r="B3" s="781" t="s">
        <v>270</v>
      </c>
      <c r="C3" s="674"/>
      <c r="D3" s="674"/>
      <c r="E3" s="674"/>
      <c r="F3" s="674"/>
      <c r="G3" s="674"/>
      <c r="H3" s="674"/>
      <c r="I3" s="674"/>
      <c r="J3" s="674"/>
      <c r="K3" s="674"/>
      <c r="L3" s="862" t="s">
        <v>271</v>
      </c>
      <c r="M3" s="863">
        <v>4000</v>
      </c>
      <c r="N3" s="674"/>
      <c r="O3" s="674"/>
      <c r="P3" s="674"/>
      <c r="Q3" s="729"/>
      <c r="R3" s="729"/>
      <c r="S3" s="729"/>
      <c r="T3" s="729"/>
      <c r="U3" s="729"/>
      <c r="V3" s="729"/>
      <c r="W3" s="729"/>
      <c r="X3" s="729"/>
      <c r="Y3" s="729"/>
      <c r="Z3" s="729"/>
      <c r="AA3" s="729"/>
      <c r="AB3" s="729"/>
      <c r="AC3" s="729"/>
      <c r="AD3" s="729"/>
      <c r="AE3" s="729"/>
    </row>
    <row r="4" spans="1:31">
      <c r="A4" s="729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729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</row>
    <row r="5" spans="1:31" ht="15" thickBot="1">
      <c r="A5" s="729"/>
      <c r="B5" s="260" t="s">
        <v>1195</v>
      </c>
      <c r="C5" s="260"/>
      <c r="D5" s="260"/>
      <c r="E5" s="260"/>
      <c r="F5" s="260"/>
      <c r="G5" s="864"/>
      <c r="H5" s="864"/>
      <c r="I5" s="864"/>
      <c r="J5" s="864"/>
      <c r="K5" s="864"/>
      <c r="L5" s="261" t="s">
        <v>272</v>
      </c>
      <c r="M5" s="864"/>
      <c r="N5" s="864"/>
      <c r="O5" s="864"/>
      <c r="P5" s="674"/>
      <c r="Q5" s="729"/>
      <c r="R5" s="729"/>
      <c r="S5" s="729"/>
      <c r="T5" s="729"/>
      <c r="U5" s="729"/>
      <c r="V5" s="729"/>
      <c r="W5" s="729"/>
      <c r="X5" s="729"/>
      <c r="Y5" s="729"/>
      <c r="Z5" s="729"/>
      <c r="AA5" s="729"/>
      <c r="AB5" s="729"/>
      <c r="AC5" s="729"/>
      <c r="AD5" s="729"/>
      <c r="AE5" s="729"/>
    </row>
    <row r="6" spans="1:31">
      <c r="A6" s="729"/>
      <c r="B6" s="674"/>
      <c r="C6" s="674"/>
      <c r="D6" s="674"/>
      <c r="E6" s="674"/>
      <c r="F6" s="674"/>
      <c r="G6" s="674"/>
      <c r="H6" s="674"/>
      <c r="I6" s="674"/>
      <c r="J6" s="674"/>
      <c r="K6" s="674"/>
      <c r="L6" s="674"/>
      <c r="M6" s="674"/>
      <c r="N6" s="674"/>
      <c r="O6" s="674"/>
      <c r="P6" s="674"/>
      <c r="Q6" s="729"/>
      <c r="R6" s="729"/>
      <c r="S6" s="729"/>
      <c r="T6" s="729"/>
      <c r="U6" s="729"/>
      <c r="V6" s="729"/>
      <c r="W6" s="729"/>
      <c r="X6" s="729"/>
      <c r="Y6" s="729"/>
      <c r="Z6" s="729"/>
      <c r="AA6" s="729"/>
      <c r="AB6" s="729"/>
      <c r="AC6" s="729"/>
      <c r="AD6" s="729"/>
      <c r="AE6" s="729"/>
    </row>
    <row r="7" spans="1:31" ht="30" customHeight="1">
      <c r="A7" s="729"/>
      <c r="B7" s="467"/>
      <c r="C7" s="461" t="s">
        <v>1196</v>
      </c>
      <c r="D7" s="461" t="s">
        <v>273</v>
      </c>
      <c r="E7" s="461" t="s">
        <v>274</v>
      </c>
      <c r="F7" s="461" t="s">
        <v>275</v>
      </c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729"/>
      <c r="R7" s="729"/>
      <c r="S7" s="729"/>
      <c r="T7" s="729"/>
      <c r="U7" s="729"/>
      <c r="V7" s="729"/>
      <c r="W7" s="729"/>
      <c r="X7" s="729"/>
      <c r="Y7" s="729"/>
      <c r="Z7" s="729"/>
      <c r="AA7" s="729"/>
      <c r="AB7" s="729"/>
      <c r="AC7" s="729"/>
      <c r="AD7" s="729"/>
      <c r="AE7" s="729"/>
    </row>
    <row r="8" spans="1:31">
      <c r="A8" s="729"/>
      <c r="B8" s="865" t="s">
        <v>276</v>
      </c>
      <c r="C8" s="746">
        <f>SUM(C65:I65)</f>
        <v>2462707</v>
      </c>
      <c r="D8" s="745">
        <f>SUM('Modelo Base'!F51:L51)/$M$2</f>
        <v>1396269.1867208672</v>
      </c>
      <c r="E8" s="746">
        <f t="shared" ref="E8:E13" si="0">D8-C8</f>
        <v>-1066437.8132791328</v>
      </c>
      <c r="F8" s="866">
        <f>IF(C8=0,0,D8/C8)</f>
        <v>0.56696520809047413</v>
      </c>
      <c r="G8" s="674"/>
      <c r="H8" s="674"/>
      <c r="I8" s="674"/>
      <c r="J8" s="674"/>
      <c r="K8" s="674"/>
      <c r="L8" s="674"/>
      <c r="M8" s="674"/>
      <c r="N8" s="674"/>
      <c r="O8" s="674"/>
      <c r="P8" s="674"/>
      <c r="Q8" s="729"/>
      <c r="R8" s="729"/>
      <c r="S8" s="729"/>
      <c r="T8" s="729"/>
      <c r="U8" s="729"/>
      <c r="V8" s="729"/>
      <c r="W8" s="729"/>
      <c r="X8" s="729"/>
      <c r="Y8" s="729"/>
      <c r="Z8" s="729"/>
      <c r="AA8" s="729"/>
      <c r="AB8" s="729"/>
      <c r="AC8" s="729"/>
      <c r="AD8" s="729"/>
      <c r="AE8" s="729"/>
    </row>
    <row r="9" spans="1:31">
      <c r="A9" s="729"/>
      <c r="B9" s="865" t="s">
        <v>277</v>
      </c>
      <c r="C9" s="746">
        <f>SUM(C65:I65)-SUM(C66:I66)</f>
        <v>1683173</v>
      </c>
      <c r="D9" s="745">
        <f>SUM('Modelo Base'!F53:L53)/$M$2</f>
        <v>734311.64010840107</v>
      </c>
      <c r="E9" s="746">
        <f t="shared" si="0"/>
        <v>-948861.35989159893</v>
      </c>
      <c r="F9" s="866">
        <f>IF(C9=0,0,D9/C9)</f>
        <v>0.43626628998231382</v>
      </c>
      <c r="G9" s="674"/>
      <c r="H9" s="674"/>
      <c r="I9" s="674"/>
      <c r="J9" s="674"/>
      <c r="K9" s="674"/>
      <c r="L9" s="674"/>
      <c r="M9" s="674"/>
      <c r="N9" s="674"/>
      <c r="O9" s="674"/>
      <c r="P9" s="674"/>
      <c r="Q9" s="729"/>
      <c r="R9" s="729"/>
      <c r="S9" s="729"/>
      <c r="T9" s="729"/>
      <c r="U9" s="729"/>
      <c r="V9" s="729"/>
      <c r="W9" s="729"/>
      <c r="X9" s="729"/>
      <c r="Y9" s="729"/>
      <c r="Z9" s="729"/>
      <c r="AA9" s="729"/>
      <c r="AB9" s="729"/>
      <c r="AC9" s="729"/>
      <c r="AD9" s="729"/>
      <c r="AE9" s="729"/>
    </row>
    <row r="10" spans="1:31">
      <c r="A10" s="729"/>
      <c r="B10" s="865" t="s">
        <v>278</v>
      </c>
      <c r="C10" s="867">
        <f>C9-SUM(C68:I68)-SUM(C69:I69)</f>
        <v>1070288</v>
      </c>
      <c r="D10" s="868">
        <f>SUM('Modelo Base'!F59:L59)/$M$2</f>
        <v>74806.553929539295</v>
      </c>
      <c r="E10" s="867">
        <f t="shared" si="0"/>
        <v>-995481.44607046072</v>
      </c>
      <c r="F10" s="866">
        <f>IF(C10=0,0,D10/ABS(C10))</f>
        <v>6.989385467233053E-2</v>
      </c>
      <c r="G10" s="674"/>
      <c r="H10" s="674"/>
      <c r="I10" s="674"/>
      <c r="J10" s="674"/>
      <c r="K10" s="674"/>
      <c r="L10" s="674"/>
      <c r="M10" s="674"/>
      <c r="N10" s="674"/>
      <c r="O10" s="674"/>
      <c r="P10" s="674"/>
      <c r="Q10" s="729"/>
      <c r="R10" s="729"/>
      <c r="S10" s="729"/>
      <c r="T10" s="729"/>
      <c r="U10" s="729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</row>
    <row r="11" spans="1:31">
      <c r="A11" s="729"/>
      <c r="B11" s="263" t="s">
        <v>268</v>
      </c>
      <c r="C11" s="412">
        <f>C10+SUM(C71:I71)-SUM(C72:I72)-SUM(C73:I73)</f>
        <v>685267</v>
      </c>
      <c r="D11" s="413">
        <f>SUM('Modelo Base'!F70:L70)/$M$2</f>
        <v>66864.031978319777</v>
      </c>
      <c r="E11" s="412">
        <f t="shared" si="0"/>
        <v>-618402.96802168025</v>
      </c>
      <c r="F11" s="866">
        <f>IF(C11=0,0,D11/ABS(C11))</f>
        <v>9.7573693141972076E-2</v>
      </c>
      <c r="G11" s="674"/>
      <c r="H11" s="674"/>
      <c r="I11" s="674"/>
      <c r="J11" s="674"/>
      <c r="K11" s="674"/>
      <c r="L11" s="674"/>
      <c r="M11" s="674"/>
      <c r="N11" s="674"/>
      <c r="O11" s="674"/>
      <c r="P11" s="674"/>
      <c r="Q11" s="729"/>
      <c r="R11" s="729"/>
      <c r="S11" s="729"/>
      <c r="T11" s="729"/>
      <c r="U11" s="729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</row>
    <row r="12" spans="1:31">
      <c r="A12" s="729"/>
      <c r="B12" s="869" t="s">
        <v>279</v>
      </c>
      <c r="C12" s="870">
        <f>IF(C8=0,0,C10/C8)</f>
        <v>0.434598188091397</v>
      </c>
      <c r="D12" s="870">
        <f>IF(D8=0,0,D10/D8)</f>
        <v>5.3576025769946412E-2</v>
      </c>
      <c r="E12" s="870">
        <f t="shared" si="0"/>
        <v>-0.38102216232145059</v>
      </c>
      <c r="F12" s="871"/>
      <c r="G12" s="674"/>
      <c r="H12" s="674"/>
      <c r="I12" s="674"/>
      <c r="J12" s="674"/>
      <c r="K12" s="674"/>
      <c r="L12" s="674"/>
      <c r="M12" s="674"/>
      <c r="N12" s="674"/>
      <c r="O12" s="674"/>
      <c r="P12" s="674"/>
      <c r="Q12" s="729"/>
      <c r="R12" s="729"/>
      <c r="S12" s="729"/>
      <c r="T12" s="729"/>
      <c r="U12" s="729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</row>
    <row r="13" spans="1:31">
      <c r="A13" s="729"/>
      <c r="B13" s="869" t="s">
        <v>280</v>
      </c>
      <c r="C13" s="870">
        <f>IF(C8=0,0,C11/C8)</f>
        <v>0.27825762463825376</v>
      </c>
      <c r="D13" s="870">
        <f>IF(D8=0,0,D11/D8)</f>
        <v>4.7887637007409507E-2</v>
      </c>
      <c r="E13" s="870">
        <f t="shared" si="0"/>
        <v>-0.23036998763084426</v>
      </c>
      <c r="F13" s="871"/>
      <c r="G13" s="674"/>
      <c r="H13" s="674"/>
      <c r="I13" s="674"/>
      <c r="J13" s="674"/>
      <c r="K13" s="674"/>
      <c r="L13" s="674"/>
      <c r="M13" s="674"/>
      <c r="N13" s="674"/>
      <c r="O13" s="674"/>
      <c r="P13" s="674"/>
      <c r="Q13" s="729"/>
      <c r="R13" s="729"/>
      <c r="S13" s="729"/>
      <c r="T13" s="729"/>
      <c r="U13" s="729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</row>
    <row r="14" spans="1:31">
      <c r="A14" s="729"/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4"/>
      <c r="N14" s="674"/>
      <c r="O14" s="674"/>
      <c r="P14" s="674"/>
      <c r="Q14" s="729"/>
      <c r="R14" s="729"/>
      <c r="S14" s="729"/>
      <c r="T14" s="729"/>
      <c r="U14" s="729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</row>
    <row r="15" spans="1:31">
      <c r="A15" s="729"/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674"/>
      <c r="O15" s="674"/>
      <c r="P15" s="674"/>
      <c r="Q15" s="729"/>
      <c r="R15" s="729"/>
      <c r="S15" s="729"/>
      <c r="T15" s="729"/>
      <c r="U15" s="729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</row>
    <row r="16" spans="1:31" ht="15" thickBot="1">
      <c r="A16" s="729"/>
      <c r="B16" s="260" t="s">
        <v>1203</v>
      </c>
      <c r="C16" s="260"/>
      <c r="D16" s="260"/>
      <c r="E16" s="260"/>
      <c r="F16" s="260"/>
      <c r="G16" s="864"/>
      <c r="H16" s="864"/>
      <c r="I16" s="864"/>
      <c r="J16" s="864"/>
      <c r="K16" s="864"/>
      <c r="L16" s="261" t="s">
        <v>272</v>
      </c>
      <c r="M16" s="864"/>
      <c r="N16" s="864"/>
      <c r="O16" s="864"/>
      <c r="P16" s="674"/>
      <c r="Q16" s="729"/>
      <c r="R16" s="729"/>
      <c r="S16" s="729"/>
      <c r="T16" s="729"/>
      <c r="U16" s="729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</row>
    <row r="17" spans="1:31" ht="30" customHeight="1">
      <c r="A17" s="729"/>
      <c r="B17" s="467" t="s">
        <v>281</v>
      </c>
      <c r="C17" s="617" t="s">
        <v>51</v>
      </c>
      <c r="D17" s="617" t="s">
        <v>285</v>
      </c>
      <c r="E17" s="617" t="s">
        <v>286</v>
      </c>
      <c r="F17" s="617" t="s">
        <v>877</v>
      </c>
      <c r="G17" s="617" t="s">
        <v>881</v>
      </c>
      <c r="H17" s="617" t="s">
        <v>1197</v>
      </c>
      <c r="I17" s="617" t="s">
        <v>1193</v>
      </c>
      <c r="J17" s="461"/>
      <c r="K17" s="461"/>
      <c r="L17" s="461"/>
      <c r="M17" s="461"/>
      <c r="N17" s="461"/>
      <c r="O17" s="461"/>
      <c r="P17" s="461"/>
      <c r="Q17" s="729"/>
      <c r="R17" s="729"/>
      <c r="S17" s="729"/>
      <c r="T17" s="729"/>
      <c r="U17" s="729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</row>
    <row r="18" spans="1:31">
      <c r="A18" s="729"/>
      <c r="B18" s="262" t="s">
        <v>276</v>
      </c>
      <c r="C18" s="414">
        <f>IF(C65=0,0,C30/C65)</f>
        <v>0.89093596255671315</v>
      </c>
      <c r="D18" s="414">
        <f>IF(SUM(C65:D65)=0,0,SUM(C30:D30)/SUM(C65:D65))</f>
        <v>0.68005527331673599</v>
      </c>
      <c r="E18" s="414">
        <f>IF(SUM(C65:E65)=0,0,SUM(C30:E30)/SUM(C65:E65))</f>
        <v>0.62009091958207097</v>
      </c>
      <c r="F18" s="415">
        <f>IF(SUM(C65:F65)=0,0,SUM(C30:F30)/SUM(C65:F65))</f>
        <v>0.60524203173254598</v>
      </c>
      <c r="G18" s="713">
        <f>IF(SUM(C65:G65)=0,0,SUM(C30:G30)/SUM(C65:G65))</f>
        <v>0.59348659823337957</v>
      </c>
      <c r="H18" s="713">
        <f>IF(SUM(C65:H65)=0,0,SUM(C30:H30)/SUM(C65:H65))</f>
        <v>0.58421100547812865</v>
      </c>
      <c r="I18" s="713">
        <f>IF(SUM(C65:I65)=0,0,SUM(C30:I30)/SUM(C65:I65))</f>
        <v>0.56696520809047424</v>
      </c>
      <c r="J18" s="674"/>
      <c r="K18" s="674"/>
      <c r="L18" s="674"/>
      <c r="M18" s="674"/>
      <c r="N18" s="674"/>
      <c r="O18" s="674"/>
      <c r="P18" s="674"/>
      <c r="Q18" s="729"/>
      <c r="R18" s="729"/>
      <c r="S18" s="729"/>
      <c r="T18" s="729"/>
      <c r="U18" s="729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</row>
    <row r="19" spans="1:31">
      <c r="A19" s="729"/>
      <c r="B19" s="678" t="s">
        <v>277</v>
      </c>
      <c r="C19" s="713">
        <f>IF(C65-C66=0,0,C32/(C65-C66))</f>
        <v>1.3527038809455811</v>
      </c>
      <c r="D19" s="713">
        <f>IF(SUM(C65:D65)-SUM(C66:D66)=0,0,SUM(C32:D32)/(SUM(C65:D65)-SUM(C66:D66)))</f>
        <v>0.6604949793995768</v>
      </c>
      <c r="E19" s="713">
        <f>IF(SUM(C65:E65)-SUM(C66:E66)=0,0,SUM(C32:E32)/(SUM(C65:E65)-SUM(C66:E66)))</f>
        <v>0.49731593035734051</v>
      </c>
      <c r="F19" s="713">
        <f>IF(SUM(C65:F65)-SUM(C66:F66)=0,0,SUM(C32:F32)/(SUM(C65:F65)-SUM(C66:F66)))</f>
        <v>0.47080754416919451</v>
      </c>
      <c r="G19" s="713">
        <f>IF(SUM(C67:G67)=0,0,SUM(C32:G32)/ABS(SUM(C67:G67)))</f>
        <v>0.46232538286662905</v>
      </c>
      <c r="H19" s="713">
        <f>IF(SUM(C67:H67)=0,0,SUM(C32:H32)/ABS(SUM(C67:H67)))</f>
        <v>0.45312671228884427</v>
      </c>
      <c r="I19" s="713">
        <f>IF(SUM(C67:I67)=0,0,SUM(C32:I32)/ABS(SUM(C67:I67)))</f>
        <v>0.43626628998231382</v>
      </c>
      <c r="J19" s="674"/>
      <c r="K19" s="674"/>
      <c r="L19" s="674"/>
      <c r="M19" s="674"/>
      <c r="N19" s="674"/>
      <c r="O19" s="674"/>
      <c r="P19" s="674"/>
      <c r="Q19" s="729"/>
      <c r="R19" s="729"/>
      <c r="S19" s="729"/>
      <c r="T19" s="729"/>
      <c r="U19" s="729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</row>
    <row r="20" spans="1:31">
      <c r="A20" s="729"/>
      <c r="B20" s="678" t="s">
        <v>278</v>
      </c>
      <c r="C20" s="713">
        <f>IF((C65-C66-C68-C69)=0,0,C37/ABS(C65-C66-C68-C69))</f>
        <v>1.4950411097331311</v>
      </c>
      <c r="D20" s="713">
        <f>IF((SUM(C65:D65)-SUM(C66:D66)-SUM(C68:D68)-SUM(C69:D69))=0,0,SUM(C37:D37)/ABS(SUM(C65:D65)-SUM(C66:D66)-SUM(C68:D68)-SUM(C69:D69)))</f>
        <v>0.22048251580687739</v>
      </c>
      <c r="E20" s="713">
        <f>IF((SUM(C65:E65)-SUM(C66:E66)-SUM(C68:E68)-SUM(C69:E69))=0,0,SUM(C37:E37)/ABS(SUM(C65:E65)-SUM(C66:E66)-SUM(C68:E68)-SUM(C69:E69)))</f>
        <v>7.4812116750244573E-2</v>
      </c>
      <c r="F20" s="713">
        <f>IF((SUM(C65:F65)-SUM(C66:F66)-SUM(C68:F68)-SUM(C69:F69))=0,0,SUM(C37:F37)/ABS(SUM(C65:F65)-SUM(C66:F66)-SUM(C68:F68)-SUM(C69:F69)))</f>
        <v>5.3467048550740942E-2</v>
      </c>
      <c r="G20" s="713">
        <f>IF(SUM(C70:G70)=0,0,SUM(C37:G37)/ABS(SUM(C70:G70)))</f>
        <v>8.1445042115444052E-2</v>
      </c>
      <c r="H20" s="713">
        <f>IF(SUM(C70:H70)=0,0,SUM(C37:H37)/ABS(SUM(C70:H70)))</f>
        <v>7.5874675763736021E-2</v>
      </c>
      <c r="I20" s="713">
        <f>IF(SUM(C70:I70)=0,0,SUM(C37:I37)/ABS(SUM(C70:I70)))</f>
        <v>6.989385467233053E-2</v>
      </c>
      <c r="J20" s="674"/>
      <c r="K20" s="674"/>
      <c r="L20" s="674"/>
      <c r="M20" s="674"/>
      <c r="N20" s="674"/>
      <c r="O20" s="674"/>
      <c r="P20" s="674"/>
      <c r="Q20" s="729"/>
      <c r="R20" s="729"/>
      <c r="S20" s="729"/>
      <c r="T20" s="729"/>
      <c r="U20" s="729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</row>
    <row r="21" spans="1:31">
      <c r="A21" s="729"/>
      <c r="B21" s="678" t="s">
        <v>268</v>
      </c>
      <c r="C21" s="872">
        <f>IF(C74=0,0,C41/ABS(C74))</f>
        <v>1.2372171533451277</v>
      </c>
      <c r="D21" s="872">
        <f>IF(SUM(C74:D74)=0,0,SUM(C41:D41)/ABS(SUM(C74:D74)))</f>
        <v>0.36903066946394791</v>
      </c>
      <c r="E21" s="872">
        <f>IF(SUM(C74:E74)=0,0,SUM(C41:E41)/ABS(SUM(C74:E74)))</f>
        <v>0.10090252767303913</v>
      </c>
      <c r="F21" s="872">
        <f>IF(SUM(C74:F74)=0,0,SUM(C41:F41)/ABS(SUM(C74:F74)))</f>
        <v>6.8615052118916081E-2</v>
      </c>
      <c r="G21" s="713">
        <f>IF(SUM(C74:G74)=0,0,SUM(C41:G41)/ABS(SUM(C74:G74)))</f>
        <v>0.1138605059206866</v>
      </c>
      <c r="H21" s="713">
        <f>IF(SUM(C74:H74)=0,0,SUM(C41:H41)/ABS(SUM(C74:H74)))</f>
        <v>0.10685179733216474</v>
      </c>
      <c r="I21" s="713">
        <f>IF(SUM(C74:I74)=0,0,SUM(C41:I41)/ABS(SUM(C74:I74)))</f>
        <v>9.757369314197209E-2</v>
      </c>
      <c r="J21" s="674"/>
      <c r="K21" s="674"/>
      <c r="L21" s="674"/>
      <c r="M21" s="674"/>
      <c r="N21" s="674"/>
      <c r="O21" s="674"/>
      <c r="P21" s="674"/>
      <c r="Q21" s="729"/>
      <c r="R21" s="729"/>
      <c r="S21" s="729"/>
      <c r="T21" s="729"/>
      <c r="U21" s="729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</row>
    <row r="22" spans="1:31">
      <c r="A22" s="729"/>
      <c r="B22" s="674"/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4"/>
      <c r="P22" s="674"/>
      <c r="Q22" s="729"/>
      <c r="R22" s="729"/>
      <c r="S22" s="729"/>
      <c r="T22" s="729"/>
      <c r="U22" s="729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</row>
    <row r="23" spans="1:31">
      <c r="A23" s="729"/>
      <c r="B23" s="678"/>
      <c r="C23" s="678"/>
      <c r="D23" s="678"/>
      <c r="E23" s="678"/>
      <c r="F23" s="678"/>
      <c r="G23" s="678"/>
      <c r="H23" s="674"/>
      <c r="I23" s="674"/>
      <c r="J23" s="674"/>
      <c r="K23" s="674"/>
      <c r="L23" s="674"/>
      <c r="M23" s="674"/>
      <c r="N23" s="674"/>
      <c r="O23" s="674"/>
      <c r="P23" s="674"/>
      <c r="Q23" s="729"/>
      <c r="R23" s="729"/>
      <c r="S23" s="729"/>
      <c r="T23" s="729"/>
      <c r="U23" s="729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</row>
    <row r="24" spans="1:31">
      <c r="A24" s="729"/>
      <c r="B24" s="674"/>
      <c r="C24" s="873"/>
      <c r="D24" s="873"/>
      <c r="E24" s="873"/>
      <c r="F24" s="674"/>
      <c r="G24" s="674"/>
      <c r="H24" s="674"/>
      <c r="I24" s="674"/>
      <c r="J24" s="674"/>
      <c r="K24" s="674"/>
      <c r="L24" s="674"/>
      <c r="M24" s="674"/>
      <c r="N24" s="674"/>
      <c r="O24" s="674"/>
      <c r="P24" s="674"/>
      <c r="Q24" s="729"/>
      <c r="R24" s="729"/>
      <c r="S24" s="729"/>
      <c r="T24" s="729"/>
      <c r="U24" s="729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</row>
    <row r="25" spans="1:31" ht="15" thickBot="1">
      <c r="A25" s="729"/>
      <c r="B25" s="260" t="s">
        <v>1204</v>
      </c>
      <c r="C25" s="260"/>
      <c r="D25" s="260"/>
      <c r="E25" s="260"/>
      <c r="F25" s="260"/>
      <c r="G25" s="864"/>
      <c r="H25" s="864"/>
      <c r="I25" s="864"/>
      <c r="J25" s="864"/>
      <c r="K25" s="864"/>
      <c r="L25" s="261" t="s">
        <v>272</v>
      </c>
      <c r="M25" s="864"/>
      <c r="N25" s="864"/>
      <c r="O25" s="864"/>
      <c r="P25" s="674"/>
      <c r="Q25" s="729"/>
      <c r="R25" s="729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</row>
    <row r="26" spans="1:31">
      <c r="A26" s="729"/>
      <c r="B26" s="682" t="s">
        <v>292</v>
      </c>
      <c r="C26" s="874"/>
      <c r="D26" s="874"/>
      <c r="E26" s="874"/>
      <c r="F26" s="682"/>
      <c r="G26" s="682"/>
      <c r="H26" s="682"/>
      <c r="I26" s="682"/>
      <c r="J26" s="682"/>
      <c r="K26" s="682"/>
      <c r="L26" s="682"/>
      <c r="M26" s="682"/>
      <c r="N26" s="682"/>
      <c r="O26" s="682"/>
      <c r="P26" s="682"/>
      <c r="Q26" s="729"/>
      <c r="R26" s="729"/>
      <c r="S26" s="729"/>
      <c r="T26" s="729"/>
      <c r="U26" s="729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</row>
    <row r="27" spans="1:31">
      <c r="A27" s="729"/>
      <c r="B27" s="674"/>
      <c r="C27" s="873"/>
      <c r="D27" s="873"/>
      <c r="E27" s="873"/>
      <c r="F27" s="674"/>
      <c r="G27" s="674"/>
      <c r="H27" s="674"/>
      <c r="I27" s="674"/>
      <c r="J27" s="674"/>
      <c r="K27" s="674"/>
      <c r="L27" s="674"/>
      <c r="M27" s="674"/>
      <c r="N27" s="674"/>
      <c r="O27" s="674"/>
      <c r="P27" s="674"/>
      <c r="Q27" s="729"/>
      <c r="R27" s="729"/>
      <c r="S27" s="729"/>
      <c r="T27" s="729"/>
      <c r="U27" s="729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</row>
    <row r="28" spans="1:31" ht="30" customHeight="1">
      <c r="A28" s="729"/>
      <c r="B28" s="467" t="s">
        <v>281</v>
      </c>
      <c r="C28" s="461" t="s">
        <v>51</v>
      </c>
      <c r="D28" s="461" t="s">
        <v>52</v>
      </c>
      <c r="E28" s="461" t="s">
        <v>53</v>
      </c>
      <c r="F28" s="461" t="s">
        <v>54</v>
      </c>
      <c r="G28" s="461" t="s">
        <v>55</v>
      </c>
      <c r="H28" s="461" t="s">
        <v>56</v>
      </c>
      <c r="I28" s="461" t="s">
        <v>57</v>
      </c>
      <c r="J28" s="461" t="s">
        <v>58</v>
      </c>
      <c r="K28" s="461" t="s">
        <v>59</v>
      </c>
      <c r="L28" s="461" t="s">
        <v>60</v>
      </c>
      <c r="M28" s="461" t="s">
        <v>61</v>
      </c>
      <c r="N28" s="461" t="s">
        <v>62</v>
      </c>
      <c r="O28" s="461" t="s">
        <v>16</v>
      </c>
      <c r="P28" s="461" t="s">
        <v>1202</v>
      </c>
      <c r="Q28" s="729"/>
      <c r="R28" s="729"/>
      <c r="S28" s="729"/>
      <c r="T28" s="729"/>
      <c r="U28" s="729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</row>
    <row r="29" spans="1:31">
      <c r="A29" s="729"/>
      <c r="B29" s="682" t="s">
        <v>293</v>
      </c>
      <c r="C29" s="682"/>
      <c r="D29" s="682"/>
      <c r="E29" s="682"/>
      <c r="F29" s="682"/>
      <c r="G29" s="682"/>
      <c r="H29" s="682"/>
      <c r="I29" s="682"/>
      <c r="J29" s="682"/>
      <c r="K29" s="682"/>
      <c r="L29" s="682"/>
      <c r="M29" s="682"/>
      <c r="N29" s="682"/>
      <c r="O29" s="682"/>
      <c r="P29" s="682"/>
      <c r="Q29" s="729"/>
      <c r="R29" s="729"/>
      <c r="S29" s="729"/>
      <c r="T29" s="729"/>
      <c r="U29" s="729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</row>
    <row r="30" spans="1:31">
      <c r="A30" s="729"/>
      <c r="B30" s="678" t="s">
        <v>276</v>
      </c>
      <c r="C30" s="618">
        <f>'Modelo Base'!F51/$M$2</f>
        <v>165920.7861788618</v>
      </c>
      <c r="D30" s="618">
        <f>'Modelo Base'!G51/$M$2</f>
        <v>201685.13197831978</v>
      </c>
      <c r="E30" s="618">
        <f>'Modelo Base'!H51/$M$2</f>
        <v>213290.2945799458</v>
      </c>
      <c r="F30" s="618">
        <f>'Modelo Base'!I51/$M$2</f>
        <v>203487.17127371274</v>
      </c>
      <c r="G30" s="618">
        <f>'Modelo Base'!J51/$M$2</f>
        <v>223987.73604336043</v>
      </c>
      <c r="H30" s="618">
        <f>'Modelo Base'!K51/$M$2</f>
        <v>203645.88455284553</v>
      </c>
      <c r="I30" s="618">
        <f>'Modelo Base'!L51/$M$2</f>
        <v>184252.18211382115</v>
      </c>
      <c r="J30" s="621">
        <f>'Modelo Base'!M51/$M$2</f>
        <v>426456.92992644216</v>
      </c>
      <c r="K30" s="621">
        <f>'Modelo Base'!N51/$M$2</f>
        <v>451230.73945025163</v>
      </c>
      <c r="L30" s="621">
        <f>'Modelo Base'!O51/$M$2</f>
        <v>476004.54897406121</v>
      </c>
      <c r="M30" s="621">
        <f>'Modelo Base'!P51/$M$2</f>
        <v>500778.35849787074</v>
      </c>
      <c r="N30" s="621">
        <f>'Modelo Base'!Q51/$M$2</f>
        <v>525552.16802168021</v>
      </c>
      <c r="O30" s="412">
        <f>SUM(C30:N30)</f>
        <v>3776291.9315911736</v>
      </c>
      <c r="P30" s="624">
        <f>SUM(C30:I30)</f>
        <v>1396269.1867208674</v>
      </c>
      <c r="Q30" s="729"/>
      <c r="R30" s="729"/>
      <c r="S30" s="729"/>
      <c r="T30" s="729"/>
      <c r="U30" s="729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</row>
    <row r="31" spans="1:31">
      <c r="A31" s="729"/>
      <c r="B31" s="674" t="s">
        <v>255</v>
      </c>
      <c r="C31" s="619">
        <f>'Modelo Base'!F52/$M$2</f>
        <v>64643.846612466128</v>
      </c>
      <c r="D31" s="619">
        <f>'Modelo Base'!G52/$M$2</f>
        <v>93037.612737127376</v>
      </c>
      <c r="E31" s="619">
        <f>'Modelo Base'!H52/$M$2</f>
        <v>123479.45826558265</v>
      </c>
      <c r="F31" s="619">
        <f>'Modelo Base'!I52/$M$2</f>
        <v>102784.17181571816</v>
      </c>
      <c r="G31" s="619">
        <f>'Modelo Base'!J52/$M$2</f>
        <v>96333.475067750682</v>
      </c>
      <c r="H31" s="619">
        <f>'Modelo Base'!K52/$M$2</f>
        <v>94438.375609756098</v>
      </c>
      <c r="I31" s="619">
        <f>'Modelo Base'!L52/$M$2</f>
        <v>87240.606504065043</v>
      </c>
      <c r="J31" s="622">
        <f>'Modelo Base'!M52/$M$2</f>
        <v>95534.162714543796</v>
      </c>
      <c r="K31" s="622">
        <f>'Modelo Base'!N52/$M$2</f>
        <v>95534.162714543796</v>
      </c>
      <c r="L31" s="622">
        <f>'Modelo Base'!O52/$M$2</f>
        <v>95534.162714543796</v>
      </c>
      <c r="M31" s="622">
        <f>'Modelo Base'!P52/$M$2</f>
        <v>98252.091982836486</v>
      </c>
      <c r="N31" s="622">
        <f>'Modelo Base'!Q52/$M$2</f>
        <v>98252.091982836486</v>
      </c>
      <c r="O31" s="416">
        <f>SUM(C31:N31)</f>
        <v>1145064.2187217704</v>
      </c>
      <c r="P31" s="625">
        <f>SUM(C31:I31)</f>
        <v>661957.54661246622</v>
      </c>
      <c r="Q31" s="729"/>
      <c r="R31" s="729"/>
      <c r="S31" s="729"/>
      <c r="T31" s="729"/>
      <c r="U31" s="729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</row>
    <row r="32" spans="1:31">
      <c r="A32" s="729"/>
      <c r="B32" s="678" t="s">
        <v>277</v>
      </c>
      <c r="C32" s="618">
        <f>'Modelo Base'!F53/$M$2</f>
        <v>101276.93956639567</v>
      </c>
      <c r="D32" s="618">
        <f>'Modelo Base'!G53/$M$2</f>
        <v>108647.51924119241</v>
      </c>
      <c r="E32" s="618">
        <f>'Modelo Base'!H53/$M$2</f>
        <v>89810.836314363143</v>
      </c>
      <c r="F32" s="618">
        <f>'Modelo Base'!I53/$M$2</f>
        <v>100702.99945799458</v>
      </c>
      <c r="G32" s="618">
        <f>'Modelo Base'!J53/$M$2</f>
        <v>127654.26097560975</v>
      </c>
      <c r="H32" s="618">
        <f>'Modelo Base'!K53/$M$2</f>
        <v>109207.50894308943</v>
      </c>
      <c r="I32" s="618">
        <f>'Modelo Base'!L53/$M$2</f>
        <v>97011.575609756095</v>
      </c>
      <c r="J32" s="621">
        <f>'Modelo Base'!M53/$M$2</f>
        <v>330922.76721189829</v>
      </c>
      <c r="K32" s="621">
        <f>'Modelo Base'!N53/$M$2</f>
        <v>355696.57673570781</v>
      </c>
      <c r="L32" s="621">
        <f>'Modelo Base'!O53/$M$2</f>
        <v>380470.38625951746</v>
      </c>
      <c r="M32" s="621">
        <f>'Modelo Base'!P53/$M$2</f>
        <v>402526.26651503425</v>
      </c>
      <c r="N32" s="621">
        <f>'Modelo Base'!Q53/$M$2</f>
        <v>427300.07603884378</v>
      </c>
      <c r="O32" s="412">
        <f>SUM(C32:N32)</f>
        <v>2631227.712869403</v>
      </c>
      <c r="P32" s="624">
        <f>SUM(C32:I32)</f>
        <v>734311.64010840107</v>
      </c>
      <c r="Q32" s="729"/>
      <c r="R32" s="729"/>
      <c r="S32" s="729"/>
      <c r="T32" s="729"/>
      <c r="U32" s="729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</row>
    <row r="33" spans="1:31">
      <c r="A33" s="729"/>
      <c r="B33" s="875" t="s">
        <v>282</v>
      </c>
      <c r="C33" s="620">
        <f t="shared" ref="C33:O33" si="1">IF(C30=0,0,C32/C30)</f>
        <v>0.6103933202029288</v>
      </c>
      <c r="D33" s="620">
        <f t="shared" si="1"/>
        <v>0.53869870414082632</v>
      </c>
      <c r="E33" s="620">
        <f t="shared" si="1"/>
        <v>0.42107324429007298</v>
      </c>
      <c r="F33" s="620">
        <f t="shared" si="1"/>
        <v>0.49488623202952636</v>
      </c>
      <c r="G33" s="620">
        <f t="shared" si="1"/>
        <v>0.56991629644802488</v>
      </c>
      <c r="H33" s="620">
        <f t="shared" si="1"/>
        <v>0.53626180162138459</v>
      </c>
      <c r="I33" s="620">
        <f t="shared" si="1"/>
        <v>0.52651520593567536</v>
      </c>
      <c r="J33" s="623">
        <f t="shared" si="1"/>
        <v>0.77598168534622669</v>
      </c>
      <c r="K33" s="623">
        <f t="shared" si="1"/>
        <v>0.78828090738911971</v>
      </c>
      <c r="L33" s="623">
        <f t="shared" si="1"/>
        <v>0.79929989551475977</v>
      </c>
      <c r="M33" s="623">
        <f t="shared" si="1"/>
        <v>0.80380124197548719</v>
      </c>
      <c r="N33" s="623">
        <f t="shared" si="1"/>
        <v>0.81304978275956175</v>
      </c>
      <c r="O33" s="417">
        <f t="shared" si="1"/>
        <v>0.6967755037309078</v>
      </c>
      <c r="P33" s="620">
        <f>IF(P30=0,0,P32/P30)</f>
        <v>0.52590979382201297</v>
      </c>
      <c r="Q33" s="729"/>
      <c r="R33" s="729"/>
      <c r="S33" s="729"/>
      <c r="T33" s="729"/>
      <c r="U33" s="729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</row>
    <row r="34" spans="1:31">
      <c r="A34" s="729"/>
      <c r="B34" s="674" t="s">
        <v>283</v>
      </c>
      <c r="C34" s="619">
        <f>'Modelo Base'!F56/$M$2</f>
        <v>26754.047425474255</v>
      </c>
      <c r="D34" s="619">
        <f>'Modelo Base'!G56/$M$2</f>
        <v>28626.957181571815</v>
      </c>
      <c r="E34" s="619">
        <f>'Modelo Base'!H56/$M$2</f>
        <v>38431.39972899729</v>
      </c>
      <c r="F34" s="619">
        <f>'Modelo Base'!I56/$M$2</f>
        <v>30970.430081300812</v>
      </c>
      <c r="G34" s="619">
        <f>'Modelo Base'!J56/$M$2</f>
        <v>31655.507859078592</v>
      </c>
      <c r="H34" s="619">
        <f>'Modelo Base'!K56/$M$2</f>
        <v>30430.540108401085</v>
      </c>
      <c r="I34" s="619">
        <f>'Modelo Base'!L56/$M$2</f>
        <v>29250.065582655825</v>
      </c>
      <c r="J34" s="622">
        <f>'Modelo Base'!M56/$M$2</f>
        <v>36693.761427280937</v>
      </c>
      <c r="K34" s="622">
        <f>'Modelo Base'!N56/$M$2</f>
        <v>36693.761427280937</v>
      </c>
      <c r="L34" s="622">
        <f>'Modelo Base'!O56/$M$2</f>
        <v>36693.761427280937</v>
      </c>
      <c r="M34" s="622">
        <f>'Modelo Base'!P56/$M$2</f>
        <v>36693.761427280937</v>
      </c>
      <c r="N34" s="622">
        <f>'Modelo Base'!Q56/$M$2</f>
        <v>36693.761427280937</v>
      </c>
      <c r="O34" s="416">
        <f>SUM(C34:N34)</f>
        <v>399587.75510388444</v>
      </c>
      <c r="P34" s="625">
        <f>SUM(C34:I34)</f>
        <v>216118.9479674797</v>
      </c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</row>
    <row r="35" spans="1:31">
      <c r="A35" s="729"/>
      <c r="B35" s="674" t="s">
        <v>284</v>
      </c>
      <c r="C35" s="619">
        <f>'Modelo Base'!F57/$M$2</f>
        <v>35664.026829268296</v>
      </c>
      <c r="D35" s="619">
        <f>'Modelo Base'!G57/$M$2</f>
        <v>47054.797831978321</v>
      </c>
      <c r="E35" s="619">
        <f>'Modelo Base'!H57/$M$2</f>
        <v>37836.253658536589</v>
      </c>
      <c r="F35" s="619">
        <f>'Modelo Base'!I57/$M$2</f>
        <v>35254.855013550135</v>
      </c>
      <c r="G35" s="619">
        <f>'Modelo Base'!J57/$M$2</f>
        <v>32583.526558265581</v>
      </c>
      <c r="H35" s="619">
        <f>'Modelo Base'!K57/$M$2</f>
        <v>39784.135501355013</v>
      </c>
      <c r="I35" s="619">
        <f>'Modelo Base'!L57/$M$2</f>
        <v>31913.614092140921</v>
      </c>
      <c r="J35" s="622">
        <f>'Modelo Base'!M57/$M$2</f>
        <v>62569.927439024388</v>
      </c>
      <c r="K35" s="622">
        <f>'Modelo Base'!N57/$M$2</f>
        <v>62569.927439024388</v>
      </c>
      <c r="L35" s="622">
        <f>'Modelo Base'!O57/$M$2</f>
        <v>62569.927439024388</v>
      </c>
      <c r="M35" s="622">
        <f>'Modelo Base'!P57/$M$2</f>
        <v>64407.701151761517</v>
      </c>
      <c r="N35" s="622">
        <f>'Modelo Base'!Q57/$M$2</f>
        <v>64407.701151761517</v>
      </c>
      <c r="O35" s="416">
        <f>SUM(C35:N35)</f>
        <v>576616.394105691</v>
      </c>
      <c r="P35" s="625">
        <f>SUM(C35:I35)</f>
        <v>260091.20948509488</v>
      </c>
      <c r="Q35" s="729"/>
      <c r="R35" s="729"/>
      <c r="S35" s="729"/>
      <c r="T35" s="729"/>
      <c r="U35" s="729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</row>
    <row r="36" spans="1:31">
      <c r="A36" s="729"/>
      <c r="B36" s="674" t="s">
        <v>294</v>
      </c>
      <c r="C36" s="619">
        <f>'Modelo Base'!F58/$M$2</f>
        <v>19894.268834688348</v>
      </c>
      <c r="D36" s="619">
        <f>'Modelo Base'!G58/$M$2</f>
        <v>20463.31653116531</v>
      </c>
      <c r="E36" s="619">
        <f>'Modelo Base'!H58/$M$2</f>
        <v>19571.040108401085</v>
      </c>
      <c r="F36" s="619">
        <f>'Modelo Base'!I58/$M$2</f>
        <v>33166.534959349592</v>
      </c>
      <c r="G36" s="619">
        <f>'Modelo Base'!J58/$M$2</f>
        <v>32789.352574525743</v>
      </c>
      <c r="H36" s="619">
        <f>'Modelo Base'!K58/$M$2</f>
        <v>29514.379403794039</v>
      </c>
      <c r="I36" s="619">
        <f>'Modelo Base'!L58/$M$2</f>
        <v>27896.036314363144</v>
      </c>
      <c r="J36" s="622">
        <f>'Modelo Base'!M58/$M$2</f>
        <v>30630.146522131887</v>
      </c>
      <c r="K36" s="622">
        <f>'Modelo Base'!N58/$M$2</f>
        <v>30630.146522131887</v>
      </c>
      <c r="L36" s="622">
        <f>'Modelo Base'!O58/$M$2</f>
        <v>30630.146522131887</v>
      </c>
      <c r="M36" s="622">
        <f>'Modelo Base'!P58/$M$2</f>
        <v>30630.146522131887</v>
      </c>
      <c r="N36" s="622">
        <f>'Modelo Base'!Q58/$M$2</f>
        <v>30630.146522131887</v>
      </c>
      <c r="O36" s="416">
        <f>SUM(C36:N36)</f>
        <v>336445.66133694665</v>
      </c>
      <c r="P36" s="625">
        <f>SUM(C36:I36)</f>
        <v>183294.92872628727</v>
      </c>
      <c r="Q36" s="729"/>
      <c r="R36" s="729"/>
      <c r="S36" s="729"/>
      <c r="T36" s="729"/>
      <c r="U36" s="729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</row>
    <row r="37" spans="1:31">
      <c r="A37" s="729"/>
      <c r="B37" s="678" t="s">
        <v>278</v>
      </c>
      <c r="C37" s="618">
        <f>'Modelo Base'!F59/$M$2</f>
        <v>18964.596476964769</v>
      </c>
      <c r="D37" s="618">
        <f>'Modelo Base'!G59/$M$2</f>
        <v>12502.447696476966</v>
      </c>
      <c r="E37" s="618">
        <f>'Modelo Base'!H59/$M$2</f>
        <v>-6027.857181571816</v>
      </c>
      <c r="F37" s="618">
        <f>'Modelo Base'!I59/$M$2</f>
        <v>1311.1794037940379</v>
      </c>
      <c r="G37" s="618">
        <f>'Modelo Base'!J59/$M$2</f>
        <v>30625.873983739839</v>
      </c>
      <c r="H37" s="618">
        <f>'Modelo Base'!K59/$M$2</f>
        <v>9478.4539295392951</v>
      </c>
      <c r="I37" s="618">
        <f>'Modelo Base'!L59/$M$2</f>
        <v>7951.8596205962058</v>
      </c>
      <c r="J37" s="621">
        <f>'Modelo Base'!M59/$M$2</f>
        <v>201028.93182346105</v>
      </c>
      <c r="K37" s="621">
        <f>'Modelo Base'!N59/$M$2</f>
        <v>225802.74134727058</v>
      </c>
      <c r="L37" s="621">
        <f>'Modelo Base'!O59/$M$2</f>
        <v>250576.5508710802</v>
      </c>
      <c r="M37" s="621">
        <f>'Modelo Base'!P59/$M$2</f>
        <v>270794.65741385991</v>
      </c>
      <c r="N37" s="621">
        <f>'Modelo Base'!Q59/$M$2</f>
        <v>295568.46693766938</v>
      </c>
      <c r="O37" s="412">
        <f>SUM(C37:N37)</f>
        <v>1318577.9023228802</v>
      </c>
      <c r="P37" s="624">
        <f>SUM(C37:I37)</f>
        <v>74806.553929539295</v>
      </c>
      <c r="Q37" s="729"/>
      <c r="R37" s="729"/>
      <c r="S37" s="729"/>
      <c r="T37" s="729"/>
      <c r="U37" s="729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</row>
    <row r="38" spans="1:31">
      <c r="A38" s="729"/>
      <c r="B38" s="875" t="s">
        <v>279</v>
      </c>
      <c r="C38" s="620">
        <f t="shared" ref="C38:O38" si="2">IF(C30=0,0,C37/C30)</f>
        <v>0.11429909967109862</v>
      </c>
      <c r="D38" s="620">
        <f t="shared" si="2"/>
        <v>6.1989932395318664E-2</v>
      </c>
      <c r="E38" s="620">
        <f t="shared" si="2"/>
        <v>-2.8261282087134281E-2</v>
      </c>
      <c r="F38" s="620">
        <f t="shared" si="2"/>
        <v>6.4435482373989888E-3</v>
      </c>
      <c r="G38" s="620">
        <f t="shared" si="2"/>
        <v>0.13673013766169395</v>
      </c>
      <c r="H38" s="620">
        <f t="shared" si="2"/>
        <v>4.6543802986009589E-2</v>
      </c>
      <c r="I38" s="620">
        <f t="shared" si="2"/>
        <v>4.3157478676067847E-2</v>
      </c>
      <c r="J38" s="623">
        <f t="shared" si="2"/>
        <v>0.47139328198544161</v>
      </c>
      <c r="K38" s="623">
        <f t="shared" si="2"/>
        <v>0.50041524569530227</v>
      </c>
      <c r="L38" s="623">
        <f t="shared" si="2"/>
        <v>0.5264162945735521</v>
      </c>
      <c r="M38" s="623">
        <f t="shared" si="2"/>
        <v>0.54074752396675563</v>
      </c>
      <c r="N38" s="623">
        <f t="shared" si="2"/>
        <v>0.56239605679921112</v>
      </c>
      <c r="O38" s="417">
        <f t="shared" si="2"/>
        <v>0.34917266096196276</v>
      </c>
      <c r="P38" s="620">
        <f>IF(P30=0,0,P37/P30)</f>
        <v>5.3576025769946398E-2</v>
      </c>
      <c r="Q38" s="729"/>
      <c r="R38" s="729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</row>
    <row r="39" spans="1:31">
      <c r="A39" s="729"/>
      <c r="B39" s="674" t="s">
        <v>295</v>
      </c>
      <c r="C39" s="619">
        <f>'Modelo Base'!F67/$M$2</f>
        <v>17204.741734417345</v>
      </c>
      <c r="D39" s="619">
        <f>'Modelo Base'!G67/$M$2</f>
        <v>14647.40243902439</v>
      </c>
      <c r="E39" s="619">
        <f>'Modelo Base'!H67/$M$2</f>
        <v>-10281.302710027101</v>
      </c>
      <c r="F39" s="619">
        <f>'Modelo Base'!I67/$M$2</f>
        <v>191.38292682926829</v>
      </c>
      <c r="G39" s="619">
        <f>'Modelo Base'!J67/$M$2</f>
        <v>29369.910027100272</v>
      </c>
      <c r="H39" s="619">
        <f>'Modelo Base'!K67/$M$2</f>
        <v>9036.2195121951227</v>
      </c>
      <c r="I39" s="619">
        <f>'Modelo Base'!L67/$M$2</f>
        <v>6695.6780487804881</v>
      </c>
      <c r="J39" s="622">
        <f>'Modelo Base'!M67/$M$2</f>
        <v>200791.33938473777</v>
      </c>
      <c r="K39" s="622">
        <f>'Modelo Base'!N67/$M$2</f>
        <v>225549.18713705023</v>
      </c>
      <c r="L39" s="622">
        <f>'Modelo Base'!O67/$M$2</f>
        <v>250307.30091888778</v>
      </c>
      <c r="M39" s="622">
        <f>'Modelo Base'!P67/$M$2</f>
        <v>270509.97331539495</v>
      </c>
      <c r="N39" s="622">
        <f>'Modelo Base'!Q67/$M$2</f>
        <v>295268.60592870309</v>
      </c>
      <c r="O39" s="416">
        <f>SUM(C39:N39)</f>
        <v>1309290.4386630938</v>
      </c>
      <c r="P39" s="625">
        <f>SUM(C39:I39)</f>
        <v>66864.031978319792</v>
      </c>
      <c r="Q39" s="729"/>
      <c r="R39" s="729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</row>
    <row r="40" spans="1:31">
      <c r="A40" s="729"/>
      <c r="B40" s="674" t="s">
        <v>267</v>
      </c>
      <c r="C40" s="619">
        <f>'Modelo Base'!F69/$M$2</f>
        <v>0</v>
      </c>
      <c r="D40" s="619">
        <f>'Modelo Base'!G69/$M$2</f>
        <v>0</v>
      </c>
      <c r="E40" s="619">
        <f>'Modelo Base'!H69/$M$2</f>
        <v>0</v>
      </c>
      <c r="F40" s="619">
        <f>'Modelo Base'!I69/$M$2</f>
        <v>0</v>
      </c>
      <c r="G40" s="619">
        <f>'Modelo Base'!J69/$M$2</f>
        <v>0</v>
      </c>
      <c r="H40" s="619">
        <f>'Modelo Base'!K69/$M$2</f>
        <v>0</v>
      </c>
      <c r="I40" s="619">
        <f>'Modelo Base'!L69/$M$2</f>
        <v>0</v>
      </c>
      <c r="J40" s="622">
        <f>'Modelo Base'!M69/$M$2</f>
        <v>70276.968784658209</v>
      </c>
      <c r="K40" s="622">
        <f>'Modelo Base'!N69/$M$2</f>
        <v>78942.215497967583</v>
      </c>
      <c r="L40" s="622">
        <f>'Modelo Base'!O69/$M$2</f>
        <v>87607.555321610722</v>
      </c>
      <c r="M40" s="622">
        <f>'Modelo Base'!P69/$M$2</f>
        <v>94678.490660388212</v>
      </c>
      <c r="N40" s="622">
        <f>'Modelo Base'!Q69/$M$2</f>
        <v>103344.01207504608</v>
      </c>
      <c r="O40" s="416">
        <f>SUM(C40:N40)</f>
        <v>434849.24233967077</v>
      </c>
      <c r="P40" s="625">
        <f>SUM(C40:I40)</f>
        <v>0</v>
      </c>
      <c r="Q40" s="729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</row>
    <row r="41" spans="1:31">
      <c r="A41" s="729"/>
      <c r="B41" s="263" t="s">
        <v>268</v>
      </c>
      <c r="C41" s="618">
        <f>'Modelo Base'!F70/$M$2</f>
        <v>17204.741734417345</v>
      </c>
      <c r="D41" s="618">
        <f>'Modelo Base'!G70/$M$2</f>
        <v>14647.40243902439</v>
      </c>
      <c r="E41" s="618">
        <f>'Modelo Base'!H70/$M$2</f>
        <v>-10281.302710027101</v>
      </c>
      <c r="F41" s="618">
        <f>'Modelo Base'!I70/$M$2</f>
        <v>191.38292682926829</v>
      </c>
      <c r="G41" s="618">
        <f>'Modelo Base'!J70/$M$2</f>
        <v>29369.910027100272</v>
      </c>
      <c r="H41" s="618">
        <f>'Modelo Base'!K70/$M$2</f>
        <v>9036.2195121951227</v>
      </c>
      <c r="I41" s="618">
        <f>'Modelo Base'!L70/$M$2</f>
        <v>6695.6780487804881</v>
      </c>
      <c r="J41" s="621">
        <f>'Modelo Base'!M70/$M$2</f>
        <v>130514.37060007955</v>
      </c>
      <c r="K41" s="621">
        <f>'Modelo Base'!N70/$M$2</f>
        <v>146606.97163908265</v>
      </c>
      <c r="L41" s="621">
        <f>'Modelo Base'!O70/$M$2</f>
        <v>162699.74559727707</v>
      </c>
      <c r="M41" s="621">
        <f>'Modelo Base'!P70/$M$2</f>
        <v>175831.48265500669</v>
      </c>
      <c r="N41" s="621">
        <f>'Modelo Base'!Q70/$M$2</f>
        <v>191924.59385365705</v>
      </c>
      <c r="O41" s="412">
        <f>SUM(C41:N41)</f>
        <v>874441.19632342283</v>
      </c>
      <c r="P41" s="624">
        <f>SUM(C41:I41)</f>
        <v>66864.031978319792</v>
      </c>
      <c r="Q41" s="729"/>
      <c r="R41" s="729"/>
      <c r="S41" s="729"/>
      <c r="T41" s="729"/>
      <c r="U41" s="729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</row>
    <row r="42" spans="1:31">
      <c r="A42" s="729"/>
      <c r="B42" s="875" t="s">
        <v>280</v>
      </c>
      <c r="C42" s="620">
        <f t="shared" ref="C42:O42" si="3">IF(C30=0,0,C41/C30)</f>
        <v>0.10369250369794365</v>
      </c>
      <c r="D42" s="620">
        <f t="shared" si="3"/>
        <v>7.2625097821285692E-2</v>
      </c>
      <c r="E42" s="620">
        <f t="shared" si="3"/>
        <v>-4.8203331193644387E-2</v>
      </c>
      <c r="F42" s="620">
        <f t="shared" si="3"/>
        <v>9.4051593341890386E-4</v>
      </c>
      <c r="G42" s="620">
        <f t="shared" si="3"/>
        <v>0.13112284871442573</v>
      </c>
      <c r="H42" s="620">
        <f t="shared" si="3"/>
        <v>4.4372217646511045E-2</v>
      </c>
      <c r="I42" s="620">
        <f t="shared" si="3"/>
        <v>3.6339748989481467E-2</v>
      </c>
      <c r="J42" s="623">
        <f t="shared" si="3"/>
        <v>0.30604349804467113</v>
      </c>
      <c r="K42" s="623">
        <f t="shared" si="3"/>
        <v>0.32490466367096016</v>
      </c>
      <c r="L42" s="623">
        <f t="shared" si="3"/>
        <v>0.34180292173246229</v>
      </c>
      <c r="M42" s="623">
        <f t="shared" si="3"/>
        <v>0.35111637647926497</v>
      </c>
      <c r="N42" s="623">
        <f t="shared" si="3"/>
        <v>0.36518657049044789</v>
      </c>
      <c r="O42" s="870">
        <f t="shared" si="3"/>
        <v>0.23156080413385027</v>
      </c>
      <c r="P42" s="620">
        <f>IF(P30=0,0,P41/P30)</f>
        <v>4.7887637007409514E-2</v>
      </c>
      <c r="Q42" s="729"/>
      <c r="R42" s="729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</row>
    <row r="43" spans="1:31">
      <c r="A43" s="729"/>
      <c r="B43" s="875"/>
      <c r="C43" s="876"/>
      <c r="D43" s="876"/>
      <c r="E43" s="876"/>
      <c r="F43" s="876"/>
      <c r="G43" s="876"/>
      <c r="H43" s="876"/>
      <c r="I43" s="876"/>
      <c r="J43" s="876"/>
      <c r="K43" s="876"/>
      <c r="L43" s="876"/>
      <c r="M43" s="876"/>
      <c r="N43" s="876"/>
      <c r="O43" s="876"/>
      <c r="P43" s="674"/>
      <c r="Q43" s="729"/>
      <c r="R43" s="729"/>
      <c r="S43" s="729"/>
      <c r="T43" s="729"/>
      <c r="U43" s="729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</row>
    <row r="44" spans="1:31">
      <c r="A44" s="729"/>
      <c r="B44" s="264" t="s">
        <v>1205</v>
      </c>
      <c r="C44" s="264"/>
      <c r="D44" s="264"/>
      <c r="E44" s="264"/>
      <c r="F44" s="264"/>
      <c r="G44" s="264"/>
      <c r="H44" s="876"/>
      <c r="I44" s="876"/>
      <c r="J44" s="876"/>
      <c r="K44" s="876"/>
      <c r="L44" s="106" t="s">
        <v>272</v>
      </c>
      <c r="M44" s="876"/>
      <c r="N44" s="876"/>
      <c r="O44" s="876"/>
      <c r="P44" s="674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</row>
    <row r="45" spans="1:31">
      <c r="A45" s="729"/>
      <c r="B45" s="781" t="s">
        <v>296</v>
      </c>
      <c r="C45" s="876"/>
      <c r="D45" s="876"/>
      <c r="E45" s="876"/>
      <c r="F45" s="876"/>
      <c r="G45" s="876"/>
      <c r="H45" s="876"/>
      <c r="I45" s="876"/>
      <c r="J45" s="876"/>
      <c r="K45" s="876"/>
      <c r="L45" s="877" t="s">
        <v>297</v>
      </c>
      <c r="M45" s="878">
        <f>Inputs!$C$6</f>
        <v>3690</v>
      </c>
      <c r="N45" s="876"/>
      <c r="O45" s="876"/>
      <c r="P45" s="674"/>
      <c r="Q45" s="729"/>
      <c r="R45" s="729"/>
      <c r="S45" s="729"/>
      <c r="T45" s="729"/>
      <c r="U45" s="729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</row>
    <row r="46" spans="1:31">
      <c r="A46" s="729"/>
      <c r="B46" s="875"/>
      <c r="C46" s="876"/>
      <c r="D46" s="876"/>
      <c r="E46" s="876"/>
      <c r="F46" s="876"/>
      <c r="G46" s="876"/>
      <c r="H46" s="876"/>
      <c r="I46" s="876"/>
      <c r="J46" s="876"/>
      <c r="K46" s="876"/>
      <c r="L46" s="876"/>
      <c r="M46" s="876"/>
      <c r="N46" s="876"/>
      <c r="O46" s="876"/>
      <c r="P46" s="674"/>
      <c r="Q46" s="729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</row>
    <row r="47" spans="1:31" ht="30" customHeight="1" thickBot="1">
      <c r="A47" s="729"/>
      <c r="B47" s="573" t="s">
        <v>298</v>
      </c>
      <c r="C47" s="572" t="s">
        <v>51</v>
      </c>
      <c r="D47" s="572" t="s">
        <v>52</v>
      </c>
      <c r="E47" s="572" t="s">
        <v>53</v>
      </c>
      <c r="F47" s="572" t="s">
        <v>54</v>
      </c>
      <c r="G47" s="572" t="s">
        <v>55</v>
      </c>
      <c r="H47" s="572" t="s">
        <v>56</v>
      </c>
      <c r="I47" s="572" t="s">
        <v>57</v>
      </c>
      <c r="J47" s="572" t="s">
        <v>58</v>
      </c>
      <c r="K47" s="572" t="s">
        <v>59</v>
      </c>
      <c r="L47" s="572" t="s">
        <v>60</v>
      </c>
      <c r="M47" s="572" t="s">
        <v>61</v>
      </c>
      <c r="N47" s="572" t="s">
        <v>62</v>
      </c>
      <c r="O47" s="572" t="s">
        <v>16</v>
      </c>
      <c r="P47" s="461"/>
      <c r="Q47" s="729"/>
      <c r="R47" s="729"/>
      <c r="S47" s="729"/>
      <c r="T47" s="729"/>
      <c r="U47" s="729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</row>
    <row r="48" spans="1:31">
      <c r="A48" s="729"/>
      <c r="B48" s="879" t="s">
        <v>299</v>
      </c>
      <c r="C48" s="880">
        <f>'Consol. Pptos'!D206</f>
        <v>165920.7861788618</v>
      </c>
      <c r="D48" s="880">
        <f>'Consol. Pptos'!E206</f>
        <v>201685.13197831978</v>
      </c>
      <c r="E48" s="880">
        <f>'Consol. Pptos'!F206</f>
        <v>213290.2945799458</v>
      </c>
      <c r="F48" s="880">
        <f>'Consol. Pptos'!G206</f>
        <v>203487.17127371274</v>
      </c>
      <c r="G48" s="880">
        <f>'Consol. Pptos'!H206</f>
        <v>0</v>
      </c>
      <c r="H48" s="880">
        <f>'Consol. Pptos'!I206</f>
        <v>0</v>
      </c>
      <c r="I48" s="880">
        <f>'Consol. Pptos'!J206</f>
        <v>0</v>
      </c>
      <c r="J48" s="880">
        <f>'Consol. Pptos'!K206</f>
        <v>0</v>
      </c>
      <c r="K48" s="880">
        <f>'Consol. Pptos'!L206</f>
        <v>0</v>
      </c>
      <c r="L48" s="880">
        <f>'Consol. Pptos'!M206</f>
        <v>0</v>
      </c>
      <c r="M48" s="880">
        <f>'Consol. Pptos'!N206</f>
        <v>0</v>
      </c>
      <c r="N48" s="880">
        <f>'Consol. Pptos'!O206</f>
        <v>0</v>
      </c>
      <c r="O48" s="418">
        <f>'Consol. Pptos'!P206</f>
        <v>784383.38401084009</v>
      </c>
      <c r="P48" s="674"/>
      <c r="Q48" s="729"/>
      <c r="R48" s="729"/>
      <c r="S48" s="729"/>
      <c r="T48" s="729"/>
      <c r="U48" s="729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</row>
    <row r="49" spans="1:31">
      <c r="A49" s="729"/>
      <c r="B49" s="881" t="s">
        <v>300</v>
      </c>
      <c r="C49" s="882">
        <f>'Consol. Pptos'!D207</f>
        <v>0</v>
      </c>
      <c r="D49" s="882">
        <f>'Consol. Pptos'!E207</f>
        <v>0</v>
      </c>
      <c r="E49" s="882">
        <f>'Consol. Pptos'!F207</f>
        <v>0</v>
      </c>
      <c r="F49" s="882">
        <f>'Consol. Pptos'!G207</f>
        <v>0</v>
      </c>
      <c r="G49" s="882">
        <f>'Consol. Pptos'!H207</f>
        <v>216802.16802168021</v>
      </c>
      <c r="H49" s="882">
        <f>'Consol. Pptos'!I207</f>
        <v>216802.16802168021</v>
      </c>
      <c r="I49" s="882">
        <f>'Consol. Pptos'!J207</f>
        <v>216802.16802168021</v>
      </c>
      <c r="J49" s="882">
        <f>'Consol. Pptos'!K207</f>
        <v>216802.16802168021</v>
      </c>
      <c r="K49" s="882">
        <f>'Consol. Pptos'!L207</f>
        <v>216802.16802168021</v>
      </c>
      <c r="L49" s="882">
        <f>'Consol. Pptos'!M207</f>
        <v>216802.16802168021</v>
      </c>
      <c r="M49" s="882">
        <f>'Consol. Pptos'!N207</f>
        <v>216802.16802168021</v>
      </c>
      <c r="N49" s="882">
        <f>'Consol. Pptos'!O207</f>
        <v>216802.16802168021</v>
      </c>
      <c r="O49" s="419">
        <f>'Consol. Pptos'!P207</f>
        <v>1734417.3441734416</v>
      </c>
      <c r="P49" s="265"/>
      <c r="Q49" s="729"/>
      <c r="R49" s="729"/>
      <c r="S49" s="729"/>
      <c r="T49" s="729"/>
      <c r="U49" s="729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</row>
    <row r="50" spans="1:31">
      <c r="A50" s="729"/>
      <c r="B50" s="881" t="s">
        <v>301</v>
      </c>
      <c r="C50" s="882">
        <f>'Consol. Pptos'!D208</f>
        <v>0</v>
      </c>
      <c r="D50" s="882">
        <f>'Consol. Pptos'!E208</f>
        <v>0</v>
      </c>
      <c r="E50" s="882">
        <f>'Consol. Pptos'!F208</f>
        <v>0</v>
      </c>
      <c r="F50" s="882">
        <f>'Consol. Pptos'!G208</f>
        <v>0</v>
      </c>
      <c r="G50" s="882">
        <f>'Consol. Pptos'!H208</f>
        <v>16622.222222222223</v>
      </c>
      <c r="H50" s="882">
        <f>'Consol. Pptos'!I208</f>
        <v>24933.333333333332</v>
      </c>
      <c r="I50" s="882">
        <f>'Consol. Pptos'!J208</f>
        <v>33244.444444444445</v>
      </c>
      <c r="J50" s="882">
        <f>'Consol. Pptos'!K208</f>
        <v>41555.555555555555</v>
      </c>
      <c r="K50" s="882">
        <f>'Consol. Pptos'!L208</f>
        <v>49866.666666666664</v>
      </c>
      <c r="L50" s="882">
        <f>'Consol. Pptos'!M208</f>
        <v>58177.777777777781</v>
      </c>
      <c r="M50" s="882">
        <f>'Consol. Pptos'!N208</f>
        <v>66488.888888888891</v>
      </c>
      <c r="N50" s="882">
        <f>'Consol. Pptos'!O208</f>
        <v>74800</v>
      </c>
      <c r="O50" s="419">
        <f>'Consol. Pptos'!P208</f>
        <v>365688.88888888888</v>
      </c>
      <c r="P50" s="265"/>
      <c r="Q50" s="729"/>
      <c r="R50" s="729"/>
      <c r="S50" s="729"/>
      <c r="T50" s="729"/>
      <c r="U50" s="729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</row>
    <row r="51" spans="1:31">
      <c r="A51" s="729"/>
      <c r="B51" s="881" t="s">
        <v>302</v>
      </c>
      <c r="C51" s="882">
        <f>'Consol. Pptos'!D214</f>
        <v>0</v>
      </c>
      <c r="D51" s="882">
        <f>'Consol. Pptos'!E214</f>
        <v>0</v>
      </c>
      <c r="E51" s="882">
        <f>'Consol. Pptos'!F214</f>
        <v>0</v>
      </c>
      <c r="F51" s="882">
        <f>'Consol. Pptos'!G214</f>
        <v>0</v>
      </c>
      <c r="G51" s="882">
        <f>'Consol. Pptos'!H214</f>
        <v>2800</v>
      </c>
      <c r="H51" s="882">
        <f>'Consol. Pptos'!I214</f>
        <v>4200</v>
      </c>
      <c r="I51" s="882">
        <f>'Consol. Pptos'!J214</f>
        <v>5600</v>
      </c>
      <c r="J51" s="882">
        <f>'Consol. Pptos'!K214</f>
        <v>7000</v>
      </c>
      <c r="K51" s="882">
        <f>'Consol. Pptos'!L214</f>
        <v>8400</v>
      </c>
      <c r="L51" s="882">
        <f>'Consol. Pptos'!M214</f>
        <v>9800</v>
      </c>
      <c r="M51" s="882">
        <f>'Consol. Pptos'!N214</f>
        <v>11200</v>
      </c>
      <c r="N51" s="882">
        <f>'Consol. Pptos'!O214</f>
        <v>12600</v>
      </c>
      <c r="O51" s="419">
        <f>'Consol. Pptos'!P214</f>
        <v>61600</v>
      </c>
      <c r="P51" s="674"/>
      <c r="Q51" s="729"/>
      <c r="R51" s="729"/>
      <c r="S51" s="729"/>
      <c r="T51" s="729"/>
      <c r="U51" s="729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</row>
    <row r="52" spans="1:31">
      <c r="A52" s="729"/>
      <c r="B52" s="875" t="s">
        <v>303</v>
      </c>
      <c r="C52" s="883">
        <f>'Consol. Pptos'!D215</f>
        <v>0</v>
      </c>
      <c r="D52" s="883">
        <f>'Consol. Pptos'!E215</f>
        <v>0</v>
      </c>
      <c r="E52" s="883">
        <f>'Consol. Pptos'!F215</f>
        <v>0</v>
      </c>
      <c r="F52" s="883">
        <f>'Consol. Pptos'!G215</f>
        <v>0</v>
      </c>
      <c r="G52" s="883">
        <f>'Consol. Pptos'!H215</f>
        <v>0</v>
      </c>
      <c r="H52" s="883">
        <f>'Consol. Pptos'!I215</f>
        <v>18107.142857142855</v>
      </c>
      <c r="I52" s="883">
        <f>'Consol. Pptos'!J215</f>
        <v>36214.28571428571</v>
      </c>
      <c r="J52" s="883">
        <f>'Consol. Pptos'!K215</f>
        <v>54321.428571428572</v>
      </c>
      <c r="K52" s="883">
        <f>'Consol. Pptos'!L215</f>
        <v>72428.57142857142</v>
      </c>
      <c r="L52" s="883">
        <f>'Consol. Pptos'!M215</f>
        <v>90535.71428571429</v>
      </c>
      <c r="M52" s="883">
        <f>'Consol. Pptos'!N215</f>
        <v>108642.85714285714</v>
      </c>
      <c r="N52" s="883">
        <f>'Consol. Pptos'!O215</f>
        <v>126750</v>
      </c>
      <c r="O52" s="420">
        <f>'Consol. Pptos'!P215</f>
        <v>507000</v>
      </c>
      <c r="P52" s="265"/>
      <c r="Q52" s="729"/>
      <c r="R52" s="729"/>
      <c r="S52" s="729"/>
      <c r="T52" s="729"/>
      <c r="U52" s="729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</row>
    <row r="53" spans="1:31">
      <c r="A53" s="729"/>
      <c r="B53" s="875" t="s">
        <v>304</v>
      </c>
      <c r="C53" s="883">
        <f>'Consol. Pptos'!D220</f>
        <v>0</v>
      </c>
      <c r="D53" s="883">
        <f>'Consol. Pptos'!E220</f>
        <v>0</v>
      </c>
      <c r="E53" s="883">
        <f>'Consol. Pptos'!F220</f>
        <v>0</v>
      </c>
      <c r="F53" s="883">
        <f>'Consol. Pptos'!G220</f>
        <v>0</v>
      </c>
      <c r="G53" s="883">
        <f>'Consol. Pptos'!H220</f>
        <v>9777.7777777777774</v>
      </c>
      <c r="H53" s="883">
        <f>'Consol. Pptos'!I220</f>
        <v>14666.666666666666</v>
      </c>
      <c r="I53" s="883">
        <f>'Consol. Pptos'!J220</f>
        <v>19555.555555555555</v>
      </c>
      <c r="J53" s="883">
        <f>'Consol. Pptos'!K220</f>
        <v>24444.444444444445</v>
      </c>
      <c r="K53" s="883">
        <f>'Consol. Pptos'!L220</f>
        <v>29333.333333333332</v>
      </c>
      <c r="L53" s="883">
        <f>'Consol. Pptos'!M220</f>
        <v>34222.222222222219</v>
      </c>
      <c r="M53" s="883">
        <f>'Consol. Pptos'!N220</f>
        <v>39111.111111111109</v>
      </c>
      <c r="N53" s="883">
        <f>'Consol. Pptos'!O220</f>
        <v>44000</v>
      </c>
      <c r="O53" s="420">
        <f>'Consol. Pptos'!P220</f>
        <v>215111.11111111112</v>
      </c>
      <c r="P53" s="674"/>
      <c r="Q53" s="729"/>
      <c r="R53" s="729"/>
      <c r="S53" s="729"/>
      <c r="T53" s="729"/>
      <c r="U53" s="729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</row>
    <row r="54" spans="1:31">
      <c r="A54" s="729"/>
      <c r="B54" s="266" t="s">
        <v>305</v>
      </c>
      <c r="C54" s="421">
        <f>'Consol. Pptos'!D224</f>
        <v>0</v>
      </c>
      <c r="D54" s="421">
        <f>'Consol. Pptos'!E224</f>
        <v>0</v>
      </c>
      <c r="E54" s="421">
        <f>'Consol. Pptos'!F224</f>
        <v>0</v>
      </c>
      <c r="F54" s="421">
        <f>'Consol. Pptos'!G224</f>
        <v>0</v>
      </c>
      <c r="G54" s="421">
        <f>'Consol. Pptos'!H224</f>
        <v>0</v>
      </c>
      <c r="H54" s="421">
        <f>'Consol. Pptos'!I224</f>
        <v>4167</v>
      </c>
      <c r="I54" s="421">
        <f>'Consol. Pptos'!J224</f>
        <v>4167</v>
      </c>
      <c r="J54" s="421">
        <f>'Consol. Pptos'!K224</f>
        <v>122000</v>
      </c>
      <c r="K54" s="421">
        <f>'Consol. Pptos'!L224</f>
        <v>122000</v>
      </c>
      <c r="L54" s="421">
        <f>'Consol. Pptos'!M224</f>
        <v>122000</v>
      </c>
      <c r="M54" s="421">
        <f>'Consol. Pptos'!N224</f>
        <v>122000</v>
      </c>
      <c r="N54" s="421">
        <f>'Consol. Pptos'!O224</f>
        <v>122000</v>
      </c>
      <c r="O54" s="422">
        <f>'Consol. Pptos'!P224</f>
        <v>618334</v>
      </c>
      <c r="P54" s="265"/>
      <c r="Q54" s="729"/>
      <c r="R54" s="729"/>
      <c r="S54" s="729"/>
      <c r="T54" s="729"/>
      <c r="U54" s="729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</row>
    <row r="55" spans="1:31">
      <c r="A55" s="729"/>
      <c r="B55" s="267" t="s">
        <v>306</v>
      </c>
      <c r="C55" s="423">
        <f>'Consol. Pptos'!D225</f>
        <v>0</v>
      </c>
      <c r="D55" s="423">
        <f>'Consol. Pptos'!E225</f>
        <v>0</v>
      </c>
      <c r="E55" s="423">
        <f>'Consol. Pptos'!F225</f>
        <v>0</v>
      </c>
      <c r="F55" s="423">
        <f>'Consol. Pptos'!G225</f>
        <v>0</v>
      </c>
      <c r="G55" s="423">
        <f>'Consol. Pptos'!H225</f>
        <v>130000</v>
      </c>
      <c r="H55" s="423">
        <f>'Consol. Pptos'!I225</f>
        <v>0</v>
      </c>
      <c r="I55" s="423">
        <f>'Consol. Pptos'!J225</f>
        <v>0</v>
      </c>
      <c r="J55" s="423">
        <f>'Consol. Pptos'!K225</f>
        <v>0</v>
      </c>
      <c r="K55" s="423">
        <f>'Consol. Pptos'!L225</f>
        <v>0</v>
      </c>
      <c r="L55" s="423">
        <f>'Consol. Pptos'!M225</f>
        <v>0</v>
      </c>
      <c r="M55" s="423">
        <f>'Consol. Pptos'!N225</f>
        <v>0</v>
      </c>
      <c r="N55" s="423">
        <f>'Consol. Pptos'!O225</f>
        <v>0</v>
      </c>
      <c r="O55" s="424">
        <f>'Consol. Pptos'!P225</f>
        <v>130000</v>
      </c>
      <c r="P55" s="265"/>
      <c r="Q55" s="729"/>
      <c r="R55" s="729"/>
      <c r="S55" s="729"/>
      <c r="T55" s="729"/>
      <c r="U55" s="729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</row>
    <row r="56" spans="1:31">
      <c r="A56" s="729"/>
      <c r="B56" s="268" t="s">
        <v>307</v>
      </c>
      <c r="C56" s="425">
        <f>'Consol. Pptos'!D243</f>
        <v>0</v>
      </c>
      <c r="D56" s="425">
        <f>'Consol. Pptos'!E243</f>
        <v>0</v>
      </c>
      <c r="E56" s="425">
        <f>'Consol. Pptos'!F243</f>
        <v>0</v>
      </c>
      <c r="F56" s="425">
        <f>'Consol. Pptos'!G243</f>
        <v>0</v>
      </c>
      <c r="G56" s="425">
        <f>'Consol. Pptos'!H243</f>
        <v>0</v>
      </c>
      <c r="H56" s="425">
        <f>'Consol. Pptos'!I243</f>
        <v>0</v>
      </c>
      <c r="I56" s="425">
        <f>'Consol. Pptos'!J243</f>
        <v>0</v>
      </c>
      <c r="J56" s="425">
        <f>'Consol. Pptos'!K243</f>
        <v>0</v>
      </c>
      <c r="K56" s="425">
        <f>'Consol. Pptos'!L243</f>
        <v>0</v>
      </c>
      <c r="L56" s="425">
        <f>'Consol. Pptos'!M243</f>
        <v>0</v>
      </c>
      <c r="M56" s="425">
        <f>'Consol. Pptos'!N226</f>
        <v>-56000</v>
      </c>
      <c r="N56" s="425">
        <f>'Consol. Pptos'!O226</f>
        <v>-63000</v>
      </c>
      <c r="O56" s="426">
        <f>'Consol. Pptos'!P226</f>
        <v>-308000</v>
      </c>
      <c r="P56" s="674"/>
      <c r="Q56" s="729"/>
      <c r="R56" s="729"/>
      <c r="S56" s="729"/>
      <c r="T56" s="729"/>
      <c r="U56" s="729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</row>
    <row r="57" spans="1:31">
      <c r="A57" s="729"/>
      <c r="B57" s="269" t="s">
        <v>308</v>
      </c>
      <c r="C57" s="427">
        <f>'Consol. Pptos'!D244</f>
        <v>0</v>
      </c>
      <c r="D57" s="427">
        <f>'Consol. Pptos'!E244</f>
        <v>0</v>
      </c>
      <c r="E57" s="427">
        <f>'Consol. Pptos'!F244</f>
        <v>0</v>
      </c>
      <c r="F57" s="427">
        <f>'Consol. Pptos'!G244</f>
        <v>0</v>
      </c>
      <c r="G57" s="427">
        <f>'Consol. Pptos'!H244</f>
        <v>0</v>
      </c>
      <c r="H57" s="427">
        <f>'Consol. Pptos'!I244</f>
        <v>0</v>
      </c>
      <c r="I57" s="427">
        <f>'Consol. Pptos'!J244</f>
        <v>0</v>
      </c>
      <c r="J57" s="427">
        <f>'Consol. Pptos'!K244</f>
        <v>0</v>
      </c>
      <c r="K57" s="427">
        <f>'Consol. Pptos'!L244</f>
        <v>0</v>
      </c>
      <c r="L57" s="427">
        <f>'Consol. Pptos'!M244</f>
        <v>0</v>
      </c>
      <c r="M57" s="427">
        <f>'Consol. Pptos'!N227</f>
        <v>-7466.666666666667</v>
      </c>
      <c r="N57" s="427">
        <f>'Consol. Pptos'!O227</f>
        <v>-8400</v>
      </c>
      <c r="O57" s="428">
        <f>'Consol. Pptos'!P227</f>
        <v>-41066.666666666664</v>
      </c>
      <c r="P57" s="674"/>
      <c r="Q57" s="729"/>
      <c r="R57" s="729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</row>
    <row r="58" spans="1:31">
      <c r="A58" s="729"/>
      <c r="B58" s="574" t="s">
        <v>309</v>
      </c>
      <c r="C58" s="575">
        <f>'Consol. Pptos'!D228</f>
        <v>165920.7861788618</v>
      </c>
      <c r="D58" s="575">
        <f>'Consol. Pptos'!E228</f>
        <v>201685.13197831978</v>
      </c>
      <c r="E58" s="575">
        <f>'Consol. Pptos'!F228</f>
        <v>213290.2945799458</v>
      </c>
      <c r="F58" s="575">
        <f>'Consol. Pptos'!G228</f>
        <v>203487.17127371274</v>
      </c>
      <c r="G58" s="575">
        <f>'Consol. Pptos'!H228</f>
        <v>360135.50135501358</v>
      </c>
      <c r="H58" s="575">
        <f>'Consol. Pptos'!I228</f>
        <v>259076.31087882307</v>
      </c>
      <c r="I58" s="575">
        <f>'Consol. Pptos'!J228</f>
        <v>283850.12040263263</v>
      </c>
      <c r="J58" s="575">
        <f>'Consol. Pptos'!K228</f>
        <v>426456.92992644216</v>
      </c>
      <c r="K58" s="575">
        <f>'Consol. Pptos'!L228</f>
        <v>451230.73945025163</v>
      </c>
      <c r="L58" s="575">
        <f>'Consol. Pptos'!M228</f>
        <v>476004.54897406121</v>
      </c>
      <c r="M58" s="575">
        <f>'Consol. Pptos'!N228</f>
        <v>500778.35849787074</v>
      </c>
      <c r="N58" s="575">
        <f>'Consol. Pptos'!O228</f>
        <v>525552.16802168021</v>
      </c>
      <c r="O58" s="575">
        <f>'Consol. Pptos'!P228</f>
        <v>4067468.0615176153</v>
      </c>
      <c r="P58" s="679"/>
      <c r="Q58" s="729"/>
      <c r="R58" s="729"/>
      <c r="S58" s="729"/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</row>
    <row r="59" spans="1:31">
      <c r="A59" s="729"/>
      <c r="B59" s="875"/>
      <c r="C59" s="876"/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O59" s="876"/>
      <c r="P59" s="674"/>
      <c r="Q59" s="729"/>
      <c r="R59" s="729"/>
      <c r="S59" s="729"/>
      <c r="T59" s="729"/>
      <c r="U59" s="729"/>
      <c r="V59" s="729"/>
      <c r="W59" s="729"/>
      <c r="X59" s="729"/>
      <c r="Y59" s="729"/>
      <c r="Z59" s="729"/>
      <c r="AA59" s="729"/>
      <c r="AB59" s="729"/>
      <c r="AC59" s="729"/>
      <c r="AD59" s="729"/>
      <c r="AE59" s="729"/>
    </row>
    <row r="60" spans="1:31">
      <c r="A60" s="729"/>
      <c r="B60" s="674"/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729"/>
      <c r="R60" s="729"/>
      <c r="S60" s="729"/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</row>
    <row r="61" spans="1:31" ht="15" thickBot="1">
      <c r="A61" s="729"/>
      <c r="B61" s="260" t="s">
        <v>1206</v>
      </c>
      <c r="C61" s="260"/>
      <c r="D61" s="260"/>
      <c r="E61" s="260"/>
      <c r="F61" s="260"/>
      <c r="G61" s="864"/>
      <c r="H61" s="864"/>
      <c r="I61" s="864"/>
      <c r="J61" s="864"/>
      <c r="K61" s="864"/>
      <c r="L61" s="261" t="s">
        <v>310</v>
      </c>
      <c r="M61" s="864"/>
      <c r="N61" s="864"/>
      <c r="O61" s="864"/>
      <c r="P61" s="674"/>
      <c r="Q61" s="729"/>
      <c r="R61" s="729"/>
      <c r="S61" s="729"/>
      <c r="T61" s="729"/>
      <c r="U61" s="729"/>
      <c r="V61" s="729"/>
      <c r="W61" s="729"/>
      <c r="X61" s="729"/>
      <c r="Y61" s="729"/>
      <c r="Z61" s="729"/>
      <c r="AA61" s="729"/>
      <c r="AB61" s="729"/>
      <c r="AC61" s="729"/>
      <c r="AD61" s="729"/>
      <c r="AE61" s="729"/>
    </row>
    <row r="62" spans="1:31">
      <c r="A62" s="729"/>
      <c r="B62" s="682" t="s">
        <v>311</v>
      </c>
      <c r="C62" s="682"/>
      <c r="D62" s="682"/>
      <c r="E62" s="682"/>
      <c r="F62" s="682"/>
      <c r="G62" s="682"/>
      <c r="H62" s="682"/>
      <c r="I62" s="682"/>
      <c r="J62" s="682"/>
      <c r="K62" s="682"/>
      <c r="L62" s="682"/>
      <c r="M62" s="682"/>
      <c r="N62" s="682"/>
      <c r="O62" s="682"/>
      <c r="P62" s="682"/>
      <c r="Q62" s="729"/>
      <c r="R62" s="729"/>
      <c r="S62" s="729"/>
      <c r="T62" s="729"/>
      <c r="U62" s="729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</row>
    <row r="63" spans="1:31">
      <c r="A63" s="729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729"/>
      <c r="R63" s="729"/>
      <c r="S63" s="729"/>
      <c r="T63" s="729"/>
      <c r="U63" s="729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</row>
    <row r="64" spans="1:31" ht="30" customHeight="1">
      <c r="A64" s="729"/>
      <c r="B64" s="467" t="s">
        <v>281</v>
      </c>
      <c r="C64" s="461" t="s">
        <v>51</v>
      </c>
      <c r="D64" s="576" t="s">
        <v>52</v>
      </c>
      <c r="E64" s="576" t="s">
        <v>53</v>
      </c>
      <c r="F64" s="576" t="s">
        <v>54</v>
      </c>
      <c r="G64" s="576" t="s">
        <v>55</v>
      </c>
      <c r="H64" s="576" t="s">
        <v>56</v>
      </c>
      <c r="I64" s="576" t="s">
        <v>57</v>
      </c>
      <c r="J64" s="576" t="s">
        <v>58</v>
      </c>
      <c r="K64" s="576" t="s">
        <v>59</v>
      </c>
      <c r="L64" s="576" t="s">
        <v>60</v>
      </c>
      <c r="M64" s="576" t="s">
        <v>61</v>
      </c>
      <c r="N64" s="576" t="s">
        <v>62</v>
      </c>
      <c r="O64" s="461" t="s">
        <v>16</v>
      </c>
      <c r="P64" s="461"/>
      <c r="Q64" s="729"/>
      <c r="R64" s="72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</row>
    <row r="65" spans="1:31">
      <c r="A65" s="729"/>
      <c r="B65" s="865" t="s">
        <v>276</v>
      </c>
      <c r="C65" s="884">
        <v>186232</v>
      </c>
      <c r="D65" s="884">
        <v>354321</v>
      </c>
      <c r="E65" s="884">
        <v>396239</v>
      </c>
      <c r="F65" s="884">
        <v>359191</v>
      </c>
      <c r="G65" s="884">
        <v>403080</v>
      </c>
      <c r="H65" s="884">
        <v>375559</v>
      </c>
      <c r="I65" s="884">
        <v>388085</v>
      </c>
      <c r="J65" s="884">
        <v>383589</v>
      </c>
      <c r="K65" s="884">
        <v>424263</v>
      </c>
      <c r="L65" s="884">
        <v>419954</v>
      </c>
      <c r="M65" s="884">
        <v>423217</v>
      </c>
      <c r="N65" s="884">
        <v>441996</v>
      </c>
      <c r="O65" s="412">
        <f t="shared" ref="O65:O74" si="4">SUM(C65:N65)</f>
        <v>4555726</v>
      </c>
      <c r="P65" s="674"/>
      <c r="Q65" s="729"/>
      <c r="R65" s="729"/>
      <c r="S65" s="729"/>
      <c r="T65" s="729"/>
      <c r="U65" s="729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</row>
    <row r="66" spans="1:31">
      <c r="A66" s="729"/>
      <c r="B66" s="885" t="s">
        <v>255</v>
      </c>
      <c r="C66" s="850">
        <v>111362</v>
      </c>
      <c r="D66" s="884">
        <v>111362</v>
      </c>
      <c r="E66" s="884">
        <v>111362</v>
      </c>
      <c r="F66" s="884">
        <v>111362</v>
      </c>
      <c r="G66" s="884">
        <v>111362</v>
      </c>
      <c r="H66" s="884">
        <v>111362</v>
      </c>
      <c r="I66" s="884">
        <v>111362</v>
      </c>
      <c r="J66" s="884">
        <v>111362</v>
      </c>
      <c r="K66" s="884">
        <v>111362</v>
      </c>
      <c r="L66" s="884">
        <v>111362</v>
      </c>
      <c r="M66" s="884">
        <v>111362</v>
      </c>
      <c r="N66" s="884">
        <v>111362</v>
      </c>
      <c r="O66" s="416">
        <f t="shared" si="4"/>
        <v>1336344</v>
      </c>
      <c r="P66" s="674"/>
      <c r="Q66" s="729"/>
      <c r="R66" s="729"/>
      <c r="S66" s="729"/>
      <c r="T66" s="729"/>
      <c r="U66" s="729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</row>
    <row r="67" spans="1:31">
      <c r="A67" s="729"/>
      <c r="B67" s="865" t="s">
        <v>277</v>
      </c>
      <c r="C67" s="867">
        <f t="shared" ref="C67:N67" si="5">C65-C66</f>
        <v>74870</v>
      </c>
      <c r="D67" s="867">
        <f t="shared" si="5"/>
        <v>242959</v>
      </c>
      <c r="E67" s="867">
        <f t="shared" si="5"/>
        <v>284877</v>
      </c>
      <c r="F67" s="867">
        <f t="shared" si="5"/>
        <v>247829</v>
      </c>
      <c r="G67" s="867">
        <f t="shared" si="5"/>
        <v>291718</v>
      </c>
      <c r="H67" s="867">
        <f t="shared" si="5"/>
        <v>264197</v>
      </c>
      <c r="I67" s="867">
        <f t="shared" si="5"/>
        <v>276723</v>
      </c>
      <c r="J67" s="867">
        <f t="shared" si="5"/>
        <v>272227</v>
      </c>
      <c r="K67" s="867">
        <f t="shared" si="5"/>
        <v>312901</v>
      </c>
      <c r="L67" s="867">
        <f t="shared" si="5"/>
        <v>308592</v>
      </c>
      <c r="M67" s="867">
        <f t="shared" si="5"/>
        <v>311855</v>
      </c>
      <c r="N67" s="867">
        <f t="shared" si="5"/>
        <v>330634</v>
      </c>
      <c r="O67" s="412">
        <f t="shared" si="4"/>
        <v>3219382</v>
      </c>
      <c r="P67" s="674"/>
      <c r="Q67" s="729"/>
      <c r="R67" s="729"/>
      <c r="S67" s="729"/>
      <c r="T67" s="729"/>
      <c r="U67" s="729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</row>
    <row r="68" spans="1:31">
      <c r="A68" s="729"/>
      <c r="B68" s="885" t="s">
        <v>283</v>
      </c>
      <c r="C68" s="850">
        <v>33545</v>
      </c>
      <c r="D68" s="850">
        <v>33545</v>
      </c>
      <c r="E68" s="850">
        <v>33545</v>
      </c>
      <c r="F68" s="850">
        <v>33545</v>
      </c>
      <c r="G68" s="850">
        <v>33545</v>
      </c>
      <c r="H68" s="850">
        <v>33545</v>
      </c>
      <c r="I68" s="850">
        <v>33545</v>
      </c>
      <c r="J68" s="850">
        <v>33545</v>
      </c>
      <c r="K68" s="850">
        <v>33545</v>
      </c>
      <c r="L68" s="850">
        <v>33545</v>
      </c>
      <c r="M68" s="850">
        <v>33545</v>
      </c>
      <c r="N68" s="884">
        <v>33545</v>
      </c>
      <c r="O68" s="416">
        <f t="shared" si="4"/>
        <v>402540</v>
      </c>
      <c r="P68" s="674"/>
      <c r="Q68" s="729"/>
      <c r="R68" s="729"/>
      <c r="S68" s="729"/>
      <c r="T68" s="729"/>
      <c r="U68" s="729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</row>
    <row r="69" spans="1:31">
      <c r="A69" s="729"/>
      <c r="B69" s="885" t="s">
        <v>284</v>
      </c>
      <c r="C69" s="884">
        <v>54010</v>
      </c>
      <c r="D69" s="884">
        <v>54010</v>
      </c>
      <c r="E69" s="884">
        <v>54010</v>
      </c>
      <c r="F69" s="884">
        <v>54010</v>
      </c>
      <c r="G69" s="884">
        <v>54010</v>
      </c>
      <c r="H69" s="884">
        <v>54010</v>
      </c>
      <c r="I69" s="884">
        <v>54010</v>
      </c>
      <c r="J69" s="884">
        <v>54010</v>
      </c>
      <c r="K69" s="884">
        <v>54010</v>
      </c>
      <c r="L69" s="884">
        <v>54010</v>
      </c>
      <c r="M69" s="884">
        <v>54010</v>
      </c>
      <c r="N69" s="884">
        <v>54010</v>
      </c>
      <c r="O69" s="416">
        <f t="shared" si="4"/>
        <v>648120</v>
      </c>
      <c r="P69" s="674"/>
      <c r="Q69" s="729"/>
      <c r="R69" s="729"/>
      <c r="S69" s="729"/>
      <c r="T69" s="729"/>
      <c r="U69" s="729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</row>
    <row r="70" spans="1:31">
      <c r="A70" s="729"/>
      <c r="B70" s="865" t="s">
        <v>278</v>
      </c>
      <c r="C70" s="867">
        <f t="shared" ref="C70:N70" si="6">C67-C68-C69</f>
        <v>-12685</v>
      </c>
      <c r="D70" s="867">
        <f t="shared" si="6"/>
        <v>155404</v>
      </c>
      <c r="E70" s="867">
        <f t="shared" si="6"/>
        <v>197322</v>
      </c>
      <c r="F70" s="867">
        <f t="shared" si="6"/>
        <v>160274</v>
      </c>
      <c r="G70" s="867">
        <f t="shared" si="6"/>
        <v>204163</v>
      </c>
      <c r="H70" s="867">
        <f t="shared" si="6"/>
        <v>176642</v>
      </c>
      <c r="I70" s="867">
        <f t="shared" si="6"/>
        <v>189168</v>
      </c>
      <c r="J70" s="867">
        <f t="shared" si="6"/>
        <v>184672</v>
      </c>
      <c r="K70" s="867">
        <f t="shared" si="6"/>
        <v>225346</v>
      </c>
      <c r="L70" s="867">
        <f t="shared" si="6"/>
        <v>221037</v>
      </c>
      <c r="M70" s="867">
        <f t="shared" si="6"/>
        <v>224300</v>
      </c>
      <c r="N70" s="867">
        <f t="shared" si="6"/>
        <v>243079</v>
      </c>
      <c r="O70" s="412">
        <f t="shared" si="4"/>
        <v>2168722</v>
      </c>
      <c r="P70" s="674"/>
      <c r="Q70" s="729"/>
      <c r="R70" s="729"/>
      <c r="S70" s="729"/>
      <c r="T70" s="729"/>
      <c r="U70" s="729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</row>
    <row r="71" spans="1:31">
      <c r="A71" s="729"/>
      <c r="B71" s="865" t="s">
        <v>261</v>
      </c>
      <c r="C71" s="884">
        <v>794</v>
      </c>
      <c r="D71" s="884">
        <v>794</v>
      </c>
      <c r="E71" s="884">
        <v>794</v>
      </c>
      <c r="F71" s="884">
        <v>794</v>
      </c>
      <c r="G71" s="884">
        <v>794</v>
      </c>
      <c r="H71" s="884">
        <v>794</v>
      </c>
      <c r="I71" s="884">
        <v>794</v>
      </c>
      <c r="J71" s="884">
        <v>794</v>
      </c>
      <c r="K71" s="884">
        <v>794</v>
      </c>
      <c r="L71" s="884">
        <v>794</v>
      </c>
      <c r="M71" s="884">
        <v>794</v>
      </c>
      <c r="N71" s="884">
        <v>794</v>
      </c>
      <c r="O71" s="412">
        <f t="shared" si="4"/>
        <v>9528</v>
      </c>
      <c r="P71" s="674"/>
      <c r="Q71" s="729"/>
      <c r="R71" s="729"/>
      <c r="S71" s="729"/>
      <c r="T71" s="729"/>
      <c r="U71" s="729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</row>
    <row r="72" spans="1:31">
      <c r="A72" s="729"/>
      <c r="B72" s="865" t="s">
        <v>264</v>
      </c>
      <c r="C72" s="884">
        <v>2015</v>
      </c>
      <c r="D72" s="884">
        <v>2015</v>
      </c>
      <c r="E72" s="884">
        <v>2015</v>
      </c>
      <c r="F72" s="884">
        <v>2015</v>
      </c>
      <c r="G72" s="884">
        <v>2015</v>
      </c>
      <c r="H72" s="884">
        <v>2015</v>
      </c>
      <c r="I72" s="884">
        <v>2015</v>
      </c>
      <c r="J72" s="884">
        <v>2015</v>
      </c>
      <c r="K72" s="884">
        <v>2015</v>
      </c>
      <c r="L72" s="884">
        <v>2015</v>
      </c>
      <c r="M72" s="884">
        <v>2015</v>
      </c>
      <c r="N72" s="884">
        <v>2015</v>
      </c>
      <c r="O72" s="412">
        <f t="shared" si="4"/>
        <v>24180</v>
      </c>
      <c r="P72" s="674"/>
      <c r="Q72" s="729"/>
      <c r="R72" s="729"/>
      <c r="S72" s="729"/>
      <c r="T72" s="729"/>
      <c r="U72" s="729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</row>
    <row r="73" spans="1:31">
      <c r="A73" s="729"/>
      <c r="B73" s="885" t="s">
        <v>267</v>
      </c>
      <c r="C73" s="884">
        <v>0</v>
      </c>
      <c r="D73" s="884">
        <v>53964</v>
      </c>
      <c r="E73" s="884">
        <v>68635</v>
      </c>
      <c r="F73" s="884">
        <v>55668</v>
      </c>
      <c r="G73" s="884">
        <v>71029</v>
      </c>
      <c r="H73" s="884">
        <v>61397</v>
      </c>
      <c r="I73" s="884">
        <v>65781</v>
      </c>
      <c r="J73" s="884">
        <v>64208</v>
      </c>
      <c r="K73" s="884">
        <v>78444</v>
      </c>
      <c r="L73" s="884">
        <v>76935</v>
      </c>
      <c r="M73" s="884">
        <v>78077</v>
      </c>
      <c r="N73" s="884">
        <v>84650</v>
      </c>
      <c r="O73" s="416">
        <f t="shared" si="4"/>
        <v>758788</v>
      </c>
      <c r="P73" s="674"/>
      <c r="Q73" s="729"/>
      <c r="R73" s="729"/>
      <c r="S73" s="729"/>
      <c r="T73" s="729"/>
      <c r="U73" s="729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</row>
    <row r="74" spans="1:31">
      <c r="A74" s="892"/>
      <c r="B74" s="105" t="s">
        <v>268</v>
      </c>
      <c r="C74" s="412">
        <f t="shared" ref="C74:N74" si="7">C70+C71-C72-C73</f>
        <v>-13906</v>
      </c>
      <c r="D74" s="412">
        <f t="shared" si="7"/>
        <v>100219</v>
      </c>
      <c r="E74" s="412">
        <f t="shared" si="7"/>
        <v>127466</v>
      </c>
      <c r="F74" s="412">
        <f t="shared" si="7"/>
        <v>103385</v>
      </c>
      <c r="G74" s="412">
        <f t="shared" si="7"/>
        <v>131913</v>
      </c>
      <c r="H74" s="412">
        <f t="shared" si="7"/>
        <v>114024</v>
      </c>
      <c r="I74" s="412">
        <f t="shared" si="7"/>
        <v>122166</v>
      </c>
      <c r="J74" s="412">
        <f t="shared" si="7"/>
        <v>119243</v>
      </c>
      <c r="K74" s="412">
        <f t="shared" si="7"/>
        <v>145681</v>
      </c>
      <c r="L74" s="412">
        <f t="shared" si="7"/>
        <v>142881</v>
      </c>
      <c r="M74" s="412">
        <f t="shared" si="7"/>
        <v>145002</v>
      </c>
      <c r="N74" s="412">
        <f t="shared" si="7"/>
        <v>157208</v>
      </c>
      <c r="O74" s="412">
        <f t="shared" si="4"/>
        <v>1395282</v>
      </c>
      <c r="P74" s="674"/>
      <c r="Q74" s="729"/>
      <c r="R74" s="729"/>
      <c r="S74" s="729"/>
      <c r="T74" s="729"/>
      <c r="U74" s="729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</row>
    <row r="75" spans="1:31">
      <c r="A75" s="729"/>
      <c r="B75" s="678"/>
      <c r="C75" s="886"/>
      <c r="D75" s="886"/>
      <c r="E75" s="886"/>
      <c r="F75" s="886"/>
      <c r="G75" s="886"/>
      <c r="H75" s="886"/>
      <c r="I75" s="886"/>
      <c r="J75" s="886"/>
      <c r="K75" s="886"/>
      <c r="L75" s="886"/>
      <c r="M75" s="886"/>
      <c r="N75" s="886"/>
      <c r="O75" s="886"/>
      <c r="P75" s="674"/>
      <c r="Q75" s="729"/>
      <c r="R75" s="729"/>
      <c r="S75" s="729"/>
      <c r="T75" s="729"/>
      <c r="U75" s="729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</row>
    <row r="76" spans="1:31">
      <c r="A76" s="729"/>
      <c r="B76" s="814" t="s">
        <v>312</v>
      </c>
      <c r="C76" s="887"/>
      <c r="D76" s="887"/>
      <c r="E76" s="887"/>
      <c r="F76" s="887"/>
      <c r="G76" s="887"/>
      <c r="H76" s="887"/>
      <c r="I76" s="887"/>
      <c r="J76" s="887"/>
      <c r="K76" s="887"/>
      <c r="L76" s="887"/>
      <c r="M76" s="887"/>
      <c r="N76" s="887"/>
      <c r="O76" s="887"/>
      <c r="P76" s="682"/>
      <c r="Q76" s="729"/>
      <c r="R76" s="729"/>
      <c r="S76" s="729"/>
      <c r="T76" s="729"/>
      <c r="U76" s="729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</row>
    <row r="77" spans="1:31">
      <c r="A77" s="729"/>
      <c r="B77" s="814" t="s">
        <v>313</v>
      </c>
      <c r="C77" s="887"/>
      <c r="D77" s="887"/>
      <c r="E77" s="887"/>
      <c r="F77" s="887"/>
      <c r="G77" s="887"/>
      <c r="H77" s="887"/>
      <c r="I77" s="887"/>
      <c r="J77" s="887"/>
      <c r="K77" s="887"/>
      <c r="L77" s="887"/>
      <c r="M77" s="887"/>
      <c r="N77" s="887"/>
      <c r="O77" s="887"/>
      <c r="P77" s="682"/>
      <c r="Q77" s="729"/>
      <c r="R77" s="729"/>
      <c r="S77" s="729"/>
      <c r="T77" s="729"/>
      <c r="U77" s="729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</row>
    <row r="78" spans="1:31">
      <c r="A78" s="729"/>
      <c r="B78" s="678"/>
      <c r="C78" s="886"/>
      <c r="D78" s="886"/>
      <c r="E78" s="886"/>
      <c r="F78" s="886"/>
      <c r="G78" s="886"/>
      <c r="H78" s="886"/>
      <c r="I78" s="886"/>
      <c r="J78" s="886"/>
      <c r="K78" s="886"/>
      <c r="L78" s="886"/>
      <c r="M78" s="886"/>
      <c r="N78" s="886"/>
      <c r="O78" s="886"/>
      <c r="P78" s="674"/>
      <c r="Q78" s="729"/>
      <c r="R78" s="729"/>
      <c r="S78" s="729"/>
      <c r="T78" s="729"/>
      <c r="U78" s="729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</row>
    <row r="79" spans="1:31" ht="30" customHeight="1">
      <c r="A79" s="729"/>
      <c r="B79" s="467" t="s">
        <v>281</v>
      </c>
      <c r="C79" s="577" t="s">
        <v>314</v>
      </c>
      <c r="D79" s="577" t="s">
        <v>315</v>
      </c>
      <c r="E79" s="577" t="s">
        <v>316</v>
      </c>
      <c r="F79" s="577" t="s">
        <v>317</v>
      </c>
      <c r="G79" s="577"/>
      <c r="H79" s="577"/>
      <c r="I79" s="577"/>
      <c r="J79" s="577"/>
      <c r="K79" s="577"/>
      <c r="L79" s="577"/>
      <c r="M79" s="577"/>
      <c r="N79" s="577"/>
      <c r="O79" s="577"/>
      <c r="P79" s="461"/>
      <c r="Q79" s="729"/>
      <c r="R79" s="729"/>
      <c r="S79" s="729"/>
      <c r="T79" s="729"/>
      <c r="U79" s="729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</row>
    <row r="80" spans="1:31">
      <c r="A80" s="729"/>
      <c r="B80" s="105" t="s">
        <v>276</v>
      </c>
      <c r="C80" s="412">
        <f>SUM(C65:N65)</f>
        <v>4555726</v>
      </c>
      <c r="D80" s="412">
        <f>C80*$M$3/$M$2</f>
        <v>4938456.3685636856</v>
      </c>
      <c r="E80" s="412">
        <f>D80-C80</f>
        <v>382730.36856368557</v>
      </c>
      <c r="F80" s="429">
        <f>IF(C80=0,0,E80/C80)</f>
        <v>8.4010840108401069E-2</v>
      </c>
      <c r="G80" s="886"/>
      <c r="H80" s="886"/>
      <c r="I80" s="886"/>
      <c r="J80" s="886"/>
      <c r="K80" s="886"/>
      <c r="L80" s="886"/>
      <c r="M80" s="886"/>
      <c r="N80" s="886"/>
      <c r="O80" s="886"/>
      <c r="P80" s="674"/>
      <c r="Q80" s="729"/>
      <c r="R80" s="729"/>
      <c r="S80" s="729"/>
      <c r="T80" s="729"/>
      <c r="U80" s="729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</row>
    <row r="81" spans="1:31">
      <c r="A81" s="729"/>
      <c r="B81" s="105" t="s">
        <v>277</v>
      </c>
      <c r="C81" s="412">
        <f>SUM(C65:N65)-SUM(C66:N66)</f>
        <v>3219382</v>
      </c>
      <c r="D81" s="412">
        <f>C81*$M$3/$M$2</f>
        <v>3489844.9864498647</v>
      </c>
      <c r="E81" s="412">
        <f>D81-C81</f>
        <v>270462.98644986469</v>
      </c>
      <c r="F81" s="429">
        <f>IF(C81=0,0,E81/C81)</f>
        <v>8.4010840108401139E-2</v>
      </c>
      <c r="G81" s="886"/>
      <c r="H81" s="886"/>
      <c r="I81" s="886"/>
      <c r="J81" s="886"/>
      <c r="K81" s="886"/>
      <c r="L81" s="886"/>
      <c r="M81" s="886"/>
      <c r="N81" s="886"/>
      <c r="O81" s="886"/>
      <c r="P81" s="674"/>
      <c r="Q81" s="729"/>
      <c r="R81" s="729"/>
      <c r="S81" s="729"/>
      <c r="T81" s="729"/>
      <c r="U81" s="729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</row>
    <row r="82" spans="1:31">
      <c r="A82" s="729"/>
      <c r="B82" s="105" t="s">
        <v>278</v>
      </c>
      <c r="C82" s="412">
        <f>C81-SUM(C68:N68)-SUM(C69:N69)</f>
        <v>2168722</v>
      </c>
      <c r="D82" s="412">
        <f>C82*$M$3/$M$2</f>
        <v>2350918.1571815717</v>
      </c>
      <c r="E82" s="412">
        <f>D82-C82</f>
        <v>182196.1571815717</v>
      </c>
      <c r="F82" s="429">
        <f>IF(C82=0,0,E82/C82)</f>
        <v>8.4010840108401028E-2</v>
      </c>
      <c r="G82" s="886"/>
      <c r="H82" s="886"/>
      <c r="I82" s="886"/>
      <c r="J82" s="886"/>
      <c r="K82" s="886"/>
      <c r="L82" s="886"/>
      <c r="M82" s="886"/>
      <c r="N82" s="886"/>
      <c r="O82" s="886"/>
      <c r="P82" s="674"/>
      <c r="Q82" s="729"/>
      <c r="R82" s="729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</row>
    <row r="83" spans="1:31">
      <c r="A83" s="729"/>
      <c r="B83" s="263" t="s">
        <v>268</v>
      </c>
      <c r="C83" s="412">
        <f>C82+SUM(C71:N71)-SUM(C72:N72)-SUM(C73:N73)</f>
        <v>1395282</v>
      </c>
      <c r="D83" s="412">
        <f>C83*$M$3/$M$2</f>
        <v>1512500.8130081301</v>
      </c>
      <c r="E83" s="412">
        <f>D83-C83</f>
        <v>117218.81300813006</v>
      </c>
      <c r="F83" s="429">
        <f>IF(C83=0,0,E83/C83)</f>
        <v>8.4010840108401069E-2</v>
      </c>
      <c r="G83" s="886"/>
      <c r="H83" s="886"/>
      <c r="I83" s="886"/>
      <c r="J83" s="886"/>
      <c r="K83" s="886"/>
      <c r="L83" s="886"/>
      <c r="M83" s="886"/>
      <c r="N83" s="886"/>
      <c r="O83" s="886"/>
      <c r="P83" s="674"/>
      <c r="Q83" s="729"/>
      <c r="R83" s="729"/>
      <c r="S83" s="729"/>
      <c r="T83" s="729"/>
      <c r="U83" s="729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</row>
    <row r="84" spans="1:31">
      <c r="A84" s="729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4"/>
      <c r="P84" s="674"/>
      <c r="Q84" s="729"/>
      <c r="R84" s="729"/>
      <c r="S84" s="729"/>
      <c r="T84" s="729"/>
      <c r="U84" s="729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</row>
    <row r="85" spans="1:31">
      <c r="A85" s="729"/>
      <c r="B85" s="888"/>
      <c r="C85" s="888"/>
      <c r="D85" s="888"/>
      <c r="E85" s="888"/>
      <c r="F85" s="888"/>
      <c r="G85" s="888"/>
      <c r="H85" s="888"/>
      <c r="I85" s="888"/>
      <c r="J85" s="888"/>
      <c r="K85" s="888"/>
      <c r="L85" s="888"/>
      <c r="M85" s="888"/>
      <c r="N85" s="888"/>
      <c r="O85" s="674"/>
      <c r="P85" s="674"/>
      <c r="Q85" s="729"/>
      <c r="R85" s="729"/>
      <c r="S85" s="729"/>
      <c r="T85" s="729"/>
      <c r="U85" s="72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</row>
    <row r="86" spans="1:31">
      <c r="A86" s="729"/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729"/>
      <c r="R86" s="729"/>
      <c r="S86" s="729"/>
      <c r="T86" s="729"/>
      <c r="U86" s="729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</row>
    <row r="87" spans="1:31">
      <c r="A87" s="729"/>
      <c r="B87" s="674"/>
      <c r="C87" s="674"/>
      <c r="D87" s="674"/>
      <c r="E87" s="674"/>
      <c r="F87" s="674"/>
      <c r="G87" s="674"/>
      <c r="H87" s="674"/>
      <c r="I87" s="674"/>
      <c r="J87" s="674"/>
      <c r="K87" s="674"/>
      <c r="L87" s="674"/>
      <c r="M87" s="674"/>
      <c r="N87" s="674"/>
      <c r="O87" s="674"/>
      <c r="P87" s="674"/>
      <c r="Q87" s="729"/>
      <c r="R87" s="729"/>
      <c r="S87" s="729"/>
      <c r="T87" s="729"/>
      <c r="U87" s="729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</row>
    <row r="88" spans="1:31">
      <c r="A88" s="729"/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674"/>
      <c r="M88" s="674"/>
      <c r="N88" s="674"/>
      <c r="O88" s="674"/>
      <c r="P88" s="674"/>
      <c r="Q88" s="729"/>
      <c r="R88" s="729"/>
      <c r="S88" s="729"/>
      <c r="T88" s="729"/>
      <c r="U88" s="729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</row>
    <row r="89" spans="1:31">
      <c r="A89" s="729"/>
      <c r="B89" s="674"/>
      <c r="C89" s="674"/>
      <c r="D89" s="674"/>
      <c r="E89" s="674"/>
      <c r="F89" s="674"/>
      <c r="G89" s="674"/>
      <c r="H89" s="674"/>
      <c r="I89" s="674"/>
      <c r="J89" s="674"/>
      <c r="K89" s="674"/>
      <c r="L89" s="674"/>
      <c r="M89" s="674"/>
      <c r="N89" s="674"/>
      <c r="O89" s="674"/>
      <c r="P89" s="674"/>
      <c r="Q89" s="729"/>
      <c r="R89" s="729"/>
      <c r="S89" s="729"/>
      <c r="T89" s="729"/>
      <c r="U89" s="729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</row>
    <row r="90" spans="1:31" s="3" customFormat="1">
      <c r="A90" s="729"/>
      <c r="B90" s="270"/>
      <c r="C90" s="270"/>
      <c r="D90" s="270"/>
      <c r="E90" s="270"/>
      <c r="F90" s="270"/>
      <c r="G90" s="270"/>
      <c r="H90" s="270"/>
      <c r="I90" s="270"/>
      <c r="J90" s="270"/>
      <c r="K90" s="270"/>
      <c r="L90" s="270"/>
      <c r="M90" s="270"/>
      <c r="N90" s="270"/>
      <c r="O90" s="270"/>
      <c r="P90" s="270"/>
      <c r="Q90" s="729"/>
      <c r="R90" s="729"/>
      <c r="S90" s="729"/>
      <c r="T90" s="729"/>
      <c r="U90" s="729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</row>
    <row r="91" spans="1:31">
      <c r="A91" s="729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4"/>
      <c r="P91" s="674"/>
      <c r="Q91" s="729"/>
      <c r="R91" s="729"/>
      <c r="S91" s="729"/>
      <c r="T91" s="729"/>
      <c r="U91" s="729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</row>
    <row r="92" spans="1:31">
      <c r="A92" s="729"/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729"/>
      <c r="R92" s="729"/>
      <c r="S92" s="729"/>
      <c r="T92" s="729"/>
      <c r="U92" s="72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</row>
    <row r="93" spans="1:31">
      <c r="A93" s="729"/>
      <c r="B93" s="674"/>
      <c r="C93" s="674"/>
      <c r="D93" s="674"/>
      <c r="E93" s="674"/>
      <c r="F93" s="674"/>
      <c r="G93" s="674"/>
      <c r="H93" s="674"/>
      <c r="I93" s="674"/>
      <c r="J93" s="674"/>
      <c r="K93" s="674"/>
      <c r="L93" s="674"/>
      <c r="M93" s="674"/>
      <c r="N93" s="674"/>
      <c r="O93" s="674"/>
      <c r="P93" s="674"/>
      <c r="Q93" s="729"/>
      <c r="R93" s="729"/>
      <c r="S93" s="729"/>
      <c r="T93" s="729"/>
      <c r="U93" s="729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</row>
    <row r="94" spans="1:31">
      <c r="A94" s="729"/>
      <c r="B94" s="861" t="s">
        <v>1198</v>
      </c>
      <c r="C94" s="674"/>
      <c r="D94" s="674"/>
      <c r="E94" s="674"/>
      <c r="F94" s="674"/>
      <c r="G94" s="674"/>
      <c r="H94" s="674"/>
      <c r="I94" s="674"/>
      <c r="J94" s="674"/>
      <c r="K94" s="674"/>
      <c r="L94" s="862" t="s">
        <v>269</v>
      </c>
      <c r="M94" s="226">
        <f>M2</f>
        <v>3690</v>
      </c>
      <c r="N94" s="674"/>
      <c r="O94" s="674"/>
      <c r="P94" s="674"/>
      <c r="Q94" s="729"/>
      <c r="R94" s="729"/>
      <c r="S94" s="729"/>
      <c r="T94" s="729"/>
      <c r="U94" s="729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</row>
    <row r="95" spans="1:31">
      <c r="A95" s="729"/>
      <c r="B95" s="781" t="s">
        <v>318</v>
      </c>
      <c r="C95" s="674"/>
      <c r="D95" s="674"/>
      <c r="E95" s="674"/>
      <c r="F95" s="674"/>
      <c r="G95" s="674"/>
      <c r="H95" s="674"/>
      <c r="I95" s="674"/>
      <c r="J95" s="674"/>
      <c r="K95" s="674"/>
      <c r="L95" s="862" t="s">
        <v>271</v>
      </c>
      <c r="M95" s="226">
        <f>M3</f>
        <v>4000</v>
      </c>
      <c r="N95" s="674"/>
      <c r="O95" s="674"/>
      <c r="P95" s="674"/>
      <c r="Q95" s="729"/>
      <c r="R95" s="729"/>
      <c r="S95" s="729"/>
      <c r="T95" s="729"/>
      <c r="U95" s="72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</row>
    <row r="96" spans="1:31">
      <c r="A96" s="729"/>
      <c r="B96" s="674"/>
      <c r="C96" s="674"/>
      <c r="D96" s="674"/>
      <c r="E96" s="674"/>
      <c r="F96" s="674"/>
      <c r="G96" s="674"/>
      <c r="H96" s="674"/>
      <c r="I96" s="674"/>
      <c r="J96" s="674"/>
      <c r="K96" s="674"/>
      <c r="L96" s="674"/>
      <c r="M96" s="674"/>
      <c r="N96" s="674"/>
      <c r="O96" s="674"/>
      <c r="P96" s="674"/>
      <c r="Q96" s="729"/>
      <c r="R96" s="729"/>
      <c r="S96" s="729"/>
      <c r="T96" s="729"/>
      <c r="U96" s="72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</row>
    <row r="97" spans="1:31" ht="15" thickBot="1">
      <c r="A97" s="729"/>
      <c r="B97" s="260" t="s">
        <v>1199</v>
      </c>
      <c r="C97" s="260"/>
      <c r="D97" s="260"/>
      <c r="E97" s="260"/>
      <c r="F97" s="260"/>
      <c r="G97" s="864"/>
      <c r="H97" s="864"/>
      <c r="I97" s="864"/>
      <c r="J97" s="864"/>
      <c r="K97" s="864"/>
      <c r="L97" s="261" t="s">
        <v>272</v>
      </c>
      <c r="M97" s="864"/>
      <c r="N97" s="864"/>
      <c r="O97" s="864"/>
      <c r="P97" s="674"/>
      <c r="Q97" s="729"/>
      <c r="R97" s="729"/>
      <c r="S97" s="729"/>
      <c r="T97" s="729"/>
      <c r="U97" s="729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</row>
    <row r="98" spans="1:31">
      <c r="A98" s="729"/>
      <c r="B98" s="674"/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74"/>
      <c r="Q98" s="729"/>
      <c r="R98" s="729"/>
      <c r="S98" s="729"/>
      <c r="T98" s="729"/>
      <c r="U98" s="729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</row>
    <row r="99" spans="1:31" ht="30" customHeight="1">
      <c r="A99" s="729"/>
      <c r="B99" s="467"/>
      <c r="C99" s="461" t="s">
        <v>1196</v>
      </c>
      <c r="D99" s="461" t="s">
        <v>273</v>
      </c>
      <c r="E99" s="461" t="s">
        <v>274</v>
      </c>
      <c r="F99" s="461" t="s">
        <v>275</v>
      </c>
      <c r="G99" s="461"/>
      <c r="H99" s="461"/>
      <c r="I99" s="461"/>
      <c r="J99" s="461"/>
      <c r="K99" s="461"/>
      <c r="L99" s="461"/>
      <c r="M99" s="461"/>
      <c r="N99" s="461"/>
      <c r="O99" s="461"/>
      <c r="P99" s="461"/>
      <c r="Q99" s="729"/>
      <c r="R99" s="729"/>
      <c r="S99" s="729"/>
      <c r="T99" s="729"/>
      <c r="U99" s="729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</row>
    <row r="100" spans="1:31">
      <c r="A100" s="729"/>
      <c r="B100" s="865" t="s">
        <v>276</v>
      </c>
      <c r="C100" s="746">
        <f>C8*$M$95</f>
        <v>9850828000</v>
      </c>
      <c r="D100" s="746">
        <f>D8*$M$94</f>
        <v>5152233299</v>
      </c>
      <c r="E100" s="746">
        <f t="shared" ref="E100:E105" si="8">D100-C100</f>
        <v>-4698594701</v>
      </c>
      <c r="F100" s="866">
        <f>IF(C100=0,0,D100/C100)</f>
        <v>0.52302540446346235</v>
      </c>
      <c r="G100" s="674"/>
      <c r="H100" s="674"/>
      <c r="I100" s="674"/>
      <c r="J100" s="674"/>
      <c r="K100" s="674"/>
      <c r="L100" s="674"/>
      <c r="M100" s="674"/>
      <c r="N100" s="674"/>
      <c r="O100" s="674"/>
      <c r="P100" s="674"/>
      <c r="Q100" s="729"/>
      <c r="R100" s="729"/>
      <c r="S100" s="729"/>
      <c r="T100" s="729"/>
      <c r="U100" s="729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</row>
    <row r="101" spans="1:31">
      <c r="A101" s="729"/>
      <c r="B101" s="865" t="s">
        <v>277</v>
      </c>
      <c r="C101" s="746">
        <f>C9*$M$95</f>
        <v>6732692000</v>
      </c>
      <c r="D101" s="746">
        <f>D9*$M$94</f>
        <v>2709609952</v>
      </c>
      <c r="E101" s="746">
        <f t="shared" si="8"/>
        <v>-4023082048</v>
      </c>
      <c r="F101" s="866">
        <f>IF(C101=0,0,D101/C101)</f>
        <v>0.40245565250868448</v>
      </c>
      <c r="G101" s="674"/>
      <c r="H101" s="674"/>
      <c r="I101" s="674"/>
      <c r="J101" s="674"/>
      <c r="K101" s="674"/>
      <c r="L101" s="674"/>
      <c r="M101" s="674"/>
      <c r="N101" s="674"/>
      <c r="O101" s="674"/>
      <c r="P101" s="674"/>
      <c r="Q101" s="729"/>
      <c r="R101" s="729"/>
      <c r="S101" s="729"/>
      <c r="T101" s="729"/>
      <c r="U101" s="72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</row>
    <row r="102" spans="1:31">
      <c r="A102" s="729"/>
      <c r="B102" s="865" t="s">
        <v>278</v>
      </c>
      <c r="C102" s="867">
        <f>C10*$M$95</f>
        <v>4281152000</v>
      </c>
      <c r="D102" s="867">
        <f>D10*$M$94</f>
        <v>276036184</v>
      </c>
      <c r="E102" s="867">
        <f t="shared" si="8"/>
        <v>-4005115816</v>
      </c>
      <c r="F102" s="866">
        <f>IF(C102=0,0,D102/ABS(C102))</f>
        <v>6.4477080935224917E-2</v>
      </c>
      <c r="G102" s="674"/>
      <c r="H102" s="674"/>
      <c r="I102" s="674"/>
      <c r="J102" s="674"/>
      <c r="K102" s="674"/>
      <c r="L102" s="674"/>
      <c r="M102" s="674"/>
      <c r="N102" s="674"/>
      <c r="O102" s="674"/>
      <c r="P102" s="674"/>
      <c r="Q102" s="729"/>
      <c r="R102" s="729"/>
      <c r="S102" s="729"/>
      <c r="T102" s="729"/>
      <c r="U102" s="729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</row>
    <row r="103" spans="1:31">
      <c r="A103" s="729"/>
      <c r="B103" s="263" t="s">
        <v>268</v>
      </c>
      <c r="C103" s="412">
        <f>C11*$M$95</f>
        <v>2741068000</v>
      </c>
      <c r="D103" s="412">
        <f>D11*$M$94</f>
        <v>246728277.99999997</v>
      </c>
      <c r="E103" s="412">
        <f t="shared" si="8"/>
        <v>-2494339722</v>
      </c>
      <c r="F103" s="866">
        <f>IF(C103=0,0,D103/ABS(C103))</f>
        <v>9.0011731923469229E-2</v>
      </c>
      <c r="G103" s="674"/>
      <c r="H103" s="674"/>
      <c r="I103" s="674"/>
      <c r="J103" s="674"/>
      <c r="K103" s="674"/>
      <c r="L103" s="674"/>
      <c r="M103" s="674"/>
      <c r="N103" s="674"/>
      <c r="O103" s="674"/>
      <c r="P103" s="674"/>
      <c r="Q103" s="729"/>
      <c r="R103" s="729"/>
      <c r="S103" s="729"/>
      <c r="T103" s="729"/>
      <c r="U103" s="72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</row>
    <row r="104" spans="1:31">
      <c r="A104" s="729"/>
      <c r="B104" s="869" t="s">
        <v>279</v>
      </c>
      <c r="C104" s="870">
        <f>IF(C100=0,0,C102/C100)</f>
        <v>0.434598188091397</v>
      </c>
      <c r="D104" s="870">
        <f>IF(D100=0,0,D102/D100)</f>
        <v>5.3576025769946412E-2</v>
      </c>
      <c r="E104" s="870">
        <f t="shared" si="8"/>
        <v>-0.38102216232145059</v>
      </c>
      <c r="F104" s="871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729"/>
      <c r="R104" s="729"/>
      <c r="S104" s="729"/>
      <c r="T104" s="729"/>
      <c r="U104" s="729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</row>
    <row r="105" spans="1:31">
      <c r="A105" s="729"/>
      <c r="B105" s="869" t="s">
        <v>280</v>
      </c>
      <c r="C105" s="870">
        <f>IF(C100=0,0,C103/C100)</f>
        <v>0.27825762463825376</v>
      </c>
      <c r="D105" s="870">
        <f>IF(D100=0,0,D103/D100)</f>
        <v>4.7887637007409507E-2</v>
      </c>
      <c r="E105" s="870">
        <f t="shared" si="8"/>
        <v>-0.23036998763084426</v>
      </c>
      <c r="F105" s="871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729"/>
      <c r="R105" s="729"/>
      <c r="S105" s="729"/>
      <c r="T105" s="729"/>
      <c r="U105" s="729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</row>
    <row r="106" spans="1:31">
      <c r="A106" s="729"/>
      <c r="B106" s="674"/>
      <c r="C106" s="674"/>
      <c r="D106" s="674"/>
      <c r="E106" s="674"/>
      <c r="F106" s="674"/>
      <c r="G106" s="674"/>
      <c r="H106" s="674"/>
      <c r="I106" s="674"/>
      <c r="J106" s="674"/>
      <c r="K106" s="674"/>
      <c r="L106" s="674"/>
      <c r="M106" s="674"/>
      <c r="N106" s="674"/>
      <c r="O106" s="674"/>
      <c r="P106" s="674"/>
      <c r="Q106" s="729"/>
      <c r="R106" s="729"/>
      <c r="S106" s="729"/>
      <c r="T106" s="729"/>
      <c r="U106" s="729"/>
      <c r="V106" s="729"/>
      <c r="W106" s="729"/>
      <c r="X106" s="729"/>
      <c r="Y106" s="729"/>
      <c r="Z106" s="729"/>
      <c r="AA106" s="729"/>
      <c r="AB106" s="729"/>
      <c r="AC106" s="729"/>
      <c r="AD106" s="729"/>
      <c r="AE106" s="729"/>
    </row>
    <row r="107" spans="1:31">
      <c r="A107" s="729"/>
      <c r="B107" s="674"/>
      <c r="C107" s="674"/>
      <c r="D107" s="674"/>
      <c r="E107" s="674"/>
      <c r="F107" s="674"/>
      <c r="G107" s="674"/>
      <c r="H107" s="674"/>
      <c r="I107" s="674"/>
      <c r="J107" s="674"/>
      <c r="K107" s="674"/>
      <c r="L107" s="674"/>
      <c r="M107" s="674"/>
      <c r="N107" s="674"/>
      <c r="O107" s="674"/>
      <c r="P107" s="674"/>
      <c r="Q107" s="729"/>
      <c r="R107" s="729"/>
      <c r="S107" s="729"/>
      <c r="T107" s="729"/>
      <c r="U107" s="729"/>
      <c r="V107" s="729"/>
      <c r="W107" s="729"/>
      <c r="X107" s="729"/>
      <c r="Y107" s="729"/>
      <c r="Z107" s="729"/>
      <c r="AA107" s="729"/>
      <c r="AB107" s="729"/>
      <c r="AC107" s="729"/>
      <c r="AD107" s="729"/>
      <c r="AE107" s="729"/>
    </row>
    <row r="108" spans="1:31" ht="15" thickBot="1">
      <c r="A108" s="729"/>
      <c r="B108" s="260" t="s">
        <v>1207</v>
      </c>
      <c r="C108" s="260"/>
      <c r="D108" s="260"/>
      <c r="E108" s="260"/>
      <c r="F108" s="260"/>
      <c r="G108" s="864"/>
      <c r="H108" s="864"/>
      <c r="I108" s="864"/>
      <c r="J108" s="864"/>
      <c r="K108" s="864"/>
      <c r="L108" s="261" t="s">
        <v>272</v>
      </c>
      <c r="M108" s="864"/>
      <c r="N108" s="864"/>
      <c r="O108" s="864"/>
      <c r="P108" s="674"/>
      <c r="Q108" s="729"/>
      <c r="R108" s="729"/>
      <c r="S108" s="729"/>
      <c r="T108" s="729"/>
      <c r="U108" s="729"/>
      <c r="V108" s="729"/>
      <c r="W108" s="729"/>
      <c r="X108" s="729"/>
      <c r="Y108" s="729"/>
      <c r="Z108" s="729"/>
      <c r="AA108" s="729"/>
      <c r="AB108" s="729"/>
      <c r="AC108" s="729"/>
      <c r="AD108" s="729"/>
      <c r="AE108" s="729"/>
    </row>
    <row r="109" spans="1:31" ht="30" customHeight="1">
      <c r="A109" s="729"/>
      <c r="B109" s="467" t="s">
        <v>281</v>
      </c>
      <c r="C109" s="617" t="s">
        <v>51</v>
      </c>
      <c r="D109" s="617" t="s">
        <v>285</v>
      </c>
      <c r="E109" s="617" t="s">
        <v>286</v>
      </c>
      <c r="F109" s="617" t="s">
        <v>877</v>
      </c>
      <c r="G109" s="617" t="s">
        <v>881</v>
      </c>
      <c r="H109" s="617" t="s">
        <v>1197</v>
      </c>
      <c r="I109" s="617" t="s">
        <v>1193</v>
      </c>
      <c r="J109" s="461"/>
      <c r="K109" s="461"/>
      <c r="L109" s="461"/>
      <c r="M109" s="461"/>
      <c r="N109" s="461"/>
      <c r="O109" s="461"/>
      <c r="P109" s="461"/>
      <c r="Q109" s="729"/>
      <c r="R109" s="729"/>
      <c r="S109" s="729"/>
      <c r="T109" s="729"/>
      <c r="U109" s="729"/>
      <c r="V109" s="729"/>
      <c r="W109" s="729"/>
      <c r="X109" s="729"/>
      <c r="Y109" s="729"/>
      <c r="Z109" s="729"/>
      <c r="AA109" s="729"/>
      <c r="AB109" s="729"/>
      <c r="AC109" s="729"/>
      <c r="AD109" s="729"/>
      <c r="AE109" s="729"/>
    </row>
    <row r="110" spans="1:31">
      <c r="A110" s="729"/>
      <c r="B110" s="262" t="s">
        <v>276</v>
      </c>
      <c r="C110" s="414">
        <f>IF(SUM($C$65:C65)=0,0,SUM($C122:C122)/(SUM($C$65:C65)*$M$95))</f>
        <v>0.82188842545856777</v>
      </c>
      <c r="D110" s="414">
        <f>IF(SUM($C$65:D65)=0,0,SUM($C122:D122)/(SUM($C$65:D65)*$M$95))</f>
        <v>0.62735098963468894</v>
      </c>
      <c r="E110" s="414">
        <f>IF(SUM($C$65:E65)=0,0,SUM($C122:E122)/(SUM($C$65:E65)*$M$95))</f>
        <v>0.57203387331446043</v>
      </c>
      <c r="F110" s="415">
        <f>IF(SUM($C$65:F65)=0,0,SUM($C122:F122)/(SUM($C$65:F65)*$M$95))</f>
        <v>0.55833577427327363</v>
      </c>
      <c r="G110" s="415">
        <f>IF(SUM($C$65:G65)=0,0,SUM($C122:G122)/(SUM($C$65:G65)*$M$95))</f>
        <v>0.54749138687029264</v>
      </c>
      <c r="H110" s="415">
        <f>IF(SUM($C$65:H65)=0,0,SUM($C122:H122)/(SUM($C$65:H65)*$M$95))</f>
        <v>0.53893465255357365</v>
      </c>
      <c r="I110" s="415">
        <f>IF(SUM($C$65:I65)=0,0,SUM($C122:I122)/(SUM($C$65:I65)*$M$95))</f>
        <v>0.52302540446346235</v>
      </c>
      <c r="J110" s="674"/>
      <c r="K110" s="674"/>
      <c r="L110" s="674"/>
      <c r="M110" s="674"/>
      <c r="N110" s="674"/>
      <c r="O110" s="674"/>
      <c r="P110" s="674"/>
      <c r="Q110" s="729"/>
      <c r="R110" s="729"/>
      <c r="S110" s="729"/>
      <c r="T110" s="729"/>
      <c r="U110" s="729"/>
      <c r="V110" s="729"/>
      <c r="W110" s="729"/>
      <c r="X110" s="729"/>
      <c r="Y110" s="729"/>
      <c r="Z110" s="729"/>
      <c r="AA110" s="729"/>
      <c r="AB110" s="729"/>
      <c r="AC110" s="729"/>
      <c r="AD110" s="729"/>
      <c r="AE110" s="729"/>
    </row>
    <row r="111" spans="1:31">
      <c r="A111" s="729"/>
      <c r="B111" s="678" t="s">
        <v>277</v>
      </c>
      <c r="C111" s="713">
        <f>IF(SUM($C$67:C67)=0,0,SUM($C124:C124)/(SUM($C$67:C67)*$M$95))</f>
        <v>1.2478693301722987</v>
      </c>
      <c r="D111" s="713">
        <f>IF(SUM($C$67:D67)=0,0,SUM($C124:D124)/(SUM($C$67:D67)*$M$95))</f>
        <v>0.60930661849610956</v>
      </c>
      <c r="E111" s="713">
        <f>IF(SUM($C$67:E67)=0,0,SUM($C124:E124)/(SUM($C$67:E67)*$M$95))</f>
        <v>0.45877394575464653</v>
      </c>
      <c r="F111" s="713">
        <f>IF(SUM($C$67:F67)=0,0,SUM($C124:F124)/(SUM($C$67:F67)*$M$95))</f>
        <v>0.43431995949608188</v>
      </c>
      <c r="G111" s="713">
        <f>IF(SUM($C$67:G67)=0,0,SUM($C124:G124)/(SUM($C$67:G67)*$M$95))</f>
        <v>0.42649516569446522</v>
      </c>
      <c r="H111" s="713">
        <f>IF(SUM($C$67:H67)=0,0,SUM($C124:H124)/(SUM($C$67:H67)*$M$95))</f>
        <v>0.41800939208645882</v>
      </c>
      <c r="I111" s="713">
        <f>IF(SUM($C$67:I67)=0,0,SUM($C124:I124)/(SUM($C$67:I67)*$M$95))</f>
        <v>0.40245565250868448</v>
      </c>
      <c r="J111" s="674"/>
      <c r="K111" s="674"/>
      <c r="L111" s="674"/>
      <c r="M111" s="674"/>
      <c r="N111" s="674"/>
      <c r="O111" s="674"/>
      <c r="P111" s="674"/>
      <c r="Q111" s="729"/>
      <c r="R111" s="729"/>
      <c r="S111" s="729"/>
      <c r="T111" s="729"/>
      <c r="U111" s="729"/>
      <c r="V111" s="729"/>
      <c r="W111" s="729"/>
      <c r="X111" s="729"/>
      <c r="Y111" s="729"/>
      <c r="Z111" s="729"/>
      <c r="AA111" s="729"/>
      <c r="AB111" s="729"/>
      <c r="AC111" s="729"/>
      <c r="AD111" s="729"/>
      <c r="AE111" s="729"/>
    </row>
    <row r="112" spans="1:31">
      <c r="A112" s="729"/>
      <c r="B112" s="678" t="s">
        <v>278</v>
      </c>
      <c r="C112" s="713">
        <f>IF(SUM($C$70:C70)=0,0,SUM($C129:C129)/ABS(SUM($C$70:C70)*$M$95))</f>
        <v>1.3791754237288136</v>
      </c>
      <c r="D112" s="713">
        <f>IF(SUM($C$70:D70)=0,0,SUM($C129:D129)/ABS(SUM($C$70:D70)*$M$95))</f>
        <v>0.20339512083184438</v>
      </c>
      <c r="E112" s="713">
        <f>IF(SUM($C$70:E70)=0,0,SUM($C129:E129)/ABS(SUM($C$70:E70)*$M$95))</f>
        <v>6.9014177702100624E-2</v>
      </c>
      <c r="F112" s="713">
        <f>IF(SUM($C$70:F70)=0,0,SUM($C129:F129)/ABS(SUM($C$70:F70)*$M$95))</f>
        <v>4.9323352288058522E-2</v>
      </c>
      <c r="G112" s="713">
        <f>IF(SUM($C$70:G70)=0,0,SUM($C129:G129)/ABS(SUM($C$70:G70)*$M$95))</f>
        <v>7.5133051351497143E-2</v>
      </c>
      <c r="H112" s="713">
        <f>IF(SUM($C$70:H70)=0,0,SUM($C129:H129)/ABS(SUM($C$70:H70)*$M$95))</f>
        <v>6.9994388392046483E-2</v>
      </c>
      <c r="I112" s="713">
        <f>IF(SUM($C$70:I70)=0,0,SUM($C129:I129)/ABS(SUM($C$70:I70)*$M$95))</f>
        <v>6.4477080935224917E-2</v>
      </c>
      <c r="J112" s="674"/>
      <c r="K112" s="674"/>
      <c r="L112" s="674"/>
      <c r="M112" s="674"/>
      <c r="N112" s="674"/>
      <c r="O112" s="674"/>
      <c r="P112" s="674"/>
      <c r="Q112" s="729"/>
      <c r="R112" s="729"/>
      <c r="S112" s="729"/>
      <c r="T112" s="729"/>
      <c r="U112" s="729"/>
      <c r="V112" s="729"/>
      <c r="W112" s="729"/>
      <c r="X112" s="729"/>
      <c r="Y112" s="729"/>
      <c r="Z112" s="729"/>
      <c r="AA112" s="729"/>
      <c r="AB112" s="729"/>
      <c r="AC112" s="729"/>
      <c r="AD112" s="729"/>
      <c r="AE112" s="729"/>
    </row>
    <row r="113" spans="1:31">
      <c r="A113" s="729"/>
      <c r="B113" s="678" t="s">
        <v>268</v>
      </c>
      <c r="C113" s="872">
        <f>IF(SUM($C$74:C74)=0,0,SUM($C133:C133)/ABS(SUM($C$74:C74)*$M$95))</f>
        <v>1.1413328239608802</v>
      </c>
      <c r="D113" s="872">
        <f>IF(SUM($C$74:D74)=0,0,SUM($C133:D133)/ABS(SUM($C$74:D74)*$M$95))</f>
        <v>0.34043079258049191</v>
      </c>
      <c r="E113" s="872">
        <f>IF(SUM($C$74:E74)=0,0,SUM($C133:E133)/ABS(SUM($C$74:E74)*$M$95))</f>
        <v>9.3082581778378609E-2</v>
      </c>
      <c r="F113" s="872">
        <f>IF(SUM($C$74:F74)=0,0,SUM($C133:F133)/ABS(SUM($C$74:F74)*$M$95))</f>
        <v>6.3297385579700091E-2</v>
      </c>
      <c r="G113" s="872">
        <f>IF(SUM($C$74:G74)=0,0,SUM($C133:G133)/ABS(SUM($C$74:G74)*$M$95))</f>
        <v>0.10503631671183339</v>
      </c>
      <c r="H113" s="872">
        <f>IF(SUM($C$74:H74)=0,0,SUM($C133:H133)/ABS(SUM($C$74:H74)*$M$95))</f>
        <v>9.8570783038921972E-2</v>
      </c>
      <c r="I113" s="872">
        <f>IF(SUM($C$74:I74)=0,0,SUM($C133:I133)/ABS(SUM($C$74:I74)*$M$95))</f>
        <v>9.0011731923469243E-2</v>
      </c>
      <c r="J113" s="674"/>
      <c r="K113" s="674"/>
      <c r="L113" s="674"/>
      <c r="M113" s="674"/>
      <c r="N113" s="674"/>
      <c r="O113" s="674"/>
      <c r="P113" s="674"/>
      <c r="Q113" s="729"/>
      <c r="R113" s="729"/>
      <c r="S113" s="729"/>
      <c r="T113" s="729"/>
      <c r="U113" s="729"/>
      <c r="V113" s="729"/>
      <c r="W113" s="729"/>
      <c r="X113" s="729"/>
      <c r="Y113" s="729"/>
      <c r="Z113" s="729"/>
      <c r="AA113" s="729"/>
      <c r="AB113" s="729"/>
      <c r="AC113" s="729"/>
      <c r="AD113" s="729"/>
      <c r="AE113" s="729"/>
    </row>
    <row r="114" spans="1:31">
      <c r="A114" s="729"/>
      <c r="B114" s="674"/>
      <c r="C114" s="674"/>
      <c r="D114" s="674"/>
      <c r="E114" s="674"/>
      <c r="F114" s="674"/>
      <c r="G114" s="674"/>
      <c r="H114" s="674"/>
      <c r="I114" s="674"/>
      <c r="J114" s="674"/>
      <c r="K114" s="674"/>
      <c r="L114" s="674"/>
      <c r="M114" s="674"/>
      <c r="N114" s="674"/>
      <c r="O114" s="674"/>
      <c r="P114" s="674"/>
      <c r="Q114" s="729"/>
      <c r="R114" s="729"/>
      <c r="S114" s="729"/>
      <c r="T114" s="729"/>
      <c r="U114" s="729"/>
      <c r="V114" s="729"/>
      <c r="W114" s="729"/>
      <c r="X114" s="729"/>
      <c r="Y114" s="729"/>
      <c r="Z114" s="729"/>
      <c r="AA114" s="729"/>
      <c r="AB114" s="729"/>
      <c r="AC114" s="729"/>
      <c r="AD114" s="729"/>
      <c r="AE114" s="729"/>
    </row>
    <row r="115" spans="1:31">
      <c r="A115" s="729"/>
      <c r="B115" s="678"/>
      <c r="C115" s="678"/>
      <c r="D115" s="678"/>
      <c r="E115" s="678"/>
      <c r="F115" s="678"/>
      <c r="G115" s="678"/>
      <c r="H115" s="674"/>
      <c r="I115" s="674"/>
      <c r="J115" s="674"/>
      <c r="K115" s="674"/>
      <c r="L115" s="674"/>
      <c r="M115" s="674"/>
      <c r="N115" s="674"/>
      <c r="O115" s="674"/>
      <c r="P115" s="674"/>
      <c r="Q115" s="729"/>
      <c r="R115" s="729"/>
      <c r="S115" s="729"/>
      <c r="T115" s="729"/>
      <c r="U115" s="729"/>
      <c r="V115" s="729"/>
      <c r="W115" s="729"/>
      <c r="X115" s="729"/>
      <c r="Y115" s="729"/>
      <c r="Z115" s="729"/>
      <c r="AA115" s="729"/>
      <c r="AB115" s="729"/>
      <c r="AC115" s="729"/>
      <c r="AD115" s="729"/>
      <c r="AE115" s="729"/>
    </row>
    <row r="116" spans="1:31">
      <c r="A116" s="729"/>
      <c r="B116" s="674"/>
      <c r="C116" s="873"/>
      <c r="D116" s="873"/>
      <c r="E116" s="873"/>
      <c r="F116" s="674"/>
      <c r="G116" s="674"/>
      <c r="H116" s="674"/>
      <c r="I116" s="674"/>
      <c r="J116" s="674"/>
      <c r="K116" s="674"/>
      <c r="L116" s="674"/>
      <c r="M116" s="674"/>
      <c r="N116" s="674"/>
      <c r="O116" s="674"/>
      <c r="P116" s="674"/>
      <c r="Q116" s="729"/>
      <c r="R116" s="729"/>
      <c r="S116" s="729"/>
      <c r="T116" s="729"/>
      <c r="U116" s="729"/>
      <c r="V116" s="729"/>
      <c r="W116" s="729"/>
      <c r="X116" s="729"/>
      <c r="Y116" s="729"/>
      <c r="Z116" s="729"/>
      <c r="AA116" s="729"/>
      <c r="AB116" s="729"/>
      <c r="AC116" s="729"/>
      <c r="AD116" s="729"/>
      <c r="AE116" s="729"/>
    </row>
    <row r="117" spans="1:31" ht="15" thickBot="1">
      <c r="A117" s="729"/>
      <c r="B117" s="260" t="s">
        <v>1208</v>
      </c>
      <c r="C117" s="260"/>
      <c r="D117" s="260"/>
      <c r="E117" s="260"/>
      <c r="F117" s="260"/>
      <c r="G117" s="864"/>
      <c r="H117" s="864"/>
      <c r="I117" s="864"/>
      <c r="J117" s="864"/>
      <c r="K117" s="864"/>
      <c r="L117" s="261" t="s">
        <v>272</v>
      </c>
      <c r="M117" s="864"/>
      <c r="N117" s="864"/>
      <c r="O117" s="864"/>
      <c r="P117" s="674"/>
      <c r="Q117" s="729"/>
      <c r="R117" s="729"/>
      <c r="S117" s="729"/>
      <c r="T117" s="729"/>
      <c r="U117" s="729"/>
      <c r="V117" s="729"/>
      <c r="W117" s="729"/>
      <c r="X117" s="729"/>
      <c r="Y117" s="729"/>
      <c r="Z117" s="729"/>
      <c r="AA117" s="729"/>
      <c r="AB117" s="729"/>
      <c r="AC117" s="729"/>
      <c r="AD117" s="729"/>
      <c r="AE117" s="729"/>
    </row>
    <row r="118" spans="1:31">
      <c r="A118" s="729"/>
      <c r="B118" s="682" t="s">
        <v>319</v>
      </c>
      <c r="C118" s="874"/>
      <c r="D118" s="874"/>
      <c r="E118" s="874"/>
      <c r="F118" s="682"/>
      <c r="G118" s="682"/>
      <c r="H118" s="682"/>
      <c r="I118" s="682"/>
      <c r="J118" s="682"/>
      <c r="K118" s="682"/>
      <c r="L118" s="682"/>
      <c r="M118" s="682"/>
      <c r="N118" s="682"/>
      <c r="O118" s="682"/>
      <c r="P118" s="682"/>
      <c r="Q118" s="729"/>
      <c r="R118" s="729"/>
      <c r="S118" s="729"/>
      <c r="T118" s="729"/>
      <c r="U118" s="729"/>
      <c r="V118" s="729"/>
      <c r="W118" s="729"/>
      <c r="X118" s="729"/>
      <c r="Y118" s="729"/>
      <c r="Z118" s="729"/>
      <c r="AA118" s="729"/>
      <c r="AB118" s="729"/>
      <c r="AC118" s="729"/>
      <c r="AD118" s="729"/>
      <c r="AE118" s="729"/>
    </row>
    <row r="119" spans="1:31">
      <c r="A119" s="729"/>
      <c r="B119" s="674"/>
      <c r="C119" s="873"/>
      <c r="D119" s="873"/>
      <c r="E119" s="873"/>
      <c r="F119" s="674"/>
      <c r="G119" s="674"/>
      <c r="H119" s="674"/>
      <c r="I119" s="674"/>
      <c r="J119" s="674"/>
      <c r="K119" s="674"/>
      <c r="L119" s="674"/>
      <c r="M119" s="674"/>
      <c r="N119" s="674"/>
      <c r="O119" s="674"/>
      <c r="P119" s="674"/>
      <c r="Q119" s="729"/>
      <c r="R119" s="729"/>
      <c r="S119" s="729"/>
      <c r="T119" s="729"/>
      <c r="U119" s="729"/>
      <c r="V119" s="729"/>
      <c r="W119" s="729"/>
      <c r="X119" s="729"/>
      <c r="Y119" s="729"/>
      <c r="Z119" s="729"/>
      <c r="AA119" s="729"/>
      <c r="AB119" s="729"/>
      <c r="AC119" s="729"/>
      <c r="AD119" s="729"/>
      <c r="AE119" s="729"/>
    </row>
    <row r="120" spans="1:31" ht="30" customHeight="1">
      <c r="A120" s="729"/>
      <c r="B120" s="467" t="s">
        <v>281</v>
      </c>
      <c r="C120" s="461" t="s">
        <v>51</v>
      </c>
      <c r="D120" s="461" t="s">
        <v>52</v>
      </c>
      <c r="E120" s="461" t="s">
        <v>53</v>
      </c>
      <c r="F120" s="461" t="s">
        <v>54</v>
      </c>
      <c r="G120" s="461" t="s">
        <v>55</v>
      </c>
      <c r="H120" s="461" t="s">
        <v>56</v>
      </c>
      <c r="I120" s="461" t="s">
        <v>57</v>
      </c>
      <c r="J120" s="461" t="s">
        <v>58</v>
      </c>
      <c r="K120" s="461" t="s">
        <v>59</v>
      </c>
      <c r="L120" s="461" t="s">
        <v>60</v>
      </c>
      <c r="M120" s="461" t="s">
        <v>61</v>
      </c>
      <c r="N120" s="461" t="s">
        <v>62</v>
      </c>
      <c r="O120" s="461" t="s">
        <v>16</v>
      </c>
      <c r="P120" s="461" t="s">
        <v>1202</v>
      </c>
      <c r="Q120" s="729"/>
      <c r="R120" s="729"/>
      <c r="S120" s="729"/>
      <c r="T120" s="729"/>
      <c r="U120" s="729"/>
      <c r="V120" s="729"/>
      <c r="W120" s="729"/>
      <c r="X120" s="729"/>
      <c r="Y120" s="729"/>
      <c r="Z120" s="729"/>
      <c r="AA120" s="729"/>
      <c r="AB120" s="729"/>
      <c r="AC120" s="729"/>
      <c r="AD120" s="729"/>
      <c r="AE120" s="729"/>
    </row>
    <row r="121" spans="1:31">
      <c r="A121" s="729"/>
      <c r="B121" s="682" t="s">
        <v>293</v>
      </c>
      <c r="C121" s="682"/>
      <c r="D121" s="682"/>
      <c r="E121" s="682"/>
      <c r="F121" s="682"/>
      <c r="G121" s="682"/>
      <c r="H121" s="682"/>
      <c r="I121" s="682"/>
      <c r="J121" s="682"/>
      <c r="K121" s="682"/>
      <c r="L121" s="682"/>
      <c r="M121" s="682"/>
      <c r="N121" s="682"/>
      <c r="O121" s="682"/>
      <c r="P121" s="682"/>
      <c r="Q121" s="729"/>
      <c r="R121" s="729"/>
      <c r="S121" s="729"/>
      <c r="T121" s="729"/>
      <c r="U121" s="729"/>
      <c r="V121" s="729"/>
      <c r="W121" s="729"/>
      <c r="X121" s="729"/>
      <c r="Y121" s="729"/>
      <c r="Z121" s="729"/>
      <c r="AA121" s="729"/>
      <c r="AB121" s="729"/>
      <c r="AC121" s="729"/>
      <c r="AD121" s="729"/>
      <c r="AE121" s="729"/>
    </row>
    <row r="122" spans="1:31">
      <c r="A122" s="729"/>
      <c r="B122" s="678" t="s">
        <v>276</v>
      </c>
      <c r="C122" s="618">
        <f>'Modelo Base'!F51</f>
        <v>612247701</v>
      </c>
      <c r="D122" s="618">
        <f>'Modelo Base'!G51</f>
        <v>744218137</v>
      </c>
      <c r="E122" s="618">
        <f>'Modelo Base'!H51</f>
        <v>787041187</v>
      </c>
      <c r="F122" s="618">
        <f>'Modelo Base'!I51</f>
        <v>750867662</v>
      </c>
      <c r="G122" s="618">
        <f>'Modelo Base'!J51</f>
        <v>826514746</v>
      </c>
      <c r="H122" s="618">
        <f>'Modelo Base'!K51</f>
        <v>751453314</v>
      </c>
      <c r="I122" s="618">
        <f>'Modelo Base'!L51</f>
        <v>679890552</v>
      </c>
      <c r="J122" s="621">
        <f>'Modelo Base'!M51</f>
        <v>1573626071.4285715</v>
      </c>
      <c r="K122" s="621">
        <f>'Modelo Base'!N51</f>
        <v>1665041428.5714285</v>
      </c>
      <c r="L122" s="621">
        <f>'Modelo Base'!O51</f>
        <v>1756456785.7142859</v>
      </c>
      <c r="M122" s="621">
        <f>'Modelo Base'!P51</f>
        <v>1847872142.8571429</v>
      </c>
      <c r="N122" s="621">
        <f>'Modelo Base'!Q51</f>
        <v>1939287500</v>
      </c>
      <c r="O122" s="412">
        <f>SUM(C122:N122)</f>
        <v>13934517227.57143</v>
      </c>
      <c r="P122" s="624">
        <f>SUM(C122:I122)</f>
        <v>5152233299</v>
      </c>
      <c r="Q122" s="729"/>
      <c r="R122" s="729"/>
      <c r="S122" s="729"/>
      <c r="T122" s="729"/>
      <c r="U122" s="729"/>
      <c r="V122" s="729"/>
      <c r="W122" s="729"/>
      <c r="X122" s="729"/>
      <c r="Y122" s="729"/>
      <c r="Z122" s="729"/>
      <c r="AA122" s="729"/>
      <c r="AB122" s="729"/>
      <c r="AC122" s="729"/>
      <c r="AD122" s="729"/>
      <c r="AE122" s="729"/>
    </row>
    <row r="123" spans="1:31">
      <c r="A123" s="729"/>
      <c r="B123" s="674" t="s">
        <v>255</v>
      </c>
      <c r="C123" s="619">
        <f>'Modelo Base'!F52</f>
        <v>238535794</v>
      </c>
      <c r="D123" s="619">
        <f>'Modelo Base'!G52</f>
        <v>343308791</v>
      </c>
      <c r="E123" s="619">
        <f>'Modelo Base'!H52</f>
        <v>455639201</v>
      </c>
      <c r="F123" s="619">
        <f>'Modelo Base'!I52</f>
        <v>379273594</v>
      </c>
      <c r="G123" s="619">
        <f>'Modelo Base'!J52</f>
        <v>355470523</v>
      </c>
      <c r="H123" s="619">
        <f>'Modelo Base'!K52</f>
        <v>348477606</v>
      </c>
      <c r="I123" s="619">
        <f>'Modelo Base'!L52</f>
        <v>321917838</v>
      </c>
      <c r="J123" s="622">
        <f>'Modelo Base'!M52</f>
        <v>352521060.41666663</v>
      </c>
      <c r="K123" s="622">
        <f>'Modelo Base'!N52</f>
        <v>352521060.41666663</v>
      </c>
      <c r="L123" s="622">
        <f>'Modelo Base'!O52</f>
        <v>352521060.41666663</v>
      </c>
      <c r="M123" s="622">
        <f>'Modelo Base'!P52</f>
        <v>362550219.41666663</v>
      </c>
      <c r="N123" s="622">
        <f>'Modelo Base'!Q52</f>
        <v>362550219.41666663</v>
      </c>
      <c r="O123" s="416">
        <f>SUM(C123:N123)</f>
        <v>4225286967.0833325</v>
      </c>
      <c r="P123" s="625">
        <f>SUM(C123:I123)</f>
        <v>2442623347</v>
      </c>
      <c r="Q123" s="729"/>
      <c r="R123" s="729"/>
      <c r="S123" s="729"/>
      <c r="T123" s="729"/>
      <c r="U123" s="729"/>
      <c r="V123" s="729"/>
      <c r="W123" s="729"/>
      <c r="X123" s="729"/>
      <c r="Y123" s="729"/>
      <c r="Z123" s="729"/>
      <c r="AA123" s="729"/>
      <c r="AB123" s="729"/>
      <c r="AC123" s="729"/>
      <c r="AD123" s="729"/>
      <c r="AE123" s="729"/>
    </row>
    <row r="124" spans="1:31">
      <c r="A124" s="729"/>
      <c r="B124" s="678" t="s">
        <v>277</v>
      </c>
      <c r="C124" s="618">
        <f>'Modelo Base'!F53</f>
        <v>373711907</v>
      </c>
      <c r="D124" s="618">
        <f>'Modelo Base'!G53</f>
        <v>400909346</v>
      </c>
      <c r="E124" s="618">
        <f>'Modelo Base'!H53</f>
        <v>331401986</v>
      </c>
      <c r="F124" s="618">
        <f>'Modelo Base'!I53</f>
        <v>371594068</v>
      </c>
      <c r="G124" s="618">
        <f>'Modelo Base'!J53</f>
        <v>471044223</v>
      </c>
      <c r="H124" s="618">
        <f>'Modelo Base'!K53</f>
        <v>402975708</v>
      </c>
      <c r="I124" s="618">
        <f>'Modelo Base'!L53</f>
        <v>357972714</v>
      </c>
      <c r="J124" s="621">
        <f>'Modelo Base'!M53</f>
        <v>1221105011.0119047</v>
      </c>
      <c r="K124" s="621">
        <f>'Modelo Base'!N53</f>
        <v>1312520368.1547618</v>
      </c>
      <c r="L124" s="621">
        <f>'Modelo Base'!O53</f>
        <v>1403935725.2976193</v>
      </c>
      <c r="M124" s="621">
        <f>'Modelo Base'!P53</f>
        <v>1485321923.4404764</v>
      </c>
      <c r="N124" s="621">
        <f>'Modelo Base'!Q53</f>
        <v>1576737280.5833335</v>
      </c>
      <c r="O124" s="412">
        <f>SUM(C124:N124)</f>
        <v>9709230260.4880943</v>
      </c>
      <c r="P124" s="624">
        <f>SUM(C124:I124)</f>
        <v>2709609952</v>
      </c>
      <c r="Q124" s="729"/>
      <c r="R124" s="729"/>
      <c r="S124" s="729"/>
      <c r="T124" s="729"/>
      <c r="U124" s="729"/>
      <c r="V124" s="729"/>
      <c r="W124" s="729"/>
      <c r="X124" s="729"/>
      <c r="Y124" s="729"/>
      <c r="Z124" s="729"/>
      <c r="AA124" s="729"/>
      <c r="AB124" s="729"/>
      <c r="AC124" s="729"/>
      <c r="AD124" s="729"/>
      <c r="AE124" s="729"/>
    </row>
    <row r="125" spans="1:31">
      <c r="A125" s="729"/>
      <c r="B125" s="875" t="s">
        <v>282</v>
      </c>
      <c r="C125" s="620">
        <f t="shared" ref="C125:O125" si="9">IF(C122=0,0,C124/C122)</f>
        <v>0.6103933202029288</v>
      </c>
      <c r="D125" s="620">
        <f t="shared" si="9"/>
        <v>0.53869870414082643</v>
      </c>
      <c r="E125" s="620">
        <f t="shared" si="9"/>
        <v>0.42107324429007298</v>
      </c>
      <c r="F125" s="620">
        <f t="shared" si="9"/>
        <v>0.49488623202952642</v>
      </c>
      <c r="G125" s="620">
        <f t="shared" si="9"/>
        <v>0.56991629644802488</v>
      </c>
      <c r="H125" s="620">
        <f t="shared" si="9"/>
        <v>0.53626180162138459</v>
      </c>
      <c r="I125" s="620">
        <f t="shared" si="9"/>
        <v>0.52651520593567536</v>
      </c>
      <c r="J125" s="623">
        <f t="shared" si="9"/>
        <v>0.7759816853462268</v>
      </c>
      <c r="K125" s="623">
        <f t="shared" si="9"/>
        <v>0.78828090738911971</v>
      </c>
      <c r="L125" s="623">
        <f t="shared" si="9"/>
        <v>0.79929989551475966</v>
      </c>
      <c r="M125" s="623">
        <f t="shared" si="9"/>
        <v>0.80380124197548719</v>
      </c>
      <c r="N125" s="623">
        <f t="shared" si="9"/>
        <v>0.81304978275956175</v>
      </c>
      <c r="O125" s="417">
        <f t="shared" si="9"/>
        <v>0.69677550373090769</v>
      </c>
      <c r="P125" s="620">
        <f>IF(P122=0,0,P124/P122)</f>
        <v>0.52590979382201308</v>
      </c>
      <c r="Q125" s="729"/>
      <c r="R125" s="729"/>
      <c r="S125" s="729"/>
      <c r="T125" s="729"/>
      <c r="U125" s="729"/>
      <c r="V125" s="729"/>
      <c r="W125" s="729"/>
      <c r="X125" s="729"/>
      <c r="Y125" s="729"/>
      <c r="Z125" s="729"/>
      <c r="AA125" s="729"/>
      <c r="AB125" s="729"/>
      <c r="AC125" s="729"/>
      <c r="AD125" s="729"/>
      <c r="AE125" s="729"/>
    </row>
    <row r="126" spans="1:31">
      <c r="A126" s="729"/>
      <c r="B126" s="674" t="s">
        <v>283</v>
      </c>
      <c r="C126" s="619">
        <f>'Modelo Base'!F56</f>
        <v>98722435</v>
      </c>
      <c r="D126" s="619">
        <f>'Modelo Base'!G56</f>
        <v>105633472</v>
      </c>
      <c r="E126" s="619">
        <f>'Modelo Base'!H56</f>
        <v>141811865</v>
      </c>
      <c r="F126" s="619">
        <f>'Modelo Base'!I56</f>
        <v>114280887</v>
      </c>
      <c r="G126" s="619">
        <f>'Modelo Base'!J56</f>
        <v>116808824</v>
      </c>
      <c r="H126" s="619">
        <f>'Modelo Base'!K56</f>
        <v>112288693</v>
      </c>
      <c r="I126" s="619">
        <f>'Modelo Base'!L56</f>
        <v>107932742</v>
      </c>
      <c r="J126" s="622">
        <f>'Modelo Base'!M56</f>
        <v>135399979.66666666</v>
      </c>
      <c r="K126" s="622">
        <f>'Modelo Base'!N56</f>
        <v>135399979.66666666</v>
      </c>
      <c r="L126" s="622">
        <f>'Modelo Base'!O56</f>
        <v>135399979.66666666</v>
      </c>
      <c r="M126" s="622">
        <f>'Modelo Base'!P56</f>
        <v>135399979.66666666</v>
      </c>
      <c r="N126" s="622">
        <f>'Modelo Base'!Q56</f>
        <v>135399979.66666666</v>
      </c>
      <c r="O126" s="416">
        <f>SUM(C126:N126)</f>
        <v>1474478816.3333335</v>
      </c>
      <c r="P126" s="625">
        <f>SUM(C126:I126)</f>
        <v>797478918</v>
      </c>
      <c r="Q126" s="729"/>
      <c r="R126" s="729"/>
      <c r="S126" s="729"/>
      <c r="T126" s="729"/>
      <c r="U126" s="729"/>
      <c r="V126" s="729"/>
      <c r="W126" s="729"/>
      <c r="X126" s="729"/>
      <c r="Y126" s="729"/>
      <c r="Z126" s="729"/>
      <c r="AA126" s="729"/>
      <c r="AB126" s="729"/>
      <c r="AC126" s="729"/>
      <c r="AD126" s="729"/>
      <c r="AE126" s="729"/>
    </row>
    <row r="127" spans="1:31">
      <c r="A127" s="729"/>
      <c r="B127" s="674" t="s">
        <v>284</v>
      </c>
      <c r="C127" s="619">
        <f>'Modelo Base'!F57</f>
        <v>131600259</v>
      </c>
      <c r="D127" s="619">
        <f>'Modelo Base'!G57</f>
        <v>173632204</v>
      </c>
      <c r="E127" s="619">
        <f>'Modelo Base'!H57</f>
        <v>139615776</v>
      </c>
      <c r="F127" s="619">
        <f>'Modelo Base'!I57</f>
        <v>130090415</v>
      </c>
      <c r="G127" s="619">
        <f>'Modelo Base'!J57</f>
        <v>120233213</v>
      </c>
      <c r="H127" s="619">
        <f>'Modelo Base'!K57</f>
        <v>146803460</v>
      </c>
      <c r="I127" s="619">
        <f>'Modelo Base'!L57</f>
        <v>117761236</v>
      </c>
      <c r="J127" s="622">
        <f>'Modelo Base'!M57</f>
        <v>230883032.25</v>
      </c>
      <c r="K127" s="622">
        <f>'Modelo Base'!N57</f>
        <v>230883032.25</v>
      </c>
      <c r="L127" s="622">
        <f>'Modelo Base'!O57</f>
        <v>230883032.25</v>
      </c>
      <c r="M127" s="622">
        <f>'Modelo Base'!P57</f>
        <v>237664417.25</v>
      </c>
      <c r="N127" s="622">
        <f>'Modelo Base'!Q57</f>
        <v>237664417.25</v>
      </c>
      <c r="O127" s="416">
        <f>SUM(C127:N127)</f>
        <v>2127714494.25</v>
      </c>
      <c r="P127" s="625">
        <f>SUM(C127:I127)</f>
        <v>959736563</v>
      </c>
      <c r="Q127" s="729"/>
      <c r="R127" s="729"/>
      <c r="S127" s="729"/>
      <c r="T127" s="729"/>
      <c r="U127" s="729"/>
      <c r="V127" s="729"/>
      <c r="W127" s="729"/>
      <c r="X127" s="729"/>
      <c r="Y127" s="729"/>
      <c r="Z127" s="729"/>
      <c r="AA127" s="729"/>
      <c r="AB127" s="729"/>
      <c r="AC127" s="729"/>
      <c r="AD127" s="729"/>
      <c r="AE127" s="729"/>
    </row>
    <row r="128" spans="1:31">
      <c r="A128" s="729"/>
      <c r="B128" s="674" t="s">
        <v>294</v>
      </c>
      <c r="C128" s="619">
        <f>'Modelo Base'!F58</f>
        <v>73409852</v>
      </c>
      <c r="D128" s="619">
        <f>'Modelo Base'!G58</f>
        <v>75509638</v>
      </c>
      <c r="E128" s="619">
        <f>'Modelo Base'!H58</f>
        <v>72217138</v>
      </c>
      <c r="F128" s="619">
        <f>'Modelo Base'!I58</f>
        <v>122384514</v>
      </c>
      <c r="G128" s="619">
        <f>'Modelo Base'!J58</f>
        <v>120992711</v>
      </c>
      <c r="H128" s="619">
        <f>'Modelo Base'!K58</f>
        <v>108908060</v>
      </c>
      <c r="I128" s="619">
        <f>'Modelo Base'!L58</f>
        <v>102936374</v>
      </c>
      <c r="J128" s="622">
        <f>'Modelo Base'!M58</f>
        <v>113025240.66666666</v>
      </c>
      <c r="K128" s="622">
        <f>'Modelo Base'!N58</f>
        <v>113025240.66666666</v>
      </c>
      <c r="L128" s="622">
        <f>'Modelo Base'!O58</f>
        <v>113025240.66666666</v>
      </c>
      <c r="M128" s="622">
        <f>'Modelo Base'!P58</f>
        <v>113025240.66666666</v>
      </c>
      <c r="N128" s="622">
        <f>'Modelo Base'!Q58</f>
        <v>113025240.66666666</v>
      </c>
      <c r="O128" s="416">
        <f>SUM(C128:N128)</f>
        <v>1241484490.3333333</v>
      </c>
      <c r="P128" s="625">
        <f>SUM(C128:I128)</f>
        <v>676358287</v>
      </c>
      <c r="Q128" s="729"/>
      <c r="R128" s="729"/>
      <c r="S128" s="729"/>
      <c r="T128" s="729"/>
      <c r="U128" s="729"/>
      <c r="V128" s="729"/>
      <c r="W128" s="729"/>
      <c r="X128" s="729"/>
      <c r="Y128" s="729"/>
      <c r="Z128" s="729"/>
      <c r="AA128" s="729"/>
      <c r="AB128" s="729"/>
      <c r="AC128" s="729"/>
      <c r="AD128" s="729"/>
      <c r="AE128" s="729"/>
    </row>
    <row r="129" spans="1:31">
      <c r="A129" s="729"/>
      <c r="B129" s="678" t="s">
        <v>278</v>
      </c>
      <c r="C129" s="618">
        <f>'Modelo Base'!F59</f>
        <v>69979361</v>
      </c>
      <c r="D129" s="618">
        <f>'Modelo Base'!G59</f>
        <v>46134032</v>
      </c>
      <c r="E129" s="618">
        <f>'Modelo Base'!H59</f>
        <v>-22242793</v>
      </c>
      <c r="F129" s="618">
        <f>'Modelo Base'!I59</f>
        <v>4838252</v>
      </c>
      <c r="G129" s="618">
        <f>'Modelo Base'!J59</f>
        <v>113009475</v>
      </c>
      <c r="H129" s="618">
        <f>'Modelo Base'!K59</f>
        <v>34975495</v>
      </c>
      <c r="I129" s="618">
        <f>'Modelo Base'!L59</f>
        <v>29342362</v>
      </c>
      <c r="J129" s="621">
        <f>'Modelo Base'!M59</f>
        <v>741796758.42857134</v>
      </c>
      <c r="K129" s="621">
        <f>'Modelo Base'!N59</f>
        <v>833212115.57142842</v>
      </c>
      <c r="L129" s="621">
        <f>'Modelo Base'!O59</f>
        <v>924627472.71428597</v>
      </c>
      <c r="M129" s="621">
        <f>'Modelo Base'!P59</f>
        <v>999232285.85714304</v>
      </c>
      <c r="N129" s="621">
        <f>'Modelo Base'!Q59</f>
        <v>1090647643</v>
      </c>
      <c r="O129" s="412">
        <f>SUM(C129:N129)</f>
        <v>4865552459.5714283</v>
      </c>
      <c r="P129" s="624">
        <f>SUM(C129:I129)</f>
        <v>276036184</v>
      </c>
      <c r="Q129" s="729"/>
      <c r="R129" s="729"/>
      <c r="S129" s="729"/>
      <c r="T129" s="729"/>
      <c r="U129" s="729"/>
      <c r="V129" s="729"/>
      <c r="W129" s="729"/>
      <c r="X129" s="729"/>
      <c r="Y129" s="729"/>
      <c r="Z129" s="729"/>
      <c r="AA129" s="729"/>
      <c r="AB129" s="729"/>
      <c r="AC129" s="729"/>
      <c r="AD129" s="729"/>
      <c r="AE129" s="729"/>
    </row>
    <row r="130" spans="1:31">
      <c r="A130" s="729"/>
      <c r="B130" s="875" t="s">
        <v>279</v>
      </c>
      <c r="C130" s="620">
        <f t="shared" ref="C130:O130" si="10">IF(C122=0,0,C129/C122)</f>
        <v>0.11429909967109864</v>
      </c>
      <c r="D130" s="620">
        <f t="shared" si="10"/>
        <v>6.1989932395318657E-2</v>
      </c>
      <c r="E130" s="620">
        <f t="shared" si="10"/>
        <v>-2.8261282087134278E-2</v>
      </c>
      <c r="F130" s="620">
        <f t="shared" si="10"/>
        <v>6.4435482373989888E-3</v>
      </c>
      <c r="G130" s="620">
        <f t="shared" si="10"/>
        <v>0.13673013766169395</v>
      </c>
      <c r="H130" s="620">
        <f t="shared" si="10"/>
        <v>4.6543802986009589E-2</v>
      </c>
      <c r="I130" s="620">
        <f t="shared" si="10"/>
        <v>4.3157478676067854E-2</v>
      </c>
      <c r="J130" s="623">
        <f t="shared" si="10"/>
        <v>0.47139328198544167</v>
      </c>
      <c r="K130" s="623">
        <f t="shared" si="10"/>
        <v>0.50041524569530227</v>
      </c>
      <c r="L130" s="623">
        <f t="shared" si="10"/>
        <v>0.5264162945735521</v>
      </c>
      <c r="M130" s="623">
        <f t="shared" si="10"/>
        <v>0.54074752396675563</v>
      </c>
      <c r="N130" s="623">
        <f t="shared" si="10"/>
        <v>0.56239605679921101</v>
      </c>
      <c r="O130" s="417">
        <f t="shared" si="10"/>
        <v>0.34917266096196276</v>
      </c>
      <c r="P130" s="620">
        <f>IF(P122=0,0,P129/P122)</f>
        <v>5.3576025769946412E-2</v>
      </c>
      <c r="Q130" s="729"/>
      <c r="R130" s="729"/>
      <c r="S130" s="729"/>
      <c r="T130" s="729"/>
      <c r="U130" s="729"/>
      <c r="V130" s="729"/>
      <c r="W130" s="729"/>
      <c r="X130" s="729"/>
      <c r="Y130" s="729"/>
      <c r="Z130" s="729"/>
      <c r="AA130" s="729"/>
      <c r="AB130" s="729"/>
      <c r="AC130" s="729"/>
      <c r="AD130" s="729"/>
      <c r="AE130" s="729"/>
    </row>
    <row r="131" spans="1:31">
      <c r="A131" s="729"/>
      <c r="B131" s="674" t="s">
        <v>295</v>
      </c>
      <c r="C131" s="619">
        <f>'Modelo Base'!F67</f>
        <v>63485497</v>
      </c>
      <c r="D131" s="619">
        <f>'Modelo Base'!G67</f>
        <v>54048915</v>
      </c>
      <c r="E131" s="619">
        <f>'Modelo Base'!H67</f>
        <v>-37938007</v>
      </c>
      <c r="F131" s="619">
        <f>'Modelo Base'!I67</f>
        <v>706203</v>
      </c>
      <c r="G131" s="619">
        <f>'Modelo Base'!J67</f>
        <v>108374968</v>
      </c>
      <c r="H131" s="619">
        <f>'Modelo Base'!K67</f>
        <v>33343650</v>
      </c>
      <c r="I131" s="619">
        <f>'Modelo Base'!L67</f>
        <v>24707052</v>
      </c>
      <c r="J131" s="622">
        <f>'Modelo Base'!M67</f>
        <v>740920042.32968235</v>
      </c>
      <c r="K131" s="622">
        <f>'Modelo Base'!N67</f>
        <v>832276500.53571534</v>
      </c>
      <c r="L131" s="622">
        <f>'Modelo Base'!O67</f>
        <v>923633940.39069593</v>
      </c>
      <c r="M131" s="622">
        <f>'Modelo Base'!P67</f>
        <v>998181801.53380728</v>
      </c>
      <c r="N131" s="622">
        <f>'Modelo Base'!Q67</f>
        <v>1089541155.8769145</v>
      </c>
      <c r="O131" s="416">
        <f>SUM(C131:N131)</f>
        <v>4831281718.6668148</v>
      </c>
      <c r="P131" s="625">
        <f>SUM(C131:I131)</f>
        <v>246728278</v>
      </c>
      <c r="Q131" s="729"/>
      <c r="R131" s="729"/>
      <c r="S131" s="729"/>
      <c r="T131" s="729"/>
      <c r="U131" s="729"/>
      <c r="V131" s="729"/>
      <c r="W131" s="729"/>
      <c r="X131" s="729"/>
      <c r="Y131" s="729"/>
      <c r="Z131" s="729"/>
      <c r="AA131" s="729"/>
      <c r="AB131" s="729"/>
      <c r="AC131" s="729"/>
      <c r="AD131" s="729"/>
      <c r="AE131" s="729"/>
    </row>
    <row r="132" spans="1:31">
      <c r="A132" s="729"/>
      <c r="B132" s="674" t="s">
        <v>267</v>
      </c>
      <c r="C132" s="619">
        <f>'Modelo Base'!F69</f>
        <v>0</v>
      </c>
      <c r="D132" s="619">
        <f>'Modelo Base'!G69</f>
        <v>0</v>
      </c>
      <c r="E132" s="619">
        <f>'Modelo Base'!H69</f>
        <v>0</v>
      </c>
      <c r="F132" s="619">
        <f>'Modelo Base'!I69</f>
        <v>0</v>
      </c>
      <c r="G132" s="619">
        <f>'Modelo Base'!J69</f>
        <v>0</v>
      </c>
      <c r="H132" s="619">
        <f>'Modelo Base'!K69</f>
        <v>0</v>
      </c>
      <c r="I132" s="619">
        <f>'Modelo Base'!L69</f>
        <v>0</v>
      </c>
      <c r="J132" s="622">
        <f>'Modelo Base'!M69</f>
        <v>259322014.8153888</v>
      </c>
      <c r="K132" s="622">
        <f>'Modelo Base'!N69</f>
        <v>291296775.18750036</v>
      </c>
      <c r="L132" s="622">
        <f>'Modelo Base'!O69</f>
        <v>323271879.13674355</v>
      </c>
      <c r="M132" s="622">
        <f>'Modelo Base'!P69</f>
        <v>349363630.53683251</v>
      </c>
      <c r="N132" s="622">
        <f>'Modelo Base'!Q69</f>
        <v>381339404.55692005</v>
      </c>
      <c r="O132" s="416">
        <f>SUM(C132:N132)</f>
        <v>1604593704.2333853</v>
      </c>
      <c r="P132" s="625">
        <f>SUM(C132:I132)</f>
        <v>0</v>
      </c>
      <c r="Q132" s="729"/>
      <c r="R132" s="729"/>
      <c r="S132" s="729"/>
      <c r="T132" s="729"/>
      <c r="U132" s="729"/>
      <c r="V132" s="729"/>
      <c r="W132" s="729"/>
      <c r="X132" s="729"/>
      <c r="Y132" s="729"/>
      <c r="Z132" s="729"/>
      <c r="AA132" s="729"/>
      <c r="AB132" s="729"/>
      <c r="AC132" s="729"/>
      <c r="AD132" s="729"/>
      <c r="AE132" s="729"/>
    </row>
    <row r="133" spans="1:31">
      <c r="A133" s="729"/>
      <c r="B133" s="263" t="s">
        <v>268</v>
      </c>
      <c r="C133" s="618">
        <f>'Modelo Base'!F70</f>
        <v>63485497</v>
      </c>
      <c r="D133" s="618">
        <f>'Modelo Base'!G70</f>
        <v>54048915</v>
      </c>
      <c r="E133" s="618">
        <f>'Modelo Base'!H70</f>
        <v>-37938007</v>
      </c>
      <c r="F133" s="618">
        <f>'Modelo Base'!I70</f>
        <v>706203</v>
      </c>
      <c r="G133" s="618">
        <f>'Modelo Base'!J70</f>
        <v>108374968</v>
      </c>
      <c r="H133" s="618">
        <f>'Modelo Base'!K70</f>
        <v>33343650</v>
      </c>
      <c r="I133" s="618">
        <f>'Modelo Base'!L70</f>
        <v>24707052</v>
      </c>
      <c r="J133" s="621">
        <f>'Modelo Base'!M70</f>
        <v>481598027.51429355</v>
      </c>
      <c r="K133" s="621">
        <f>'Modelo Base'!N70</f>
        <v>540979725.34821498</v>
      </c>
      <c r="L133" s="621">
        <f>'Modelo Base'!O70</f>
        <v>600362061.25395238</v>
      </c>
      <c r="M133" s="621">
        <f>'Modelo Base'!P70</f>
        <v>648818170.99697471</v>
      </c>
      <c r="N133" s="621">
        <f>'Modelo Base'!Q70</f>
        <v>708201751.31999445</v>
      </c>
      <c r="O133" s="412">
        <f>SUM(C133:N133)</f>
        <v>3226688014.4334302</v>
      </c>
      <c r="P133" s="624">
        <f>SUM(C133:I133)</f>
        <v>246728278</v>
      </c>
      <c r="Q133" s="729"/>
      <c r="R133" s="729"/>
      <c r="S133" s="729"/>
      <c r="T133" s="729"/>
      <c r="U133" s="729"/>
      <c r="V133" s="729"/>
      <c r="W133" s="729"/>
      <c r="X133" s="729"/>
      <c r="Y133" s="729"/>
      <c r="Z133" s="729"/>
      <c r="AA133" s="729"/>
      <c r="AB133" s="729"/>
      <c r="AC133" s="729"/>
      <c r="AD133" s="729"/>
      <c r="AE133" s="729"/>
    </row>
    <row r="134" spans="1:31">
      <c r="A134" s="729"/>
      <c r="B134" s="875" t="s">
        <v>280</v>
      </c>
      <c r="C134" s="620">
        <f t="shared" ref="C134:O134" si="11">IF(C122=0,0,C133/C122)</f>
        <v>0.10369250369794365</v>
      </c>
      <c r="D134" s="620">
        <f t="shared" si="11"/>
        <v>7.2625097821285692E-2</v>
      </c>
      <c r="E134" s="620">
        <f t="shared" si="11"/>
        <v>-4.820333119364438E-2</v>
      </c>
      <c r="F134" s="620">
        <f t="shared" si="11"/>
        <v>9.4051593341890386E-4</v>
      </c>
      <c r="G134" s="620">
        <f t="shared" si="11"/>
        <v>0.13112284871442573</v>
      </c>
      <c r="H134" s="620">
        <f t="shared" si="11"/>
        <v>4.4372217646511038E-2</v>
      </c>
      <c r="I134" s="620">
        <f t="shared" si="11"/>
        <v>3.6339748989481474E-2</v>
      </c>
      <c r="J134" s="623">
        <f t="shared" si="11"/>
        <v>0.30604349804467113</v>
      </c>
      <c r="K134" s="623">
        <f t="shared" si="11"/>
        <v>0.32490466367096016</v>
      </c>
      <c r="L134" s="623">
        <f t="shared" si="11"/>
        <v>0.34180292173246229</v>
      </c>
      <c r="M134" s="623">
        <f t="shared" si="11"/>
        <v>0.35111637647926497</v>
      </c>
      <c r="N134" s="623">
        <f t="shared" si="11"/>
        <v>0.36518657049044789</v>
      </c>
      <c r="O134" s="870">
        <f t="shared" si="11"/>
        <v>0.23156080413385027</v>
      </c>
      <c r="P134" s="620">
        <f>IF(P122=0,0,P133/P122)</f>
        <v>4.7887637007409514E-2</v>
      </c>
      <c r="Q134" s="729"/>
      <c r="R134" s="729"/>
      <c r="S134" s="729"/>
      <c r="T134" s="729"/>
      <c r="U134" s="729"/>
      <c r="V134" s="729"/>
      <c r="W134" s="729"/>
      <c r="X134" s="729"/>
      <c r="Y134" s="729"/>
      <c r="Z134" s="729"/>
      <c r="AA134" s="729"/>
      <c r="AB134" s="729"/>
      <c r="AC134" s="729"/>
      <c r="AD134" s="729"/>
      <c r="AE134" s="729"/>
    </row>
    <row r="135" spans="1:31">
      <c r="A135" s="729"/>
      <c r="B135" s="875"/>
      <c r="C135" s="876"/>
      <c r="D135" s="876"/>
      <c r="E135" s="876"/>
      <c r="F135" s="876"/>
      <c r="G135" s="876"/>
      <c r="H135" s="876"/>
      <c r="I135" s="876"/>
      <c r="J135" s="876"/>
      <c r="K135" s="876"/>
      <c r="L135" s="876"/>
      <c r="M135" s="876"/>
      <c r="N135" s="876"/>
      <c r="O135" s="876"/>
      <c r="P135" s="674"/>
      <c r="Q135" s="729"/>
      <c r="R135" s="729"/>
      <c r="S135" s="729"/>
      <c r="T135" s="729"/>
      <c r="U135" s="729"/>
      <c r="V135" s="729"/>
      <c r="W135" s="729"/>
      <c r="X135" s="729"/>
      <c r="Y135" s="729"/>
      <c r="Z135" s="729"/>
      <c r="AA135" s="729"/>
      <c r="AB135" s="729"/>
      <c r="AC135" s="729"/>
      <c r="AD135" s="729"/>
      <c r="AE135" s="729"/>
    </row>
    <row r="136" spans="1:31" ht="15" thickBot="1">
      <c r="A136" s="729"/>
      <c r="B136" s="260" t="s">
        <v>1209</v>
      </c>
      <c r="C136" s="260"/>
      <c r="D136" s="260"/>
      <c r="E136" s="260"/>
      <c r="F136" s="260"/>
      <c r="G136" s="876"/>
      <c r="H136" s="876"/>
      <c r="I136" s="876"/>
      <c r="J136" s="876"/>
      <c r="K136" s="876"/>
      <c r="L136" s="106" t="s">
        <v>272</v>
      </c>
      <c r="M136" s="876"/>
      <c r="N136" s="876"/>
      <c r="O136" s="876"/>
      <c r="P136" s="674"/>
      <c r="Q136" s="729"/>
      <c r="R136" s="729"/>
      <c r="S136" s="729"/>
      <c r="T136" s="729"/>
      <c r="U136" s="729"/>
      <c r="V136" s="729"/>
      <c r="W136" s="729"/>
      <c r="X136" s="729"/>
      <c r="Y136" s="729"/>
      <c r="Z136" s="729"/>
      <c r="AA136" s="729"/>
      <c r="AB136" s="729"/>
      <c r="AC136" s="729"/>
      <c r="AD136" s="729"/>
      <c r="AE136" s="729"/>
    </row>
    <row r="137" spans="1:31">
      <c r="A137" s="729"/>
      <c r="B137" s="781" t="s">
        <v>320</v>
      </c>
      <c r="C137" s="876"/>
      <c r="D137" s="876"/>
      <c r="E137" s="876"/>
      <c r="F137" s="876"/>
      <c r="G137" s="876"/>
      <c r="H137" s="876"/>
      <c r="I137" s="876"/>
      <c r="J137" s="876"/>
      <c r="K137" s="876"/>
      <c r="L137" s="877" t="s">
        <v>297</v>
      </c>
      <c r="M137" s="394">
        <f>M45</f>
        <v>3690</v>
      </c>
      <c r="N137" s="870">
        <f>$M$94</f>
        <v>3690</v>
      </c>
      <c r="O137" s="876"/>
      <c r="P137" s="674"/>
      <c r="Q137" s="729"/>
      <c r="R137" s="729"/>
      <c r="S137" s="729"/>
      <c r="T137" s="729"/>
      <c r="U137" s="729"/>
      <c r="V137" s="729"/>
      <c r="W137" s="729"/>
      <c r="X137" s="729"/>
      <c r="Y137" s="729"/>
      <c r="Z137" s="729"/>
      <c r="AA137" s="729"/>
      <c r="AB137" s="729"/>
      <c r="AC137" s="729"/>
      <c r="AD137" s="729"/>
      <c r="AE137" s="729"/>
    </row>
    <row r="138" spans="1:31">
      <c r="A138" s="729"/>
      <c r="B138" s="875"/>
      <c r="C138" s="876"/>
      <c r="D138" s="876"/>
      <c r="E138" s="876"/>
      <c r="F138" s="876"/>
      <c r="G138" s="876"/>
      <c r="H138" s="876"/>
      <c r="I138" s="876"/>
      <c r="J138" s="876"/>
      <c r="K138" s="876"/>
      <c r="L138" s="876"/>
      <c r="M138" s="876"/>
      <c r="N138" s="876"/>
      <c r="O138" s="876"/>
      <c r="P138" s="674"/>
      <c r="Q138" s="729"/>
      <c r="R138" s="729"/>
      <c r="S138" s="729"/>
      <c r="T138" s="729"/>
      <c r="U138" s="729"/>
      <c r="V138" s="729"/>
      <c r="W138" s="729"/>
      <c r="X138" s="729"/>
      <c r="Y138" s="729"/>
      <c r="Z138" s="729"/>
      <c r="AA138" s="729"/>
      <c r="AB138" s="729"/>
      <c r="AC138" s="729"/>
      <c r="AD138" s="729"/>
      <c r="AE138" s="729"/>
    </row>
    <row r="139" spans="1:31" ht="30" customHeight="1">
      <c r="A139" s="729"/>
      <c r="B139" s="580" t="s">
        <v>298</v>
      </c>
      <c r="C139" s="579" t="s">
        <v>51</v>
      </c>
      <c r="D139" s="579" t="s">
        <v>52</v>
      </c>
      <c r="E139" s="579" t="s">
        <v>53</v>
      </c>
      <c r="F139" s="579" t="s">
        <v>54</v>
      </c>
      <c r="G139" s="579" t="s">
        <v>55</v>
      </c>
      <c r="H139" s="579" t="s">
        <v>56</v>
      </c>
      <c r="I139" s="579" t="s">
        <v>57</v>
      </c>
      <c r="J139" s="579" t="s">
        <v>58</v>
      </c>
      <c r="K139" s="579" t="s">
        <v>59</v>
      </c>
      <c r="L139" s="579" t="s">
        <v>60</v>
      </c>
      <c r="M139" s="579" t="s">
        <v>61</v>
      </c>
      <c r="N139" s="579" t="s">
        <v>62</v>
      </c>
      <c r="O139" s="579" t="s">
        <v>16</v>
      </c>
      <c r="P139" s="461"/>
      <c r="Q139" s="729"/>
      <c r="R139" s="729"/>
      <c r="S139" s="729"/>
      <c r="T139" s="729"/>
      <c r="U139" s="729"/>
      <c r="V139" s="729"/>
      <c r="W139" s="729"/>
      <c r="X139" s="729"/>
      <c r="Y139" s="729"/>
      <c r="Z139" s="729"/>
      <c r="AA139" s="729"/>
      <c r="AB139" s="729"/>
      <c r="AC139" s="729"/>
      <c r="AD139" s="729"/>
      <c r="AE139" s="729"/>
    </row>
    <row r="140" spans="1:31">
      <c r="A140" s="729"/>
      <c r="B140" s="875" t="s">
        <v>299</v>
      </c>
      <c r="C140" s="889">
        <f t="shared" ref="C140:O140" si="12">C48*$M$94</f>
        <v>612247701</v>
      </c>
      <c r="D140" s="889">
        <f t="shared" si="12"/>
        <v>744218137</v>
      </c>
      <c r="E140" s="889">
        <f t="shared" si="12"/>
        <v>787041187</v>
      </c>
      <c r="F140" s="889">
        <f t="shared" si="12"/>
        <v>750867662</v>
      </c>
      <c r="G140" s="889">
        <f t="shared" si="12"/>
        <v>0</v>
      </c>
      <c r="H140" s="889">
        <f t="shared" si="12"/>
        <v>0</v>
      </c>
      <c r="I140" s="889">
        <f t="shared" si="12"/>
        <v>0</v>
      </c>
      <c r="J140" s="889">
        <f t="shared" si="12"/>
        <v>0</v>
      </c>
      <c r="K140" s="889">
        <f t="shared" si="12"/>
        <v>0</v>
      </c>
      <c r="L140" s="889">
        <f t="shared" si="12"/>
        <v>0</v>
      </c>
      <c r="M140" s="889">
        <f t="shared" si="12"/>
        <v>0</v>
      </c>
      <c r="N140" s="889">
        <f t="shared" si="12"/>
        <v>0</v>
      </c>
      <c r="O140" s="430">
        <f t="shared" si="12"/>
        <v>2894374687</v>
      </c>
      <c r="P140" s="674"/>
      <c r="Q140" s="729"/>
      <c r="R140" s="729"/>
      <c r="S140" s="729"/>
      <c r="T140" s="729"/>
      <c r="U140" s="729"/>
      <c r="V140" s="729"/>
      <c r="W140" s="729"/>
      <c r="X140" s="729"/>
      <c r="Y140" s="729"/>
      <c r="Z140" s="729"/>
      <c r="AA140" s="729"/>
      <c r="AB140" s="729"/>
      <c r="AC140" s="729"/>
      <c r="AD140" s="729"/>
      <c r="AE140" s="729"/>
    </row>
    <row r="141" spans="1:31">
      <c r="A141" s="729"/>
      <c r="B141" s="875" t="s">
        <v>300</v>
      </c>
      <c r="C141" s="889">
        <f t="shared" ref="C141:O141" si="13">C49*$M$94</f>
        <v>0</v>
      </c>
      <c r="D141" s="889">
        <f t="shared" si="13"/>
        <v>0</v>
      </c>
      <c r="E141" s="889">
        <f t="shared" si="13"/>
        <v>0</v>
      </c>
      <c r="F141" s="889">
        <f t="shared" si="13"/>
        <v>0</v>
      </c>
      <c r="G141" s="889">
        <f t="shared" si="13"/>
        <v>800000000</v>
      </c>
      <c r="H141" s="889">
        <f t="shared" si="13"/>
        <v>800000000</v>
      </c>
      <c r="I141" s="889">
        <f t="shared" si="13"/>
        <v>800000000</v>
      </c>
      <c r="J141" s="889">
        <f t="shared" si="13"/>
        <v>800000000</v>
      </c>
      <c r="K141" s="889">
        <f t="shared" si="13"/>
        <v>800000000</v>
      </c>
      <c r="L141" s="889">
        <f t="shared" si="13"/>
        <v>800000000</v>
      </c>
      <c r="M141" s="889">
        <f t="shared" si="13"/>
        <v>800000000</v>
      </c>
      <c r="N141" s="889">
        <f t="shared" si="13"/>
        <v>800000000</v>
      </c>
      <c r="O141" s="430">
        <f t="shared" si="13"/>
        <v>6400000000</v>
      </c>
      <c r="P141" s="674"/>
      <c r="Q141" s="729"/>
      <c r="R141" s="729"/>
      <c r="S141" s="729"/>
      <c r="T141" s="729"/>
      <c r="U141" s="729"/>
      <c r="V141" s="729"/>
      <c r="W141" s="729"/>
      <c r="X141" s="729"/>
      <c r="Y141" s="729"/>
      <c r="Z141" s="729"/>
      <c r="AA141" s="729"/>
      <c r="AB141" s="729"/>
      <c r="AC141" s="729"/>
      <c r="AD141" s="729"/>
      <c r="AE141" s="729"/>
    </row>
    <row r="142" spans="1:31">
      <c r="A142" s="729"/>
      <c r="B142" s="875" t="s">
        <v>301</v>
      </c>
      <c r="C142" s="889">
        <f t="shared" ref="C142:O142" si="14">C50*$M$94</f>
        <v>0</v>
      </c>
      <c r="D142" s="889">
        <f t="shared" si="14"/>
        <v>0</v>
      </c>
      <c r="E142" s="889">
        <f t="shared" si="14"/>
        <v>0</v>
      </c>
      <c r="F142" s="889">
        <f t="shared" si="14"/>
        <v>0</v>
      </c>
      <c r="G142" s="889">
        <f t="shared" si="14"/>
        <v>61336000</v>
      </c>
      <c r="H142" s="889">
        <f t="shared" si="14"/>
        <v>92004000</v>
      </c>
      <c r="I142" s="889">
        <f t="shared" si="14"/>
        <v>122672000</v>
      </c>
      <c r="J142" s="889">
        <f t="shared" si="14"/>
        <v>153340000</v>
      </c>
      <c r="K142" s="889">
        <f t="shared" si="14"/>
        <v>184008000</v>
      </c>
      <c r="L142" s="889">
        <f t="shared" si="14"/>
        <v>214676000</v>
      </c>
      <c r="M142" s="889">
        <f t="shared" si="14"/>
        <v>245344000</v>
      </c>
      <c r="N142" s="889">
        <f t="shared" si="14"/>
        <v>276012000</v>
      </c>
      <c r="O142" s="430">
        <f t="shared" si="14"/>
        <v>1349392000</v>
      </c>
      <c r="P142" s="674"/>
      <c r="Q142" s="729"/>
      <c r="R142" s="729"/>
      <c r="S142" s="729"/>
      <c r="T142" s="729"/>
      <c r="U142" s="729"/>
      <c r="V142" s="729"/>
      <c r="W142" s="729"/>
      <c r="X142" s="729"/>
      <c r="Y142" s="729"/>
      <c r="Z142" s="729"/>
      <c r="AA142" s="729"/>
      <c r="AB142" s="729"/>
      <c r="AC142" s="729"/>
      <c r="AD142" s="729"/>
      <c r="AE142" s="729"/>
    </row>
    <row r="143" spans="1:31">
      <c r="A143" s="729"/>
      <c r="B143" s="875" t="s">
        <v>302</v>
      </c>
      <c r="C143" s="889">
        <f t="shared" ref="C143:O143" si="15">C51*$M$94</f>
        <v>0</v>
      </c>
      <c r="D143" s="889">
        <f t="shared" si="15"/>
        <v>0</v>
      </c>
      <c r="E143" s="889">
        <f t="shared" si="15"/>
        <v>0</v>
      </c>
      <c r="F143" s="889">
        <f t="shared" si="15"/>
        <v>0</v>
      </c>
      <c r="G143" s="889">
        <f t="shared" si="15"/>
        <v>10332000</v>
      </c>
      <c r="H143" s="889">
        <f t="shared" si="15"/>
        <v>15498000</v>
      </c>
      <c r="I143" s="889">
        <f t="shared" si="15"/>
        <v>20664000</v>
      </c>
      <c r="J143" s="889">
        <f t="shared" si="15"/>
        <v>25830000</v>
      </c>
      <c r="K143" s="889">
        <f t="shared" si="15"/>
        <v>30996000</v>
      </c>
      <c r="L143" s="889">
        <f t="shared" si="15"/>
        <v>36162000</v>
      </c>
      <c r="M143" s="889">
        <f t="shared" si="15"/>
        <v>41328000</v>
      </c>
      <c r="N143" s="889">
        <f t="shared" si="15"/>
        <v>46494000</v>
      </c>
      <c r="O143" s="430">
        <f t="shared" si="15"/>
        <v>227304000</v>
      </c>
      <c r="P143" s="674"/>
      <c r="Q143" s="729"/>
      <c r="R143" s="729"/>
      <c r="S143" s="729"/>
      <c r="T143" s="729"/>
      <c r="U143" s="729"/>
      <c r="V143" s="729"/>
      <c r="W143" s="729"/>
      <c r="X143" s="729"/>
      <c r="Y143" s="729"/>
      <c r="Z143" s="729"/>
      <c r="AA143" s="729"/>
      <c r="AB143" s="729"/>
      <c r="AC143" s="729"/>
      <c r="AD143" s="729"/>
      <c r="AE143" s="729"/>
    </row>
    <row r="144" spans="1:31">
      <c r="A144" s="729"/>
      <c r="B144" s="875" t="s">
        <v>303</v>
      </c>
      <c r="C144" s="889">
        <f t="shared" ref="C144:O144" si="16">C52*$M$94</f>
        <v>0</v>
      </c>
      <c r="D144" s="889">
        <f t="shared" si="16"/>
        <v>0</v>
      </c>
      <c r="E144" s="889">
        <f t="shared" si="16"/>
        <v>0</v>
      </c>
      <c r="F144" s="889">
        <f t="shared" si="16"/>
        <v>0</v>
      </c>
      <c r="G144" s="889">
        <f t="shared" si="16"/>
        <v>0</v>
      </c>
      <c r="H144" s="889">
        <f t="shared" si="16"/>
        <v>66815357.142857134</v>
      </c>
      <c r="I144" s="889">
        <f t="shared" si="16"/>
        <v>133630714.28571427</v>
      </c>
      <c r="J144" s="889">
        <f t="shared" si="16"/>
        <v>200446071.42857143</v>
      </c>
      <c r="K144" s="889">
        <f t="shared" si="16"/>
        <v>267261428.57142854</v>
      </c>
      <c r="L144" s="889">
        <f t="shared" si="16"/>
        <v>334076785.71428573</v>
      </c>
      <c r="M144" s="889">
        <f t="shared" si="16"/>
        <v>400892142.85714287</v>
      </c>
      <c r="N144" s="889">
        <f t="shared" si="16"/>
        <v>467707500</v>
      </c>
      <c r="O144" s="430">
        <f t="shared" si="16"/>
        <v>1870830000</v>
      </c>
      <c r="P144" s="674"/>
      <c r="Q144" s="729"/>
      <c r="R144" s="729"/>
      <c r="S144" s="729"/>
      <c r="T144" s="729"/>
      <c r="U144" s="729"/>
      <c r="V144" s="729"/>
      <c r="W144" s="729"/>
      <c r="X144" s="729"/>
      <c r="Y144" s="729"/>
      <c r="Z144" s="729"/>
      <c r="AA144" s="729"/>
      <c r="AB144" s="729"/>
      <c r="AC144" s="729"/>
      <c r="AD144" s="729"/>
      <c r="AE144" s="729"/>
    </row>
    <row r="145" spans="1:31">
      <c r="A145" s="729"/>
      <c r="B145" s="875" t="s">
        <v>304</v>
      </c>
      <c r="C145" s="889">
        <f t="shared" ref="C145:O145" si="17">C53*$M$94</f>
        <v>0</v>
      </c>
      <c r="D145" s="889">
        <f t="shared" si="17"/>
        <v>0</v>
      </c>
      <c r="E145" s="889">
        <f t="shared" si="17"/>
        <v>0</v>
      </c>
      <c r="F145" s="889">
        <f t="shared" si="17"/>
        <v>0</v>
      </c>
      <c r="G145" s="889">
        <f t="shared" si="17"/>
        <v>36080000</v>
      </c>
      <c r="H145" s="889">
        <f t="shared" si="17"/>
        <v>54120000</v>
      </c>
      <c r="I145" s="889">
        <f t="shared" si="17"/>
        <v>72160000</v>
      </c>
      <c r="J145" s="889">
        <f t="shared" si="17"/>
        <v>90200000</v>
      </c>
      <c r="K145" s="889">
        <f t="shared" si="17"/>
        <v>108240000</v>
      </c>
      <c r="L145" s="889">
        <f t="shared" si="17"/>
        <v>126279999.99999999</v>
      </c>
      <c r="M145" s="889">
        <f t="shared" si="17"/>
        <v>144320000</v>
      </c>
      <c r="N145" s="889">
        <f t="shared" si="17"/>
        <v>162360000</v>
      </c>
      <c r="O145" s="430">
        <f t="shared" si="17"/>
        <v>793760000</v>
      </c>
      <c r="P145" s="674"/>
      <c r="Q145" s="729"/>
      <c r="R145" s="729"/>
      <c r="S145" s="729"/>
      <c r="T145" s="729"/>
      <c r="U145" s="729"/>
      <c r="V145" s="729"/>
      <c r="W145" s="729"/>
      <c r="X145" s="729"/>
      <c r="Y145" s="729"/>
      <c r="Z145" s="729"/>
      <c r="AA145" s="729"/>
      <c r="AB145" s="729"/>
      <c r="AC145" s="729"/>
      <c r="AD145" s="729"/>
      <c r="AE145" s="729"/>
    </row>
    <row r="146" spans="1:31">
      <c r="A146" s="729"/>
      <c r="B146" s="875" t="s">
        <v>305</v>
      </c>
      <c r="C146" s="889">
        <f t="shared" ref="C146:O146" si="18">C54*$M$94</f>
        <v>0</v>
      </c>
      <c r="D146" s="889">
        <f t="shared" si="18"/>
        <v>0</v>
      </c>
      <c r="E146" s="889">
        <f t="shared" si="18"/>
        <v>0</v>
      </c>
      <c r="F146" s="889">
        <f t="shared" si="18"/>
        <v>0</v>
      </c>
      <c r="G146" s="889">
        <f t="shared" si="18"/>
        <v>0</v>
      </c>
      <c r="H146" s="889">
        <f t="shared" si="18"/>
        <v>15376230</v>
      </c>
      <c r="I146" s="889">
        <f t="shared" si="18"/>
        <v>15376230</v>
      </c>
      <c r="J146" s="889">
        <f t="shared" si="18"/>
        <v>450180000</v>
      </c>
      <c r="K146" s="889">
        <f t="shared" si="18"/>
        <v>450180000</v>
      </c>
      <c r="L146" s="889">
        <f t="shared" si="18"/>
        <v>450180000</v>
      </c>
      <c r="M146" s="889">
        <f t="shared" si="18"/>
        <v>450180000</v>
      </c>
      <c r="N146" s="889">
        <f t="shared" si="18"/>
        <v>450180000</v>
      </c>
      <c r="O146" s="430">
        <f t="shared" si="18"/>
        <v>2281652460</v>
      </c>
      <c r="P146" s="674"/>
      <c r="Q146" s="729"/>
      <c r="R146" s="729"/>
      <c r="S146" s="729"/>
      <c r="T146" s="729"/>
      <c r="U146" s="729"/>
      <c r="V146" s="729"/>
      <c r="W146" s="729"/>
      <c r="X146" s="729"/>
      <c r="Y146" s="729"/>
      <c r="Z146" s="729"/>
      <c r="AA146" s="729"/>
      <c r="AB146" s="729"/>
      <c r="AC146" s="729"/>
      <c r="AD146" s="729"/>
      <c r="AE146" s="729"/>
    </row>
    <row r="147" spans="1:31">
      <c r="A147" s="729"/>
      <c r="B147" s="875" t="s">
        <v>306</v>
      </c>
      <c r="C147" s="889">
        <f t="shared" ref="C147:O147" si="19">C55*$M$94</f>
        <v>0</v>
      </c>
      <c r="D147" s="889">
        <f t="shared" si="19"/>
        <v>0</v>
      </c>
      <c r="E147" s="889">
        <f t="shared" si="19"/>
        <v>0</v>
      </c>
      <c r="F147" s="889">
        <f t="shared" si="19"/>
        <v>0</v>
      </c>
      <c r="G147" s="889">
        <f t="shared" si="19"/>
        <v>479700000</v>
      </c>
      <c r="H147" s="889">
        <f t="shared" si="19"/>
        <v>0</v>
      </c>
      <c r="I147" s="889">
        <f t="shared" si="19"/>
        <v>0</v>
      </c>
      <c r="J147" s="889">
        <f t="shared" si="19"/>
        <v>0</v>
      </c>
      <c r="K147" s="889">
        <f t="shared" si="19"/>
        <v>0</v>
      </c>
      <c r="L147" s="889">
        <f t="shared" si="19"/>
        <v>0</v>
      </c>
      <c r="M147" s="889">
        <f t="shared" si="19"/>
        <v>0</v>
      </c>
      <c r="N147" s="889">
        <f t="shared" si="19"/>
        <v>0</v>
      </c>
      <c r="O147" s="430">
        <f t="shared" si="19"/>
        <v>479700000</v>
      </c>
      <c r="P147" s="674"/>
      <c r="Q147" s="729"/>
      <c r="R147" s="729"/>
      <c r="S147" s="729"/>
      <c r="T147" s="729"/>
      <c r="U147" s="729"/>
      <c r="V147" s="729"/>
      <c r="W147" s="729"/>
      <c r="X147" s="729"/>
      <c r="Y147" s="729"/>
      <c r="Z147" s="729"/>
      <c r="AA147" s="729"/>
      <c r="AB147" s="729"/>
      <c r="AC147" s="729"/>
      <c r="AD147" s="729"/>
      <c r="AE147" s="729"/>
    </row>
    <row r="148" spans="1:31">
      <c r="A148" s="729"/>
      <c r="B148" s="875" t="s">
        <v>307</v>
      </c>
      <c r="C148" s="889">
        <f t="shared" ref="C148:O148" si="20">C56*$M$94</f>
        <v>0</v>
      </c>
      <c r="D148" s="889">
        <f t="shared" si="20"/>
        <v>0</v>
      </c>
      <c r="E148" s="889">
        <f t="shared" si="20"/>
        <v>0</v>
      </c>
      <c r="F148" s="889">
        <f t="shared" si="20"/>
        <v>0</v>
      </c>
      <c r="G148" s="889">
        <f t="shared" si="20"/>
        <v>0</v>
      </c>
      <c r="H148" s="889">
        <f t="shared" si="20"/>
        <v>0</v>
      </c>
      <c r="I148" s="889">
        <f t="shared" si="20"/>
        <v>0</v>
      </c>
      <c r="J148" s="889">
        <f t="shared" si="20"/>
        <v>0</v>
      </c>
      <c r="K148" s="889">
        <f t="shared" si="20"/>
        <v>0</v>
      </c>
      <c r="L148" s="889">
        <f t="shared" si="20"/>
        <v>0</v>
      </c>
      <c r="M148" s="889">
        <f t="shared" si="20"/>
        <v>-206640000</v>
      </c>
      <c r="N148" s="889">
        <f t="shared" si="20"/>
        <v>-232470000</v>
      </c>
      <c r="O148" s="430">
        <f t="shared" si="20"/>
        <v>-1136520000</v>
      </c>
      <c r="P148" s="674"/>
      <c r="Q148" s="729"/>
      <c r="R148" s="729"/>
      <c r="S148" s="729"/>
      <c r="T148" s="729"/>
      <c r="U148" s="729"/>
      <c r="V148" s="729"/>
      <c r="W148" s="729"/>
      <c r="X148" s="729"/>
      <c r="Y148" s="729"/>
      <c r="Z148" s="729"/>
      <c r="AA148" s="729"/>
      <c r="AB148" s="729"/>
      <c r="AC148" s="729"/>
      <c r="AD148" s="729"/>
      <c r="AE148" s="729"/>
    </row>
    <row r="149" spans="1:31">
      <c r="A149" s="729"/>
      <c r="B149" s="875" t="s">
        <v>308</v>
      </c>
      <c r="C149" s="889">
        <f t="shared" ref="C149:O149" si="21">C57*$M$94</f>
        <v>0</v>
      </c>
      <c r="D149" s="889">
        <f t="shared" si="21"/>
        <v>0</v>
      </c>
      <c r="E149" s="889">
        <f t="shared" si="21"/>
        <v>0</v>
      </c>
      <c r="F149" s="889">
        <f t="shared" si="21"/>
        <v>0</v>
      </c>
      <c r="G149" s="889">
        <f t="shared" si="21"/>
        <v>0</v>
      </c>
      <c r="H149" s="889">
        <f t="shared" si="21"/>
        <v>0</v>
      </c>
      <c r="I149" s="889">
        <f t="shared" si="21"/>
        <v>0</v>
      </c>
      <c r="J149" s="889">
        <f t="shared" si="21"/>
        <v>0</v>
      </c>
      <c r="K149" s="889">
        <f t="shared" si="21"/>
        <v>0</v>
      </c>
      <c r="L149" s="889">
        <f t="shared" si="21"/>
        <v>0</v>
      </c>
      <c r="M149" s="889">
        <f t="shared" si="21"/>
        <v>-27552000</v>
      </c>
      <c r="N149" s="889">
        <f t="shared" si="21"/>
        <v>-30996000</v>
      </c>
      <c r="O149" s="430">
        <f t="shared" si="21"/>
        <v>-151536000</v>
      </c>
      <c r="P149" s="674"/>
      <c r="Q149" s="729"/>
      <c r="R149" s="729"/>
      <c r="S149" s="729"/>
      <c r="T149" s="729"/>
      <c r="U149" s="729"/>
      <c r="V149" s="729"/>
      <c r="W149" s="729"/>
      <c r="X149" s="729"/>
      <c r="Y149" s="729"/>
      <c r="Z149" s="729"/>
      <c r="AA149" s="729"/>
      <c r="AB149" s="729"/>
      <c r="AC149" s="729"/>
      <c r="AD149" s="729"/>
      <c r="AE149" s="729"/>
    </row>
    <row r="150" spans="1:31">
      <c r="A150" s="729"/>
      <c r="B150" s="574" t="s">
        <v>309</v>
      </c>
      <c r="C150" s="581">
        <f t="shared" ref="C150:O150" si="22">C58*$M$94</f>
        <v>612247701</v>
      </c>
      <c r="D150" s="581">
        <f t="shared" si="22"/>
        <v>744218137</v>
      </c>
      <c r="E150" s="581">
        <f t="shared" si="22"/>
        <v>787041187</v>
      </c>
      <c r="F150" s="581">
        <f t="shared" si="22"/>
        <v>750867662</v>
      </c>
      <c r="G150" s="581">
        <f t="shared" si="22"/>
        <v>1328900000</v>
      </c>
      <c r="H150" s="581">
        <f t="shared" si="22"/>
        <v>955991587.14285719</v>
      </c>
      <c r="I150" s="581">
        <f t="shared" si="22"/>
        <v>1047406944.2857144</v>
      </c>
      <c r="J150" s="581">
        <f t="shared" si="22"/>
        <v>1573626071.4285715</v>
      </c>
      <c r="K150" s="581">
        <f t="shared" si="22"/>
        <v>1665041428.5714285</v>
      </c>
      <c r="L150" s="581">
        <f t="shared" si="22"/>
        <v>1756456785.7142859</v>
      </c>
      <c r="M150" s="581">
        <f t="shared" si="22"/>
        <v>1847872142.8571429</v>
      </c>
      <c r="N150" s="581">
        <f t="shared" si="22"/>
        <v>1939287500</v>
      </c>
      <c r="O150" s="581">
        <f t="shared" si="22"/>
        <v>15008957147</v>
      </c>
      <c r="P150" s="679"/>
      <c r="Q150" s="729"/>
      <c r="R150" s="729"/>
      <c r="S150" s="729"/>
      <c r="T150" s="729"/>
      <c r="U150" s="729"/>
      <c r="V150" s="729"/>
      <c r="W150" s="729"/>
      <c r="X150" s="729"/>
      <c r="Y150" s="729"/>
      <c r="Z150" s="729"/>
      <c r="AA150" s="729"/>
      <c r="AB150" s="729"/>
      <c r="AC150" s="729"/>
      <c r="AD150" s="729"/>
      <c r="AE150" s="729"/>
    </row>
    <row r="151" spans="1:31">
      <c r="A151" s="729"/>
      <c r="B151" s="890"/>
      <c r="C151" s="891"/>
      <c r="D151" s="891"/>
      <c r="E151" s="891"/>
      <c r="F151" s="891"/>
      <c r="G151" s="891"/>
      <c r="H151" s="891"/>
      <c r="I151" s="891"/>
      <c r="J151" s="891"/>
      <c r="K151" s="891"/>
      <c r="L151" s="891"/>
      <c r="M151" s="891"/>
      <c r="N151" s="891"/>
      <c r="O151" s="891"/>
      <c r="P151" s="729"/>
      <c r="Q151" s="729"/>
      <c r="R151" s="729"/>
      <c r="S151" s="729"/>
      <c r="T151" s="729"/>
      <c r="U151" s="729"/>
      <c r="V151" s="729"/>
      <c r="W151" s="729"/>
      <c r="X151" s="729"/>
      <c r="Y151" s="729"/>
      <c r="Z151" s="729"/>
      <c r="AA151" s="729"/>
      <c r="AB151" s="729"/>
      <c r="AC151" s="729"/>
      <c r="AD151" s="729"/>
      <c r="AE151" s="729"/>
    </row>
    <row r="152" spans="1:31">
      <c r="A152" s="729"/>
      <c r="B152" s="729"/>
      <c r="C152" s="729"/>
      <c r="D152" s="729"/>
      <c r="E152" s="729"/>
      <c r="F152" s="729"/>
      <c r="G152" s="729"/>
      <c r="H152" s="729"/>
      <c r="I152" s="729"/>
      <c r="J152" s="729"/>
      <c r="K152" s="729"/>
      <c r="L152" s="729"/>
      <c r="M152" s="729"/>
      <c r="N152" s="729"/>
      <c r="O152" s="729"/>
      <c r="P152" s="729"/>
      <c r="Q152" s="729"/>
      <c r="R152" s="729"/>
      <c r="S152" s="729"/>
      <c r="T152" s="729"/>
      <c r="U152" s="729"/>
      <c r="V152" s="729"/>
      <c r="W152" s="729"/>
      <c r="X152" s="729"/>
      <c r="Y152" s="729"/>
      <c r="Z152" s="729"/>
      <c r="AA152" s="729"/>
      <c r="AB152" s="729"/>
      <c r="AC152" s="729"/>
      <c r="AD152" s="729"/>
      <c r="AE152" s="729"/>
    </row>
    <row r="153" spans="1:31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29"/>
      <c r="P153" s="729"/>
      <c r="Q153" s="729"/>
      <c r="R153" s="729"/>
      <c r="S153" s="729"/>
      <c r="T153" s="729"/>
      <c r="U153" s="729"/>
      <c r="V153" s="729"/>
      <c r="W153" s="729"/>
      <c r="X153" s="729"/>
      <c r="Y153" s="729"/>
      <c r="Z153" s="729"/>
      <c r="AA153" s="729"/>
      <c r="AB153" s="729"/>
      <c r="AC153" s="729"/>
      <c r="AD153" s="729"/>
      <c r="AE153" s="729"/>
    </row>
    <row r="154" spans="1:31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29"/>
      <c r="P154" s="729"/>
      <c r="Q154" s="729"/>
      <c r="R154" s="729"/>
      <c r="S154" s="729"/>
      <c r="T154" s="729"/>
      <c r="U154" s="729"/>
      <c r="V154" s="729"/>
      <c r="W154" s="729"/>
      <c r="X154" s="729"/>
      <c r="Y154" s="729"/>
      <c r="Z154" s="729"/>
      <c r="AA154" s="729"/>
      <c r="AB154" s="729"/>
      <c r="AC154" s="729"/>
      <c r="AD154" s="729"/>
      <c r="AE154" s="729"/>
    </row>
    <row r="155" spans="1:31">
      <c r="A155" s="729"/>
      <c r="B155" s="729"/>
      <c r="C155" s="729"/>
      <c r="D155" s="729"/>
      <c r="E155" s="729"/>
      <c r="F155" s="729"/>
      <c r="G155" s="729"/>
      <c r="H155" s="729"/>
      <c r="I155" s="729"/>
      <c r="J155" s="729"/>
      <c r="K155" s="729"/>
      <c r="L155" s="729"/>
      <c r="M155" s="729"/>
      <c r="N155" s="729"/>
      <c r="O155" s="729"/>
      <c r="P155" s="729"/>
      <c r="Q155" s="729"/>
      <c r="R155" s="729"/>
      <c r="S155" s="729"/>
      <c r="T155" s="729"/>
      <c r="U155" s="729"/>
      <c r="V155" s="729"/>
      <c r="W155" s="729"/>
      <c r="X155" s="729"/>
      <c r="Y155" s="729"/>
      <c r="Z155" s="729"/>
      <c r="AA155" s="729"/>
      <c r="AB155" s="729"/>
      <c r="AC155" s="729"/>
      <c r="AD155" s="729"/>
      <c r="AE155" s="729"/>
    </row>
    <row r="156" spans="1:31">
      <c r="A156" s="729"/>
      <c r="B156" s="729"/>
      <c r="C156" s="729"/>
      <c r="D156" s="729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29"/>
      <c r="P156" s="729"/>
      <c r="Q156" s="729"/>
      <c r="R156" s="729"/>
      <c r="S156" s="729"/>
      <c r="T156" s="729"/>
      <c r="U156" s="729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</row>
    <row r="157" spans="1:31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29"/>
      <c r="P157" s="729"/>
      <c r="Q157" s="729"/>
      <c r="R157" s="729"/>
      <c r="S157" s="729"/>
      <c r="T157" s="729"/>
      <c r="U157" s="729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</row>
    <row r="158" spans="1:31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29"/>
      <c r="P158" s="729"/>
      <c r="Q158" s="729"/>
      <c r="R158" s="729"/>
      <c r="S158" s="729"/>
      <c r="T158" s="729"/>
      <c r="U158" s="729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</row>
    <row r="159" spans="1:31">
      <c r="A159" s="729"/>
      <c r="B159" s="729"/>
      <c r="C159" s="729"/>
      <c r="D159" s="729"/>
      <c r="E159" s="729"/>
      <c r="F159" s="729"/>
      <c r="G159" s="729"/>
      <c r="H159" s="729"/>
      <c r="I159" s="729"/>
      <c r="J159" s="729"/>
      <c r="K159" s="729"/>
      <c r="L159" s="729"/>
      <c r="M159" s="729"/>
      <c r="N159" s="729"/>
      <c r="O159" s="729"/>
      <c r="P159" s="729"/>
      <c r="Q159" s="729"/>
      <c r="R159" s="729"/>
      <c r="S159" s="729"/>
      <c r="T159" s="729"/>
      <c r="U159" s="729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</row>
    <row r="160" spans="1:31">
      <c r="A160" s="729"/>
      <c r="B160" s="729"/>
      <c r="C160" s="729"/>
      <c r="D160" s="729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29"/>
      <c r="P160" s="729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</row>
    <row r="161" spans="1:31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M161" s="729"/>
      <c r="N161" s="729"/>
      <c r="O161" s="729"/>
      <c r="P161" s="729"/>
      <c r="Q161" s="729"/>
      <c r="R161" s="729"/>
      <c r="S161" s="729"/>
      <c r="T161" s="729"/>
      <c r="U161" s="729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</row>
    <row r="162" spans="1:31">
      <c r="A162" s="729"/>
      <c r="B162" s="729"/>
      <c r="C162" s="729"/>
      <c r="D162" s="729"/>
      <c r="E162" s="729"/>
      <c r="F162" s="729"/>
      <c r="G162" s="729"/>
      <c r="H162" s="729"/>
      <c r="I162" s="729"/>
      <c r="J162" s="729"/>
      <c r="K162" s="729"/>
      <c r="L162" s="729"/>
      <c r="M162" s="729"/>
      <c r="N162" s="729"/>
      <c r="O162" s="729"/>
      <c r="P162" s="729"/>
      <c r="Q162" s="729"/>
      <c r="R162" s="729"/>
      <c r="S162" s="729"/>
      <c r="T162" s="729"/>
      <c r="U162" s="729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</row>
    <row r="163" spans="1:31">
      <c r="A163" s="729"/>
      <c r="B163" s="729"/>
      <c r="C163" s="729"/>
      <c r="D163" s="729"/>
      <c r="E163" s="729"/>
      <c r="F163" s="729"/>
      <c r="G163" s="729"/>
      <c r="H163" s="729"/>
      <c r="I163" s="729"/>
      <c r="J163" s="729"/>
      <c r="K163" s="729"/>
      <c r="L163" s="729"/>
      <c r="M163" s="729"/>
      <c r="N163" s="729"/>
      <c r="O163" s="729"/>
      <c r="P163" s="729"/>
      <c r="Q163" s="729"/>
      <c r="R163" s="729"/>
      <c r="S163" s="729"/>
      <c r="T163" s="729"/>
      <c r="U163" s="729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</row>
    <row r="164" spans="1:31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29"/>
      <c r="P164" s="729"/>
      <c r="Q164" s="729"/>
      <c r="R164" s="729"/>
      <c r="S164" s="729"/>
      <c r="T164" s="729"/>
      <c r="U164" s="729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</row>
    <row r="165" spans="1:31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29"/>
      <c r="P165" s="729"/>
      <c r="Q165" s="729"/>
      <c r="R165" s="729"/>
      <c r="S165" s="729"/>
      <c r="T165" s="729"/>
      <c r="U165" s="729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</row>
    <row r="166" spans="1:31">
      <c r="A166" s="729"/>
      <c r="B166" s="729"/>
      <c r="C166" s="729"/>
      <c r="D166" s="729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29"/>
      <c r="P166" s="729"/>
      <c r="Q166" s="729"/>
      <c r="R166" s="729"/>
      <c r="S166" s="729"/>
      <c r="T166" s="729"/>
      <c r="U166" s="729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</row>
    <row r="167" spans="1:31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9"/>
      <c r="P167" s="729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</row>
    <row r="168" spans="1:31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9"/>
      <c r="P168" s="729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</row>
    <row r="169" spans="1:31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9"/>
      <c r="P169" s="729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</row>
    <row r="170" spans="1:31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9"/>
      <c r="P170" s="729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</row>
    <row r="171" spans="1:31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9"/>
      <c r="P171" s="729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</row>
    <row r="172" spans="1:31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</row>
    <row r="173" spans="1:31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</row>
    <row r="174" spans="1:31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</row>
    <row r="175" spans="1:31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</row>
    <row r="176" spans="1:31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</row>
    <row r="177" spans="1:31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</row>
    <row r="178" spans="1:31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</row>
    <row r="179" spans="1:31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</row>
    <row r="180" spans="1:31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</row>
    <row r="181" spans="1:31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</row>
    <row r="182" spans="1:31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</row>
    <row r="183" spans="1:31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</row>
    <row r="184" spans="1:31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</row>
    <row r="185" spans="1:31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</row>
    <row r="186" spans="1:31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</row>
    <row r="187" spans="1:31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</row>
    <row r="188" spans="1:31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</row>
    <row r="189" spans="1:31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</row>
    <row r="190" spans="1:31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</row>
    <row r="191" spans="1:31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</row>
    <row r="192" spans="1:31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</row>
    <row r="193" spans="1:31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</row>
    <row r="194" spans="1:31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</row>
    <row r="195" spans="1:31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</row>
    <row r="196" spans="1:31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9"/>
      <c r="P196" s="729"/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</row>
    <row r="197" spans="1:31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9"/>
      <c r="P197" s="729"/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</row>
    <row r="198" spans="1:31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9"/>
      <c r="P198" s="729"/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</row>
    <row r="199" spans="1:31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9"/>
      <c r="P199" s="729"/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</row>
    <row r="200" spans="1:31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9"/>
      <c r="P200" s="729"/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</row>
    <row r="201" spans="1:31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9"/>
      <c r="P201" s="729"/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</row>
    <row r="202" spans="1:31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9"/>
      <c r="P202" s="729"/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</row>
    <row r="203" spans="1:31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9"/>
      <c r="P203" s="729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</row>
    <row r="204" spans="1:31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9"/>
      <c r="P204" s="729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</row>
    <row r="205" spans="1:31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9"/>
      <c r="P205" s="729"/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</row>
    <row r="206" spans="1:31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9"/>
      <c r="P206" s="729"/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</row>
    <row r="207" spans="1:31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9"/>
      <c r="P207" s="729"/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</row>
    <row r="208" spans="1:31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9"/>
      <c r="P208" s="729"/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</row>
    <row r="209" spans="1:31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9"/>
      <c r="P209" s="729"/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</row>
    <row r="210" spans="1:31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9"/>
      <c r="P210" s="729"/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</row>
    <row r="211" spans="1:31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9"/>
      <c r="P211" s="729"/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</row>
    <row r="212" spans="1:31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</row>
    <row r="213" spans="1:31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9"/>
      <c r="P213" s="729"/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</row>
    <row r="214" spans="1:31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9"/>
      <c r="P214" s="729"/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</row>
    <row r="215" spans="1:31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9"/>
      <c r="P215" s="729"/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</row>
    <row r="216" spans="1:31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9"/>
      <c r="P216" s="729"/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</row>
    <row r="217" spans="1:31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9"/>
      <c r="P217" s="729"/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</row>
    <row r="218" spans="1:31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9"/>
      <c r="P218" s="729"/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</row>
    <row r="219" spans="1:31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9"/>
      <c r="P219" s="729"/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</row>
    <row r="220" spans="1:31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9"/>
      <c r="P220" s="729"/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</row>
    <row r="221" spans="1:31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9"/>
      <c r="P221" s="729"/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</row>
    <row r="222" spans="1:31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9"/>
      <c r="P222" s="729"/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</row>
    <row r="223" spans="1:31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9"/>
      <c r="P223" s="729"/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</row>
    <row r="224" spans="1:31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9"/>
      <c r="P224" s="729"/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</row>
    <row r="225" spans="1:31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9"/>
      <c r="P225" s="729"/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</row>
    <row r="226" spans="1:31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9"/>
      <c r="P226" s="729"/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</row>
    <row r="227" spans="1:31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</row>
    <row r="228" spans="1:31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9"/>
      <c r="P228" s="729"/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</row>
    <row r="229" spans="1:31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9"/>
      <c r="P229" s="729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</row>
    <row r="230" spans="1:31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9"/>
      <c r="P230" s="729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</row>
    <row r="231" spans="1:31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9"/>
      <c r="P231" s="729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</row>
    <row r="232" spans="1:31">
      <c r="A232" s="729"/>
      <c r="B232" s="729"/>
      <c r="C232" s="729"/>
      <c r="D232" s="729"/>
      <c r="E232" s="729"/>
      <c r="F232" s="729"/>
      <c r="G232" s="729"/>
      <c r="H232" s="729"/>
      <c r="I232" s="729"/>
      <c r="J232" s="729"/>
      <c r="K232" s="729"/>
      <c r="L232" s="729"/>
      <c r="M232" s="729"/>
      <c r="N232" s="729"/>
      <c r="O232" s="729"/>
      <c r="P232" s="729"/>
      <c r="Q232" s="729"/>
      <c r="R232" s="729"/>
      <c r="S232" s="729"/>
      <c r="T232" s="729"/>
      <c r="U232" s="729"/>
      <c r="V232" s="729"/>
      <c r="W232" s="729"/>
      <c r="X232" s="729"/>
      <c r="Y232" s="729"/>
      <c r="Z232" s="729"/>
      <c r="AA232" s="729"/>
      <c r="AB232" s="729"/>
      <c r="AC232" s="729"/>
      <c r="AD232" s="729"/>
      <c r="AE232" s="729"/>
    </row>
    <row r="233" spans="1:31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29"/>
      <c r="P233" s="729"/>
      <c r="Q233" s="729"/>
      <c r="R233" s="729"/>
      <c r="S233" s="729"/>
      <c r="T233" s="729"/>
      <c r="U233" s="729"/>
      <c r="V233" s="729"/>
      <c r="W233" s="729"/>
      <c r="X233" s="729"/>
      <c r="Y233" s="729"/>
      <c r="Z233" s="729"/>
      <c r="AA233" s="729"/>
      <c r="AB233" s="729"/>
      <c r="AC233" s="729"/>
      <c r="AD233" s="729"/>
      <c r="AE233" s="729"/>
    </row>
    <row r="234" spans="1:31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29"/>
      <c r="P234" s="729"/>
      <c r="Q234" s="729"/>
      <c r="R234" s="729"/>
      <c r="S234" s="729"/>
      <c r="T234" s="729"/>
      <c r="U234" s="729"/>
      <c r="V234" s="729"/>
      <c r="W234" s="729"/>
      <c r="X234" s="729"/>
      <c r="Y234" s="729"/>
      <c r="Z234" s="729"/>
      <c r="AA234" s="729"/>
      <c r="AB234" s="729"/>
      <c r="AC234" s="729"/>
      <c r="AD234" s="729"/>
      <c r="AE234" s="729"/>
    </row>
    <row r="235" spans="1:31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29"/>
      <c r="P235" s="729"/>
      <c r="Q235" s="729"/>
      <c r="R235" s="729"/>
      <c r="S235" s="729"/>
      <c r="T235" s="729"/>
      <c r="U235" s="729"/>
      <c r="V235" s="729"/>
      <c r="W235" s="729"/>
      <c r="X235" s="729"/>
      <c r="Y235" s="729"/>
      <c r="Z235" s="729"/>
      <c r="AA235" s="729"/>
      <c r="AB235" s="729"/>
      <c r="AC235" s="729"/>
      <c r="AD235" s="729"/>
      <c r="AE235" s="729"/>
    </row>
    <row r="236" spans="1:31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29"/>
      <c r="P236" s="729"/>
      <c r="Q236" s="729"/>
      <c r="R236" s="729"/>
      <c r="S236" s="729"/>
      <c r="T236" s="729"/>
      <c r="U236" s="729"/>
      <c r="V236" s="729"/>
      <c r="W236" s="729"/>
      <c r="X236" s="729"/>
      <c r="Y236" s="729"/>
      <c r="Z236" s="729"/>
      <c r="AA236" s="729"/>
      <c r="AB236" s="729"/>
      <c r="AC236" s="729"/>
      <c r="AD236" s="729"/>
      <c r="AE236" s="729"/>
    </row>
    <row r="237" spans="1:31">
      <c r="A237" s="729"/>
      <c r="B237" s="729"/>
      <c r="C237" s="729"/>
      <c r="D237" s="729"/>
      <c r="E237" s="729"/>
      <c r="F237" s="729"/>
      <c r="G237" s="729"/>
      <c r="H237" s="729"/>
      <c r="I237" s="729"/>
      <c r="J237" s="729"/>
      <c r="K237" s="729"/>
      <c r="L237" s="729"/>
      <c r="M237" s="729"/>
      <c r="N237" s="729"/>
      <c r="O237" s="729"/>
      <c r="P237" s="729"/>
      <c r="Q237" s="729"/>
      <c r="R237" s="729"/>
      <c r="S237" s="729"/>
      <c r="T237" s="729"/>
      <c r="U237" s="729"/>
      <c r="V237" s="729"/>
      <c r="W237" s="729"/>
      <c r="X237" s="729"/>
      <c r="Y237" s="729"/>
      <c r="Z237" s="729"/>
      <c r="AA237" s="729"/>
      <c r="AB237" s="729"/>
      <c r="AC237" s="729"/>
      <c r="AD237" s="729"/>
      <c r="AE237" s="729"/>
    </row>
    <row r="238" spans="1:31">
      <c r="A238" s="729"/>
      <c r="B238" s="729"/>
      <c r="C238" s="729"/>
      <c r="D238" s="729"/>
      <c r="E238" s="729"/>
      <c r="F238" s="729"/>
      <c r="G238" s="729"/>
      <c r="H238" s="729"/>
      <c r="I238" s="729"/>
      <c r="J238" s="729"/>
      <c r="K238" s="729"/>
      <c r="L238" s="729"/>
      <c r="M238" s="729"/>
      <c r="N238" s="729"/>
      <c r="O238" s="729"/>
      <c r="P238" s="729"/>
      <c r="Q238" s="729"/>
      <c r="R238" s="729"/>
      <c r="S238" s="729"/>
      <c r="T238" s="729"/>
      <c r="U238" s="729"/>
      <c r="V238" s="729"/>
      <c r="W238" s="729"/>
      <c r="X238" s="729"/>
      <c r="Y238" s="729"/>
      <c r="Z238" s="729"/>
      <c r="AA238" s="729"/>
      <c r="AB238" s="729"/>
      <c r="AC238" s="729"/>
      <c r="AD238" s="729"/>
      <c r="AE238" s="729"/>
    </row>
    <row r="239" spans="1:31">
      <c r="A239" s="729"/>
      <c r="B239" s="729"/>
      <c r="C239" s="729"/>
      <c r="D239" s="729"/>
      <c r="E239" s="729"/>
      <c r="F239" s="729"/>
      <c r="G239" s="729"/>
      <c r="H239" s="729"/>
      <c r="I239" s="729"/>
      <c r="J239" s="729"/>
      <c r="K239" s="729"/>
      <c r="L239" s="729"/>
      <c r="M239" s="729"/>
      <c r="N239" s="729"/>
      <c r="O239" s="729"/>
      <c r="P239" s="729"/>
      <c r="Q239" s="729"/>
      <c r="R239" s="729"/>
      <c r="S239" s="729"/>
      <c r="T239" s="729"/>
      <c r="U239" s="729"/>
      <c r="V239" s="729"/>
      <c r="W239" s="729"/>
      <c r="X239" s="729"/>
      <c r="Y239" s="729"/>
      <c r="Z239" s="729"/>
      <c r="AA239" s="729"/>
      <c r="AB239" s="729"/>
      <c r="AC239" s="729"/>
      <c r="AD239" s="729"/>
      <c r="AE239" s="729"/>
    </row>
    <row r="240" spans="1:31">
      <c r="A240" s="729"/>
      <c r="B240" s="729"/>
      <c r="C240" s="729"/>
      <c r="D240" s="729"/>
      <c r="E240" s="729"/>
      <c r="F240" s="729"/>
      <c r="G240" s="729"/>
      <c r="H240" s="729"/>
      <c r="I240" s="729"/>
      <c r="J240" s="729"/>
      <c r="K240" s="729"/>
      <c r="L240" s="729"/>
      <c r="M240" s="729"/>
      <c r="N240" s="729"/>
      <c r="O240" s="729"/>
      <c r="P240" s="729"/>
      <c r="Q240" s="729"/>
      <c r="R240" s="729"/>
      <c r="S240" s="729"/>
      <c r="T240" s="729"/>
      <c r="U240" s="729"/>
      <c r="V240" s="729"/>
      <c r="W240" s="729"/>
      <c r="X240" s="729"/>
      <c r="Y240" s="729"/>
      <c r="Z240" s="729"/>
      <c r="AA240" s="729"/>
      <c r="AB240" s="729"/>
      <c r="AC240" s="729"/>
      <c r="AD240" s="729"/>
      <c r="AE240" s="729"/>
    </row>
    <row r="241" spans="1:31">
      <c r="A241" s="729"/>
      <c r="B241" s="729"/>
      <c r="C241" s="729"/>
      <c r="D241" s="729"/>
      <c r="E241" s="729"/>
      <c r="F241" s="729"/>
      <c r="G241" s="729"/>
      <c r="H241" s="729"/>
      <c r="I241" s="729"/>
      <c r="J241" s="729"/>
      <c r="K241" s="729"/>
      <c r="L241" s="729"/>
      <c r="M241" s="729"/>
      <c r="N241" s="729"/>
      <c r="O241" s="729"/>
      <c r="P241" s="729"/>
      <c r="Q241" s="729"/>
      <c r="R241" s="729"/>
      <c r="S241" s="729"/>
      <c r="T241" s="729"/>
      <c r="U241" s="729"/>
      <c r="V241" s="729"/>
      <c r="W241" s="729"/>
      <c r="X241" s="729"/>
      <c r="Y241" s="729"/>
      <c r="Z241" s="729"/>
      <c r="AA241" s="729"/>
      <c r="AB241" s="729"/>
      <c r="AC241" s="729"/>
      <c r="AD241" s="729"/>
      <c r="AE241" s="729"/>
    </row>
    <row r="242" spans="1:31">
      <c r="A242" s="729"/>
      <c r="B242" s="729"/>
      <c r="C242" s="729"/>
      <c r="D242" s="729"/>
      <c r="E242" s="729"/>
      <c r="F242" s="729"/>
      <c r="G242" s="729"/>
      <c r="H242" s="729"/>
      <c r="I242" s="729"/>
      <c r="J242" s="729"/>
      <c r="K242" s="729"/>
      <c r="L242" s="729"/>
      <c r="M242" s="729"/>
      <c r="N242" s="729"/>
      <c r="O242" s="729"/>
      <c r="P242" s="729"/>
      <c r="Q242" s="729"/>
      <c r="R242" s="729"/>
      <c r="S242" s="729"/>
      <c r="T242" s="729"/>
      <c r="U242" s="729"/>
      <c r="V242" s="729"/>
      <c r="W242" s="729"/>
      <c r="X242" s="729"/>
      <c r="Y242" s="729"/>
      <c r="Z242" s="729"/>
      <c r="AA242" s="729"/>
      <c r="AB242" s="729"/>
      <c r="AC242" s="729"/>
      <c r="AD242" s="729"/>
      <c r="AE242" s="729"/>
    </row>
    <row r="243" spans="1:31">
      <c r="A243" s="729"/>
      <c r="B243" s="729"/>
      <c r="C243" s="729"/>
      <c r="D243" s="729"/>
      <c r="E243" s="729"/>
      <c r="F243" s="729"/>
      <c r="G243" s="729"/>
      <c r="H243" s="729"/>
      <c r="I243" s="729"/>
      <c r="J243" s="729"/>
      <c r="K243" s="729"/>
      <c r="L243" s="729"/>
      <c r="M243" s="729"/>
      <c r="N243" s="729"/>
      <c r="O243" s="729"/>
      <c r="P243" s="729"/>
      <c r="Q243" s="729"/>
      <c r="R243" s="729"/>
      <c r="S243" s="729"/>
      <c r="T243" s="729"/>
      <c r="U243" s="729"/>
      <c r="V243" s="729"/>
      <c r="W243" s="729"/>
      <c r="X243" s="729"/>
      <c r="Y243" s="729"/>
      <c r="Z243" s="729"/>
      <c r="AA243" s="729"/>
      <c r="AB243" s="729"/>
      <c r="AC243" s="729"/>
      <c r="AD243" s="729"/>
      <c r="AE243" s="729"/>
    </row>
    <row r="244" spans="1:31">
      <c r="A244" s="729"/>
      <c r="B244" s="729"/>
      <c r="C244" s="729"/>
      <c r="D244" s="729"/>
      <c r="E244" s="729"/>
      <c r="F244" s="729"/>
      <c r="G244" s="729"/>
      <c r="H244" s="729"/>
      <c r="I244" s="729"/>
      <c r="J244" s="729"/>
      <c r="K244" s="729"/>
      <c r="L244" s="729"/>
      <c r="M244" s="729"/>
      <c r="N244" s="729"/>
      <c r="O244" s="729"/>
      <c r="P244" s="729"/>
      <c r="Q244" s="729"/>
      <c r="R244" s="729"/>
      <c r="S244" s="729"/>
      <c r="T244" s="729"/>
      <c r="U244" s="729"/>
      <c r="V244" s="729"/>
      <c r="W244" s="729"/>
      <c r="X244" s="729"/>
      <c r="Y244" s="729"/>
      <c r="Z244" s="729"/>
      <c r="AA244" s="729"/>
      <c r="AB244" s="729"/>
      <c r="AC244" s="729"/>
      <c r="AD244" s="729"/>
      <c r="AE244" s="729"/>
    </row>
    <row r="245" spans="1:31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29"/>
      <c r="P245" s="729"/>
      <c r="Q245" s="729"/>
      <c r="R245" s="729"/>
      <c r="S245" s="729"/>
      <c r="T245" s="729"/>
      <c r="U245" s="729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</row>
    <row r="246" spans="1:31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29"/>
      <c r="P246" s="729"/>
      <c r="Q246" s="729"/>
      <c r="R246" s="729"/>
      <c r="S246" s="729"/>
      <c r="T246" s="729"/>
      <c r="U246" s="729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</row>
    <row r="247" spans="1:31">
      <c r="A247" s="729"/>
      <c r="B247" s="729"/>
      <c r="C247" s="729"/>
      <c r="D247" s="729"/>
      <c r="E247" s="729"/>
      <c r="F247" s="729"/>
      <c r="G247" s="729"/>
      <c r="H247" s="729"/>
      <c r="I247" s="729"/>
      <c r="J247" s="729"/>
      <c r="K247" s="729"/>
      <c r="L247" s="729"/>
      <c r="M247" s="729"/>
      <c r="N247" s="729"/>
      <c r="O247" s="729"/>
      <c r="P247" s="729"/>
      <c r="Q247" s="729"/>
      <c r="R247" s="729"/>
      <c r="S247" s="729"/>
      <c r="T247" s="729"/>
      <c r="U247" s="729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</row>
    <row r="248" spans="1:31">
      <c r="A248" s="729"/>
      <c r="B248" s="729"/>
      <c r="C248" s="729"/>
      <c r="D248" s="729"/>
      <c r="E248" s="729"/>
      <c r="F248" s="729"/>
      <c r="G248" s="729"/>
      <c r="H248" s="729"/>
      <c r="I248" s="729"/>
      <c r="J248" s="729"/>
      <c r="K248" s="729"/>
      <c r="L248" s="729"/>
      <c r="M248" s="729"/>
      <c r="N248" s="729"/>
      <c r="O248" s="729"/>
      <c r="P248" s="729"/>
      <c r="Q248" s="729"/>
      <c r="R248" s="729"/>
      <c r="S248" s="729"/>
      <c r="T248" s="729"/>
      <c r="U248" s="729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</row>
    <row r="249" spans="1:31">
      <c r="A249" s="729"/>
      <c r="B249" s="729"/>
      <c r="C249" s="729"/>
      <c r="D249" s="729"/>
      <c r="E249" s="729"/>
      <c r="F249" s="729"/>
      <c r="G249" s="729"/>
      <c r="H249" s="729"/>
      <c r="I249" s="729"/>
      <c r="J249" s="729"/>
      <c r="K249" s="729"/>
      <c r="L249" s="729"/>
      <c r="M249" s="729"/>
      <c r="N249" s="729"/>
      <c r="O249" s="729"/>
      <c r="P249" s="729"/>
      <c r="Q249" s="729"/>
      <c r="R249" s="729"/>
      <c r="S249" s="729"/>
      <c r="T249" s="729"/>
      <c r="U249" s="729"/>
      <c r="V249" s="729"/>
      <c r="W249" s="729"/>
      <c r="X249" s="729"/>
      <c r="Y249" s="729"/>
      <c r="Z249" s="729"/>
      <c r="AA249" s="729"/>
      <c r="AB249" s="729"/>
      <c r="AC249" s="729"/>
      <c r="AD249" s="729"/>
      <c r="AE249" s="729"/>
    </row>
    <row r="250" spans="1:31">
      <c r="A250" s="729"/>
      <c r="B250" s="729"/>
      <c r="C250" s="729"/>
      <c r="D250" s="729"/>
      <c r="E250" s="729"/>
      <c r="F250" s="729"/>
      <c r="G250" s="729"/>
      <c r="H250" s="729"/>
      <c r="I250" s="729"/>
      <c r="J250" s="729"/>
      <c r="K250" s="729"/>
      <c r="L250" s="729"/>
      <c r="M250" s="729"/>
      <c r="N250" s="729"/>
      <c r="O250" s="729"/>
      <c r="P250" s="729"/>
      <c r="Q250" s="729"/>
      <c r="R250" s="729"/>
      <c r="S250" s="729"/>
      <c r="T250" s="729"/>
      <c r="U250" s="729"/>
      <c r="V250" s="729"/>
      <c r="W250" s="729"/>
      <c r="X250" s="729"/>
      <c r="Y250" s="729"/>
      <c r="Z250" s="729"/>
      <c r="AA250" s="729"/>
      <c r="AB250" s="729"/>
      <c r="AC250" s="729"/>
      <c r="AD250" s="729"/>
      <c r="AE250" s="729"/>
    </row>
    <row r="251" spans="1:31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29"/>
      <c r="P251" s="729"/>
      <c r="Q251" s="729"/>
      <c r="R251" s="729"/>
      <c r="S251" s="729"/>
      <c r="T251" s="729"/>
      <c r="U251" s="729"/>
      <c r="V251" s="729"/>
      <c r="W251" s="729"/>
      <c r="X251" s="729"/>
      <c r="Y251" s="729"/>
      <c r="Z251" s="729"/>
      <c r="AA251" s="729"/>
      <c r="AB251" s="729"/>
      <c r="AC251" s="729"/>
      <c r="AD251" s="729"/>
      <c r="AE251" s="729"/>
    </row>
    <row r="252" spans="1:31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29"/>
      <c r="P252" s="729"/>
      <c r="Q252" s="729"/>
      <c r="R252" s="729"/>
      <c r="S252" s="729"/>
      <c r="T252" s="729"/>
      <c r="U252" s="729"/>
      <c r="V252" s="729"/>
      <c r="W252" s="729"/>
      <c r="X252" s="729"/>
      <c r="Y252" s="729"/>
      <c r="Z252" s="729"/>
      <c r="AA252" s="729"/>
      <c r="AB252" s="729"/>
      <c r="AC252" s="729"/>
      <c r="AD252" s="729"/>
      <c r="AE252" s="729"/>
    </row>
    <row r="253" spans="1:31">
      <c r="A253" s="729"/>
      <c r="B253" s="729"/>
      <c r="C253" s="729"/>
      <c r="D253" s="729"/>
      <c r="E253" s="729"/>
      <c r="F253" s="729"/>
      <c r="G253" s="729"/>
      <c r="H253" s="729"/>
      <c r="I253" s="729"/>
      <c r="J253" s="729"/>
      <c r="K253" s="729"/>
      <c r="L253" s="729"/>
      <c r="M253" s="729"/>
      <c r="N253" s="729"/>
      <c r="O253" s="729"/>
      <c r="P253" s="729"/>
      <c r="Q253" s="729"/>
      <c r="R253" s="729"/>
      <c r="S253" s="729"/>
      <c r="T253" s="729"/>
      <c r="U253" s="729"/>
      <c r="V253" s="729"/>
      <c r="W253" s="729"/>
      <c r="X253" s="729"/>
      <c r="Y253" s="729"/>
      <c r="Z253" s="729"/>
      <c r="AA253" s="729"/>
      <c r="AB253" s="729"/>
      <c r="AC253" s="729"/>
      <c r="AD253" s="729"/>
      <c r="AE253" s="729"/>
    </row>
    <row r="254" spans="1:31">
      <c r="A254" s="729"/>
      <c r="B254" s="729"/>
      <c r="C254" s="729"/>
      <c r="D254" s="729"/>
      <c r="E254" s="729"/>
      <c r="F254" s="729"/>
      <c r="G254" s="729"/>
      <c r="H254" s="729"/>
      <c r="I254" s="729"/>
      <c r="J254" s="729"/>
      <c r="K254" s="729"/>
      <c r="L254" s="729"/>
      <c r="M254" s="729"/>
      <c r="N254" s="729"/>
      <c r="O254" s="729"/>
      <c r="P254" s="729"/>
      <c r="Q254" s="729"/>
      <c r="R254" s="729"/>
      <c r="S254" s="729"/>
      <c r="T254" s="729"/>
      <c r="U254" s="729"/>
      <c r="V254" s="729"/>
      <c r="W254" s="729"/>
      <c r="X254" s="729"/>
      <c r="Y254" s="729"/>
      <c r="Z254" s="729"/>
      <c r="AA254" s="729"/>
      <c r="AB254" s="729"/>
      <c r="AC254" s="729"/>
      <c r="AD254" s="729"/>
      <c r="AE254" s="729"/>
    </row>
    <row r="255" spans="1:31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29"/>
      <c r="P255" s="729"/>
      <c r="Q255" s="729"/>
      <c r="R255" s="729"/>
      <c r="S255" s="729"/>
      <c r="T255" s="729"/>
      <c r="U255" s="729"/>
      <c r="V255" s="729"/>
      <c r="W255" s="729"/>
      <c r="X255" s="729"/>
      <c r="Y255" s="729"/>
      <c r="Z255" s="729"/>
      <c r="AA255" s="729"/>
      <c r="AB255" s="729"/>
      <c r="AC255" s="729"/>
      <c r="AD255" s="729"/>
      <c r="AE255" s="729"/>
    </row>
    <row r="256" spans="1:31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29"/>
      <c r="P256" s="729"/>
      <c r="Q256" s="729"/>
      <c r="R256" s="729"/>
      <c r="S256" s="729"/>
      <c r="T256" s="729"/>
      <c r="U256" s="729"/>
      <c r="V256" s="729"/>
      <c r="W256" s="729"/>
      <c r="X256" s="729"/>
      <c r="Y256" s="729"/>
      <c r="Z256" s="729"/>
      <c r="AA256" s="729"/>
      <c r="AB256" s="729"/>
      <c r="AC256" s="729"/>
      <c r="AD256" s="729"/>
      <c r="AE256" s="729"/>
    </row>
    <row r="257" spans="1:31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29"/>
      <c r="P257" s="729"/>
      <c r="Q257" s="729"/>
      <c r="R257" s="729"/>
      <c r="S257" s="729"/>
      <c r="T257" s="729"/>
      <c r="U257" s="729"/>
      <c r="V257" s="729"/>
      <c r="W257" s="729"/>
      <c r="X257" s="729"/>
      <c r="Y257" s="729"/>
      <c r="Z257" s="729"/>
      <c r="AA257" s="729"/>
      <c r="AB257" s="729"/>
      <c r="AC257" s="729"/>
      <c r="AD257" s="729"/>
      <c r="AE257" s="729"/>
    </row>
    <row r="258" spans="1:31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29"/>
      <c r="P258" s="729"/>
      <c r="Q258" s="729"/>
      <c r="R258" s="729"/>
      <c r="S258" s="729"/>
      <c r="T258" s="729"/>
      <c r="U258" s="729"/>
      <c r="V258" s="729"/>
      <c r="W258" s="729"/>
      <c r="X258" s="729"/>
      <c r="Y258" s="729"/>
      <c r="Z258" s="729"/>
      <c r="AA258" s="729"/>
      <c r="AB258" s="729"/>
      <c r="AC258" s="729"/>
      <c r="AD258" s="729"/>
      <c r="AE258" s="729"/>
    </row>
    <row r="259" spans="1:31">
      <c r="A259" s="729"/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  <c r="N259" s="729"/>
      <c r="O259" s="729"/>
      <c r="P259" s="729"/>
      <c r="Q259" s="729"/>
      <c r="R259" s="729"/>
      <c r="S259" s="729"/>
      <c r="T259" s="729"/>
      <c r="U259" s="729"/>
      <c r="V259" s="729"/>
      <c r="W259" s="729"/>
      <c r="X259" s="729"/>
      <c r="Y259" s="729"/>
      <c r="Z259" s="729"/>
      <c r="AA259" s="729"/>
      <c r="AB259" s="729"/>
      <c r="AC259" s="729"/>
      <c r="AD259" s="729"/>
      <c r="AE259" s="729"/>
    </row>
    <row r="260" spans="1:31">
      <c r="A260" s="729"/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  <c r="N260" s="729"/>
      <c r="O260" s="729"/>
      <c r="P260" s="729"/>
      <c r="Q260" s="729"/>
      <c r="R260" s="729"/>
      <c r="S260" s="729"/>
      <c r="T260" s="729"/>
      <c r="U260" s="729"/>
      <c r="V260" s="729"/>
      <c r="W260" s="729"/>
      <c r="X260" s="729"/>
      <c r="Y260" s="729"/>
      <c r="Z260" s="729"/>
      <c r="AA260" s="729"/>
      <c r="AB260" s="729"/>
      <c r="AC260" s="729"/>
      <c r="AD260" s="729"/>
      <c r="AE260" s="729"/>
    </row>
    <row r="261" spans="1:31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29"/>
      <c r="P261" s="729"/>
      <c r="Q261" s="729"/>
      <c r="R261" s="729"/>
      <c r="S261" s="729"/>
      <c r="T261" s="729"/>
      <c r="U261" s="729"/>
      <c r="V261" s="729"/>
      <c r="W261" s="729"/>
      <c r="X261" s="729"/>
      <c r="Y261" s="729"/>
      <c r="Z261" s="729"/>
      <c r="AA261" s="729"/>
      <c r="AB261" s="729"/>
      <c r="AC261" s="729"/>
      <c r="AD261" s="729"/>
      <c r="AE261" s="729"/>
    </row>
    <row r="262" spans="1:31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29"/>
      <c r="P262" s="729"/>
      <c r="Q262" s="729"/>
      <c r="R262" s="729"/>
      <c r="S262" s="729"/>
      <c r="T262" s="729"/>
      <c r="U262" s="729"/>
      <c r="V262" s="729"/>
      <c r="W262" s="729"/>
      <c r="X262" s="729"/>
      <c r="Y262" s="729"/>
      <c r="Z262" s="729"/>
      <c r="AA262" s="729"/>
      <c r="AB262" s="729"/>
      <c r="AC262" s="729"/>
      <c r="AD262" s="729"/>
      <c r="AE262" s="729"/>
    </row>
    <row r="263" spans="1:31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29"/>
      <c r="P263" s="729"/>
      <c r="Q263" s="729"/>
      <c r="R263" s="729"/>
      <c r="S263" s="729"/>
      <c r="T263" s="729"/>
      <c r="U263" s="729"/>
      <c r="V263" s="729"/>
      <c r="W263" s="729"/>
      <c r="X263" s="729"/>
      <c r="Y263" s="729"/>
      <c r="Z263" s="729"/>
      <c r="AA263" s="729"/>
      <c r="AB263" s="729"/>
      <c r="AC263" s="729"/>
      <c r="AD263" s="729"/>
      <c r="AE263" s="729"/>
    </row>
    <row r="264" spans="1:31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29"/>
      <c r="Y264" s="729"/>
      <c r="Z264" s="729"/>
      <c r="AA264" s="729"/>
      <c r="AB264" s="729"/>
      <c r="AC264" s="729"/>
      <c r="AD264" s="729"/>
      <c r="AE264" s="729"/>
    </row>
    <row r="265" spans="1:31">
      <c r="A265" s="729"/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29"/>
      <c r="Y265" s="729"/>
      <c r="Z265" s="729"/>
      <c r="AA265" s="729"/>
      <c r="AB265" s="729"/>
      <c r="AC265" s="729"/>
      <c r="AD265" s="729"/>
      <c r="AE265" s="729"/>
    </row>
    <row r="266" spans="1:31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29"/>
      <c r="P266" s="729"/>
      <c r="Q266" s="729"/>
      <c r="R266" s="729"/>
      <c r="S266" s="729"/>
      <c r="T266" s="729"/>
      <c r="U266" s="729"/>
      <c r="V266" s="729"/>
      <c r="W266" s="729"/>
      <c r="X266" s="729"/>
      <c r="Y266" s="729"/>
      <c r="Z266" s="729"/>
      <c r="AA266" s="729"/>
      <c r="AB266" s="729"/>
      <c r="AC266" s="729"/>
      <c r="AD266" s="729"/>
      <c r="AE266" s="729"/>
    </row>
    <row r="267" spans="1:31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29"/>
      <c r="P267" s="729"/>
      <c r="Q267" s="729"/>
      <c r="R267" s="729"/>
      <c r="S267" s="729"/>
      <c r="T267" s="729"/>
      <c r="U267" s="729"/>
      <c r="V267" s="729"/>
      <c r="W267" s="729"/>
      <c r="X267" s="729"/>
      <c r="Y267" s="729"/>
      <c r="Z267" s="729"/>
      <c r="AA267" s="729"/>
      <c r="AB267" s="729"/>
      <c r="AC267" s="729"/>
      <c r="AD267" s="729"/>
      <c r="AE267" s="729"/>
    </row>
    <row r="268" spans="1:31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29"/>
      <c r="P268" s="729"/>
      <c r="Q268" s="729"/>
      <c r="R268" s="729"/>
      <c r="S268" s="729"/>
      <c r="T268" s="729"/>
      <c r="U268" s="729"/>
      <c r="V268" s="729"/>
      <c r="W268" s="729"/>
      <c r="X268" s="729"/>
      <c r="Y268" s="729"/>
      <c r="Z268" s="729"/>
      <c r="AA268" s="729"/>
      <c r="AB268" s="729"/>
      <c r="AC268" s="729"/>
      <c r="AD268" s="729"/>
      <c r="AE268" s="729"/>
    </row>
    <row r="269" spans="1:31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29"/>
      <c r="P269" s="729"/>
      <c r="Q269" s="729"/>
      <c r="R269" s="729"/>
      <c r="S269" s="729"/>
      <c r="T269" s="729"/>
      <c r="U269" s="729"/>
      <c r="V269" s="729"/>
      <c r="W269" s="729"/>
      <c r="X269" s="729"/>
      <c r="Y269" s="729"/>
      <c r="Z269" s="729"/>
      <c r="AA269" s="729"/>
      <c r="AB269" s="729"/>
      <c r="AC269" s="729"/>
      <c r="AD269" s="729"/>
      <c r="AE269" s="729"/>
    </row>
    <row r="270" spans="1:31">
      <c r="A270" s="729"/>
      <c r="B270" s="729"/>
      <c r="C270" s="729"/>
      <c r="D270" s="729"/>
      <c r="E270" s="729"/>
      <c r="F270" s="729"/>
      <c r="G270" s="729"/>
      <c r="H270" s="729"/>
      <c r="I270" s="729"/>
      <c r="J270" s="729"/>
      <c r="K270" s="729"/>
      <c r="L270" s="729"/>
      <c r="M270" s="729"/>
      <c r="N270" s="729"/>
      <c r="O270" s="729"/>
      <c r="P270" s="729"/>
      <c r="Q270" s="729"/>
      <c r="R270" s="729"/>
      <c r="S270" s="729"/>
      <c r="T270" s="729"/>
      <c r="U270" s="729"/>
      <c r="V270" s="729"/>
      <c r="W270" s="729"/>
      <c r="X270" s="729"/>
      <c r="Y270" s="729"/>
      <c r="Z270" s="729"/>
      <c r="AA270" s="729"/>
      <c r="AB270" s="729"/>
      <c r="AC270" s="729"/>
      <c r="AD270" s="729"/>
      <c r="AE270" s="729"/>
    </row>
  </sheetData>
  <mergeCells count="9">
    <mergeCell ref="B117:F117"/>
    <mergeCell ref="B136:F136"/>
    <mergeCell ref="B97:F97"/>
    <mergeCell ref="B108:F108"/>
    <mergeCell ref="B61:F61"/>
    <mergeCell ref="B5:F5"/>
    <mergeCell ref="B16:F16"/>
    <mergeCell ref="B44:G44"/>
    <mergeCell ref="B25:F25"/>
  </mergeCells>
  <conditionalFormatting sqref="C19:F21">
    <cfRule type="cellIs" dxfId="70" priority="102" operator="lessThan">
      <formula>0.7</formula>
    </cfRule>
    <cfRule type="cellIs" dxfId="69" priority="103" operator="greaterThanOrEqual">
      <formula>0.9</formula>
    </cfRule>
  </conditionalFormatting>
  <conditionalFormatting sqref="C19:F21">
    <cfRule type="cellIs" dxfId="68" priority="130" operator="greaterThanOrEqual">
      <formula>1</formula>
    </cfRule>
    <cfRule type="cellIs" dxfId="67" priority="131" operator="between">
      <formula>0.5</formula>
      <formula>0.9999</formula>
    </cfRule>
    <cfRule type="cellIs" dxfId="66" priority="132" operator="lessThan">
      <formula>0.5</formula>
    </cfRule>
  </conditionalFormatting>
  <conditionalFormatting sqref="C111:F113">
    <cfRule type="cellIs" dxfId="65" priority="18" operator="lessThan">
      <formula>0.7</formula>
    </cfRule>
    <cfRule type="cellIs" dxfId="64" priority="19" operator="greaterThanOrEqual">
      <formula>0.9</formula>
    </cfRule>
  </conditionalFormatting>
  <conditionalFormatting sqref="C111:F113">
    <cfRule type="cellIs" dxfId="63" priority="38" operator="greaterThanOrEqual">
      <formula>1</formula>
    </cfRule>
    <cfRule type="cellIs" dxfId="62" priority="39" operator="between">
      <formula>0.5</formula>
      <formula>0.9999</formula>
    </cfRule>
    <cfRule type="cellIs" dxfId="61" priority="40" operator="lessThan">
      <formula>0.5</formula>
    </cfRule>
  </conditionalFormatting>
  <conditionalFormatting sqref="F8:F11">
    <cfRule type="cellIs" dxfId="60" priority="100" operator="lessThan">
      <formula>0.7</formula>
    </cfRule>
    <cfRule type="cellIs" dxfId="59" priority="101" operator="greaterThanOrEqual">
      <formula>0.9</formula>
    </cfRule>
    <cfRule type="cellIs" dxfId="58" priority="133" operator="greaterThanOrEqual">
      <formula>1</formula>
    </cfRule>
    <cfRule type="cellIs" dxfId="57" priority="134" operator="between">
      <formula>0.5</formula>
      <formula>0.9999</formula>
    </cfRule>
    <cfRule type="cellIs" dxfId="56" priority="135" operator="lessThan">
      <formula>0.5</formula>
    </cfRule>
  </conditionalFormatting>
  <conditionalFormatting sqref="F100:F103">
    <cfRule type="cellIs" dxfId="52" priority="16" operator="lessThan">
      <formula>0.7</formula>
    </cfRule>
    <cfRule type="cellIs" dxfId="51" priority="17" operator="greaterThanOrEqual">
      <formula>0.9</formula>
    </cfRule>
    <cfRule type="cellIs" dxfId="50" priority="41" operator="greaterThanOrEqual">
      <formula>1</formula>
    </cfRule>
    <cfRule type="cellIs" dxfId="49" priority="42" operator="between">
      <formula>0.5</formula>
      <formula>0.9999</formula>
    </cfRule>
    <cfRule type="cellIs" dxfId="48" priority="43" operator="lessThan">
      <formula>0.5</formula>
    </cfRule>
  </conditionalFormatting>
  <conditionalFormatting sqref="G111:I113">
    <cfRule type="cellIs" dxfId="4" priority="1" operator="lessThan">
      <formula>0.7</formula>
    </cfRule>
    <cfRule type="cellIs" dxfId="3" priority="2" operator="greaterThanOrEqual">
      <formula>0.9</formula>
    </cfRule>
  </conditionalFormatting>
  <conditionalFormatting sqref="G111:I113">
    <cfRule type="cellIs" dxfId="2" priority="3" operator="greaterThanOrEqual">
      <formula>1</formula>
    </cfRule>
    <cfRule type="cellIs" dxfId="1" priority="4" operator="between">
      <formula>0.5</formula>
      <formula>0.9999</formula>
    </cfRule>
    <cfRule type="cellIs" dxfId="0" priority="5" operator="lessThan">
      <formula>0.5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FF2-44AD-4B4D-9F61-1689FE8BDB54}">
  <sheetPr>
    <tabColor rgb="FF8EA9DB"/>
    <outlinePr summaryBelow="0"/>
  </sheetPr>
  <dimension ref="A1:AF281"/>
  <sheetViews>
    <sheetView showGridLines="0" topLeftCell="A91" zoomScale="94" zoomScaleNormal="94" workbookViewId="0">
      <pane xSplit="2" topLeftCell="C1" activePane="topRight" state="frozen"/>
      <selection activeCell="A91" sqref="A91"/>
      <selection pane="topRight" activeCell="O113" sqref="O113"/>
    </sheetView>
    <sheetView topLeftCell="A72" zoomScale="66" workbookViewId="1"/>
  </sheetViews>
  <sheetFormatPr defaultColWidth="12.6640625" defaultRowHeight="13.2"/>
  <cols>
    <col min="1" max="1" width="29.6640625" style="19" customWidth="1"/>
    <col min="2" max="2" width="58.77734375" style="19" bestFit="1" customWidth="1"/>
    <col min="3" max="3" width="13.6640625" style="19" customWidth="1"/>
    <col min="4" max="4" width="20.88671875" style="19" customWidth="1"/>
    <col min="5" max="5" width="13.6640625" style="19" customWidth="1"/>
    <col min="6" max="6" width="15.6640625" style="19" bestFit="1" customWidth="1"/>
    <col min="7" max="7" width="18.44140625" style="19" bestFit="1" customWidth="1"/>
    <col min="8" max="8" width="14.33203125" style="19" customWidth="1"/>
    <col min="9" max="9" width="13.6640625" style="19" customWidth="1"/>
    <col min="10" max="10" width="2.5546875" style="19" customWidth="1"/>
    <col min="11" max="11" width="13.6640625" style="19" customWidth="1"/>
    <col min="12" max="12" width="2.5546875" style="19" customWidth="1"/>
    <col min="13" max="13" width="13.6640625" style="19" customWidth="1"/>
    <col min="14" max="14" width="2.5546875" style="19" customWidth="1"/>
    <col min="15" max="15" width="13.6640625" style="19" customWidth="1"/>
    <col min="16" max="17" width="19.77734375" style="19" customWidth="1"/>
    <col min="18" max="16384" width="12.6640625" style="19"/>
  </cols>
  <sheetData>
    <row r="1" spans="1:32" ht="13.8">
      <c r="A1" s="912"/>
      <c r="B1" s="912"/>
      <c r="C1" s="271" t="s">
        <v>969</v>
      </c>
      <c r="D1" s="272"/>
      <c r="E1" s="272"/>
      <c r="F1" s="272"/>
      <c r="G1" s="271"/>
      <c r="H1" s="271" t="s">
        <v>878</v>
      </c>
      <c r="I1" s="272"/>
      <c r="J1" s="272"/>
      <c r="K1" s="272"/>
      <c r="L1" s="271"/>
      <c r="M1" s="271" t="s">
        <v>882</v>
      </c>
      <c r="N1" s="272"/>
      <c r="O1" s="272"/>
      <c r="P1" s="272"/>
      <c r="Q1" s="271"/>
      <c r="R1" s="948"/>
      <c r="S1" s="948"/>
      <c r="T1" s="948"/>
      <c r="U1" s="948"/>
      <c r="V1" s="948"/>
      <c r="W1" s="948"/>
      <c r="X1" s="948"/>
      <c r="Y1" s="948"/>
      <c r="Z1" s="948"/>
      <c r="AA1" s="948"/>
      <c r="AB1" s="948"/>
      <c r="AC1" s="948"/>
      <c r="AD1" s="948"/>
      <c r="AE1" s="948"/>
      <c r="AF1" s="948"/>
    </row>
    <row r="2" spans="1:32" ht="13.8">
      <c r="A2" s="913"/>
      <c r="B2" s="667" t="s">
        <v>970</v>
      </c>
      <c r="C2" s="668" t="s">
        <v>971</v>
      </c>
      <c r="D2" s="667" t="s">
        <v>972</v>
      </c>
      <c r="E2" s="667" t="s">
        <v>973</v>
      </c>
      <c r="F2" s="667" t="s">
        <v>974</v>
      </c>
      <c r="G2" s="669" t="s">
        <v>975</v>
      </c>
      <c r="H2" s="670" t="s">
        <v>971</v>
      </c>
      <c r="I2" s="667" t="s">
        <v>972</v>
      </c>
      <c r="J2" s="667" t="s">
        <v>973</v>
      </c>
      <c r="K2" s="667" t="s">
        <v>974</v>
      </c>
      <c r="L2" s="669" t="s">
        <v>975</v>
      </c>
      <c r="M2" s="670" t="s">
        <v>971</v>
      </c>
      <c r="N2" s="667" t="s">
        <v>972</v>
      </c>
      <c r="O2" s="667" t="s">
        <v>973</v>
      </c>
      <c r="P2" s="667" t="s">
        <v>974</v>
      </c>
      <c r="Q2" s="669" t="s">
        <v>975</v>
      </c>
      <c r="R2" s="949"/>
      <c r="S2" s="949"/>
      <c r="T2" s="949"/>
      <c r="U2" s="949"/>
      <c r="V2" s="949"/>
      <c r="W2" s="949"/>
      <c r="X2" s="949"/>
      <c r="Y2" s="948"/>
      <c r="Z2" s="948"/>
      <c r="AA2" s="948"/>
      <c r="AB2" s="948"/>
      <c r="AC2" s="948"/>
      <c r="AD2" s="948"/>
      <c r="AE2" s="948"/>
      <c r="AF2" s="948"/>
    </row>
    <row r="3" spans="1:32" ht="30" customHeight="1">
      <c r="A3" s="586"/>
      <c r="B3" s="582" t="s">
        <v>472</v>
      </c>
      <c r="C3" s="583" t="s">
        <v>146</v>
      </c>
      <c r="D3" s="584" t="s">
        <v>976</v>
      </c>
      <c r="E3" s="584" t="s">
        <v>977</v>
      </c>
      <c r="F3" s="584" t="s">
        <v>691</v>
      </c>
      <c r="G3" s="582" t="s">
        <v>978</v>
      </c>
      <c r="H3" s="582" t="s">
        <v>146</v>
      </c>
      <c r="I3" s="584" t="s">
        <v>976</v>
      </c>
      <c r="J3" s="584" t="s">
        <v>977</v>
      </c>
      <c r="K3" s="584" t="s">
        <v>691</v>
      </c>
      <c r="L3" s="582" t="s">
        <v>978</v>
      </c>
      <c r="M3" s="582" t="s">
        <v>146</v>
      </c>
      <c r="N3" s="584" t="s">
        <v>976</v>
      </c>
      <c r="O3" s="584" t="s">
        <v>977</v>
      </c>
      <c r="P3" s="584" t="s">
        <v>691</v>
      </c>
      <c r="Q3" s="582" t="s">
        <v>978</v>
      </c>
      <c r="R3" s="948"/>
      <c r="S3" s="948"/>
      <c r="T3" s="948"/>
      <c r="U3" s="948"/>
      <c r="V3" s="948"/>
      <c r="W3" s="948"/>
      <c r="X3" s="948"/>
      <c r="Y3" s="948"/>
      <c r="Z3" s="948"/>
      <c r="AA3" s="948"/>
      <c r="AB3" s="948"/>
      <c r="AC3" s="948"/>
      <c r="AD3" s="948"/>
      <c r="AE3" s="948"/>
      <c r="AF3" s="948"/>
    </row>
    <row r="4" spans="1:32" ht="13.8">
      <c r="A4" s="912"/>
      <c r="B4" s="912"/>
      <c r="C4" s="914"/>
      <c r="D4" s="431">
        <v>0.29044437990124899</v>
      </c>
      <c r="E4" s="432">
        <v>1</v>
      </c>
      <c r="F4" s="433">
        <v>3617.51866666667</v>
      </c>
      <c r="G4" s="915"/>
      <c r="H4" s="916"/>
      <c r="I4" s="431">
        <v>0.29112081513828197</v>
      </c>
      <c r="J4" s="432">
        <v>1</v>
      </c>
      <c r="K4" s="433">
        <v>3714.0209677419398</v>
      </c>
      <c r="L4" s="915"/>
      <c r="M4" s="916"/>
      <c r="N4" s="431">
        <v>0.29368575624082199</v>
      </c>
      <c r="O4" s="432">
        <v>1</v>
      </c>
      <c r="P4" s="433">
        <v>3505.2683333333298</v>
      </c>
      <c r="Q4" s="915"/>
      <c r="R4" s="948"/>
      <c r="S4" s="948"/>
      <c r="T4" s="948"/>
      <c r="U4" s="948"/>
      <c r="V4" s="948"/>
      <c r="W4" s="948"/>
      <c r="X4" s="948"/>
      <c r="Y4" s="948"/>
      <c r="Z4" s="948"/>
      <c r="AA4" s="948"/>
      <c r="AB4" s="948"/>
      <c r="AC4" s="948"/>
      <c r="AD4" s="948"/>
      <c r="AE4" s="948"/>
      <c r="AF4" s="948"/>
    </row>
    <row r="5" spans="1:32" ht="13.8">
      <c r="A5" s="912"/>
      <c r="B5" s="912"/>
      <c r="C5" s="912"/>
      <c r="D5" s="912"/>
      <c r="E5" s="912"/>
      <c r="F5" s="912"/>
      <c r="G5" s="917"/>
      <c r="H5" s="912"/>
      <c r="I5" s="912"/>
      <c r="J5" s="912"/>
      <c r="K5" s="912"/>
      <c r="L5" s="917"/>
      <c r="M5" s="912"/>
      <c r="N5" s="912"/>
      <c r="O5" s="912" t="s">
        <v>979</v>
      </c>
      <c r="P5" s="912"/>
      <c r="Q5" s="917"/>
      <c r="R5" s="948"/>
      <c r="S5" s="948"/>
      <c r="T5" s="948"/>
      <c r="U5" s="948"/>
      <c r="V5" s="948"/>
      <c r="W5" s="948"/>
      <c r="X5" s="948"/>
      <c r="Y5" s="948"/>
      <c r="Z5" s="948"/>
      <c r="AA5" s="948"/>
      <c r="AB5" s="948"/>
      <c r="AC5" s="948"/>
      <c r="AD5" s="948"/>
      <c r="AE5" s="948"/>
      <c r="AF5" s="948"/>
    </row>
    <row r="6" spans="1:32" ht="13.8">
      <c r="A6" s="918">
        <v>417005</v>
      </c>
      <c r="B6" s="919" t="s">
        <v>980</v>
      </c>
      <c r="C6" s="920">
        <v>17616.150000000001</v>
      </c>
      <c r="D6" s="921">
        <f>10291.03*D4</f>
        <v>2988.9718268951506</v>
      </c>
      <c r="E6" s="922">
        <v>0</v>
      </c>
      <c r="F6" s="921">
        <f>(3092211433-197836746)/F4</f>
        <v>800099.44763242803</v>
      </c>
      <c r="G6" s="107">
        <f>SUM(C6:F6)</f>
        <v>820704.56945932319</v>
      </c>
      <c r="H6" s="922">
        <v>9716.4500000000007</v>
      </c>
      <c r="I6" s="921">
        <f>2813.98*I4</f>
        <v>819.20815138282273</v>
      </c>
      <c r="J6" s="922">
        <v>0</v>
      </c>
      <c r="K6" s="921">
        <f>826514745/K4</f>
        <v>222539.06269745875</v>
      </c>
      <c r="L6" s="107">
        <f>SUM(H6:K6)</f>
        <v>233074.72084884156</v>
      </c>
      <c r="M6" s="922">
        <v>5664.45</v>
      </c>
      <c r="N6" s="921">
        <f>6202.25*N4</f>
        <v>1821.5124816446382</v>
      </c>
      <c r="O6" s="923"/>
      <c r="P6" s="921">
        <f>751453313.77/P4</f>
        <v>214378.25647299492</v>
      </c>
      <c r="Q6" s="107">
        <f>SUM(M6:P6)</f>
        <v>221864.21895463957</v>
      </c>
      <c r="R6" s="948"/>
      <c r="S6" s="948"/>
      <c r="T6" s="948"/>
      <c r="U6" s="948"/>
      <c r="V6" s="948"/>
      <c r="W6" s="948"/>
      <c r="X6" s="948"/>
      <c r="Y6" s="948"/>
      <c r="Z6" s="948"/>
      <c r="AA6" s="948"/>
      <c r="AB6" s="948"/>
      <c r="AC6" s="948"/>
      <c r="AD6" s="948"/>
      <c r="AE6" s="948"/>
      <c r="AF6" s="948"/>
    </row>
    <row r="7" spans="1:32" ht="13.8">
      <c r="A7" s="924">
        <v>420505</v>
      </c>
      <c r="B7" s="925" t="s">
        <v>981</v>
      </c>
      <c r="C7" s="926"/>
      <c r="D7" s="927"/>
      <c r="E7" s="928">
        <v>0</v>
      </c>
      <c r="F7" s="927">
        <f>4795548/F4</f>
        <v>1325.6456819941759</v>
      </c>
      <c r="G7" s="108">
        <f>SUM(C7:F7)</f>
        <v>1325.6456819941759</v>
      </c>
      <c r="H7" s="928">
        <v>0</v>
      </c>
      <c r="I7" s="928">
        <v>0</v>
      </c>
      <c r="J7" s="928">
        <v>0</v>
      </c>
      <c r="K7" s="927">
        <f>1366337/K4</f>
        <v>367.88618369882528</v>
      </c>
      <c r="L7" s="108">
        <f>SUM(H7:K7)</f>
        <v>367.88618369882528</v>
      </c>
      <c r="M7" s="928">
        <v>0</v>
      </c>
      <c r="N7" s="928">
        <v>0</v>
      </c>
      <c r="O7" s="928">
        <v>0</v>
      </c>
      <c r="P7" s="927">
        <f>3920248.31/P4</f>
        <v>1118.3875062346642</v>
      </c>
      <c r="Q7" s="108">
        <f>SUM(M7:P7)</f>
        <v>1118.3875062346642</v>
      </c>
      <c r="R7" s="948"/>
      <c r="S7" s="948"/>
      <c r="T7" s="948"/>
      <c r="U7" s="948"/>
      <c r="V7" s="948"/>
      <c r="W7" s="948"/>
      <c r="X7" s="948"/>
      <c r="Y7" s="948"/>
      <c r="Z7" s="948"/>
      <c r="AA7" s="948"/>
      <c r="AB7" s="948"/>
      <c r="AC7" s="948"/>
      <c r="AD7" s="948"/>
      <c r="AE7" s="948"/>
      <c r="AF7" s="948"/>
    </row>
    <row r="8" spans="1:32" ht="13.8">
      <c r="A8" s="925"/>
      <c r="B8" s="925"/>
      <c r="C8" s="929"/>
      <c r="D8" s="929"/>
      <c r="E8" s="929"/>
      <c r="F8" s="929"/>
      <c r="G8" s="108"/>
      <c r="H8" s="929"/>
      <c r="I8" s="929"/>
      <c r="J8" s="929"/>
      <c r="K8" s="929"/>
      <c r="L8" s="108"/>
      <c r="M8" s="929"/>
      <c r="N8" s="929"/>
      <c r="O8" s="929"/>
      <c r="P8" s="929"/>
      <c r="Q8" s="108"/>
      <c r="R8" s="948"/>
      <c r="S8" s="948"/>
      <c r="T8" s="948"/>
      <c r="U8" s="948"/>
      <c r="V8" s="948"/>
      <c r="W8" s="948"/>
      <c r="X8" s="948"/>
      <c r="Y8" s="948"/>
      <c r="Z8" s="948"/>
      <c r="AA8" s="948"/>
      <c r="AB8" s="948"/>
      <c r="AC8" s="948"/>
      <c r="AD8" s="948"/>
      <c r="AE8" s="948"/>
      <c r="AF8" s="948"/>
    </row>
    <row r="9" spans="1:32" ht="13.8">
      <c r="A9" s="924">
        <v>613005</v>
      </c>
      <c r="B9" s="925" t="s">
        <v>982</v>
      </c>
      <c r="C9" s="926"/>
      <c r="D9" s="929"/>
      <c r="E9" s="929"/>
      <c r="F9" s="927">
        <f>1416757380/F4</f>
        <v>391637.89064990735</v>
      </c>
      <c r="G9" s="108">
        <f>SUM(C9:F9)</f>
        <v>391637.89064990735</v>
      </c>
      <c r="H9" s="928">
        <v>0</v>
      </c>
      <c r="I9" s="927">
        <f>15383.22*I4</f>
        <v>4478.3755458515216</v>
      </c>
      <c r="J9" s="928">
        <v>0</v>
      </c>
      <c r="K9" s="927">
        <f>355470522.84/K4</f>
        <v>95710.424342628277</v>
      </c>
      <c r="L9" s="108">
        <f>SUM(H9:K9)</f>
        <v>100188.7998884798</v>
      </c>
      <c r="M9" s="928">
        <v>0</v>
      </c>
      <c r="N9" s="928">
        <v>0</v>
      </c>
      <c r="O9" s="928">
        <v>0</v>
      </c>
      <c r="P9" s="927">
        <f>348477606.57/P4</f>
        <v>99415.386621376208</v>
      </c>
      <c r="Q9" s="108">
        <f>SUM(M9:P9)</f>
        <v>99415.386621376208</v>
      </c>
      <c r="R9" s="948"/>
      <c r="S9" s="948"/>
      <c r="T9" s="948"/>
      <c r="U9" s="948"/>
      <c r="V9" s="948"/>
      <c r="W9" s="948"/>
      <c r="X9" s="948"/>
      <c r="Y9" s="948"/>
      <c r="Z9" s="948"/>
      <c r="AA9" s="948"/>
      <c r="AB9" s="948"/>
      <c r="AC9" s="948"/>
      <c r="AD9" s="948"/>
      <c r="AE9" s="948"/>
      <c r="AF9" s="948"/>
    </row>
    <row r="10" spans="1:32" ht="13.8">
      <c r="A10" s="925"/>
      <c r="B10" s="925"/>
      <c r="C10" s="929"/>
      <c r="D10" s="929"/>
      <c r="E10" s="929"/>
      <c r="F10" s="929"/>
      <c r="G10" s="108"/>
      <c r="H10" s="929"/>
      <c r="I10" s="929"/>
      <c r="J10" s="929"/>
      <c r="K10" s="929"/>
      <c r="L10" s="108"/>
      <c r="M10" s="929"/>
      <c r="N10" s="929"/>
      <c r="O10" s="929"/>
      <c r="P10" s="929"/>
      <c r="Q10" s="108"/>
      <c r="R10" s="948"/>
      <c r="S10" s="948"/>
      <c r="T10" s="948"/>
      <c r="U10" s="948"/>
      <c r="V10" s="948"/>
      <c r="W10" s="948"/>
      <c r="X10" s="948"/>
      <c r="Y10" s="948"/>
      <c r="Z10" s="948"/>
      <c r="AA10" s="948"/>
      <c r="AB10" s="948"/>
      <c r="AC10" s="948"/>
      <c r="AD10" s="948"/>
      <c r="AE10" s="948"/>
      <c r="AF10" s="948"/>
    </row>
    <row r="11" spans="1:32" ht="13.8">
      <c r="A11" s="930">
        <v>51</v>
      </c>
      <c r="B11" s="919" t="s">
        <v>983</v>
      </c>
      <c r="C11" s="920">
        <v>-46372.59</v>
      </c>
      <c r="D11" s="921"/>
      <c r="E11" s="922">
        <v>-17320.22</v>
      </c>
      <c r="F11" s="921">
        <f>460448659/F4</f>
        <v>127283.00844519933</v>
      </c>
      <c r="G11" s="107">
        <f>C11+D22+E11+F11</f>
        <v>70573.178404537117</v>
      </c>
      <c r="H11" s="922">
        <v>21616.02</v>
      </c>
      <c r="I11" s="922">
        <v>0</v>
      </c>
      <c r="J11" s="922">
        <v>57.8</v>
      </c>
      <c r="K11" s="921">
        <f>116808823.84/K4</f>
        <v>31450.771240803668</v>
      </c>
      <c r="L11" s="107">
        <f>H11+I22+J11+K11</f>
        <v>59194.221517368438</v>
      </c>
      <c r="M11" s="922">
        <v>25433.27</v>
      </c>
      <c r="N11" s="922">
        <v>0</v>
      </c>
      <c r="O11" s="922">
        <v>71.989999999999995</v>
      </c>
      <c r="P11" s="921">
        <f>112288693.6/P4</f>
        <v>32034.264690149761</v>
      </c>
      <c r="Q11" s="107">
        <f>M11+N22+O11+P11</f>
        <v>59705.888860487496</v>
      </c>
      <c r="R11" s="948"/>
      <c r="S11" s="948"/>
      <c r="T11" s="948"/>
      <c r="U11" s="948"/>
      <c r="V11" s="948"/>
      <c r="W11" s="948"/>
      <c r="X11" s="948"/>
      <c r="Y11" s="948"/>
      <c r="Z11" s="948"/>
      <c r="AA11" s="948"/>
      <c r="AB11" s="948"/>
      <c r="AC11" s="948"/>
      <c r="AD11" s="948"/>
      <c r="AE11" s="948"/>
      <c r="AF11" s="948"/>
    </row>
    <row r="12" spans="1:32" ht="13.8">
      <c r="A12" s="930">
        <v>52</v>
      </c>
      <c r="B12" s="919" t="s">
        <v>984</v>
      </c>
      <c r="C12" s="931"/>
      <c r="D12" s="923"/>
      <c r="E12" s="923"/>
      <c r="F12" s="921">
        <f>574938654/F4</f>
        <v>158931.77257044317</v>
      </c>
      <c r="G12" s="107">
        <f>SUM(C12:F12)</f>
        <v>158931.77257044317</v>
      </c>
      <c r="H12" s="922">
        <v>4000</v>
      </c>
      <c r="I12" s="922">
        <v>0</v>
      </c>
      <c r="J12" s="922">
        <v>1300</v>
      </c>
      <c r="K12" s="921">
        <f>120233213.2/K4</f>
        <v>32372.787941770752</v>
      </c>
      <c r="L12" s="107">
        <f>SUM(H12:K12)</f>
        <v>37672.787941770752</v>
      </c>
      <c r="M12" s="922">
        <v>2535</v>
      </c>
      <c r="N12" s="922">
        <v>0</v>
      </c>
      <c r="O12" s="922">
        <v>2550</v>
      </c>
      <c r="P12" s="921">
        <f>146803459.79/P4</f>
        <v>41880.805071033596</v>
      </c>
      <c r="Q12" s="107">
        <f>SUM(M12:P12)</f>
        <v>46965.805071033596</v>
      </c>
      <c r="R12" s="948"/>
      <c r="S12" s="948"/>
      <c r="T12" s="948"/>
      <c r="U12" s="948"/>
      <c r="V12" s="948"/>
      <c r="W12" s="948"/>
      <c r="X12" s="948"/>
      <c r="Y12" s="948"/>
      <c r="Z12" s="948"/>
      <c r="AA12" s="948"/>
      <c r="AB12" s="948"/>
      <c r="AC12" s="948"/>
      <c r="AD12" s="948"/>
      <c r="AE12" s="948"/>
      <c r="AF12" s="948"/>
    </row>
    <row r="13" spans="1:32" ht="13.8">
      <c r="A13" s="932">
        <v>75</v>
      </c>
      <c r="B13" s="925" t="s">
        <v>985</v>
      </c>
      <c r="C13" s="926"/>
      <c r="D13" s="929"/>
      <c r="E13" s="929"/>
      <c r="F13" s="927">
        <f>343521142/F4</f>
        <v>94960.433836968819</v>
      </c>
      <c r="G13" s="108">
        <f>SUM(C13:F13)</f>
        <v>94960.433836968819</v>
      </c>
      <c r="H13" s="928">
        <v>7500</v>
      </c>
      <c r="I13" s="928">
        <v>0</v>
      </c>
      <c r="J13" s="928">
        <v>0</v>
      </c>
      <c r="K13" s="927">
        <f>120992711/K4</f>
        <v>32577.282694653572</v>
      </c>
      <c r="L13" s="108">
        <f>SUM(H13:K13)</f>
        <v>40077.282694653572</v>
      </c>
      <c r="M13" s="928">
        <v>0</v>
      </c>
      <c r="N13" s="928">
        <v>0</v>
      </c>
      <c r="O13" s="928">
        <v>0</v>
      </c>
      <c r="P13" s="927">
        <f>108908060.06/P4</f>
        <v>31069.821110224118</v>
      </c>
      <c r="Q13" s="108">
        <f>SUM(M13:P13)</f>
        <v>31069.821110224118</v>
      </c>
      <c r="R13" s="948"/>
      <c r="S13" s="948"/>
      <c r="T13" s="948"/>
      <c r="U13" s="948"/>
      <c r="V13" s="948"/>
      <c r="W13" s="948"/>
      <c r="X13" s="948"/>
      <c r="Y13" s="948"/>
      <c r="Z13" s="948"/>
      <c r="AA13" s="948"/>
      <c r="AB13" s="948"/>
      <c r="AC13" s="948"/>
      <c r="AD13" s="948"/>
      <c r="AE13" s="948"/>
      <c r="AF13" s="948"/>
    </row>
    <row r="14" spans="1:32" ht="13.8">
      <c r="A14" s="925"/>
      <c r="B14" s="925"/>
      <c r="C14" s="929"/>
      <c r="D14" s="929"/>
      <c r="E14" s="929"/>
      <c r="F14" s="929"/>
      <c r="G14" s="108"/>
      <c r="H14" s="929"/>
      <c r="I14" s="929"/>
      <c r="J14" s="929"/>
      <c r="K14" s="929"/>
      <c r="L14" s="108"/>
      <c r="M14" s="929"/>
      <c r="N14" s="929"/>
      <c r="O14" s="929"/>
      <c r="P14" s="929"/>
      <c r="Q14" s="108"/>
      <c r="R14" s="948"/>
      <c r="S14" s="948"/>
      <c r="T14" s="948"/>
      <c r="U14" s="948"/>
      <c r="V14" s="948"/>
      <c r="W14" s="948"/>
      <c r="X14" s="948"/>
      <c r="Y14" s="948"/>
      <c r="Z14" s="948"/>
      <c r="AA14" s="948"/>
      <c r="AB14" s="948"/>
      <c r="AC14" s="948"/>
      <c r="AD14" s="948"/>
      <c r="AE14" s="948"/>
      <c r="AF14" s="948"/>
    </row>
    <row r="15" spans="1:32" ht="13.8">
      <c r="A15" s="924">
        <v>530505</v>
      </c>
      <c r="B15" s="925" t="s">
        <v>986</v>
      </c>
      <c r="C15" s="926"/>
      <c r="D15" s="927">
        <f>-318.95*D4</f>
        <v>-92.637234969503368</v>
      </c>
      <c r="E15" s="928">
        <v>267.92</v>
      </c>
      <c r="F15" s="927">
        <f>23201792/F4</f>
        <v>6413.7311062942163</v>
      </c>
      <c r="G15" s="108">
        <f>SUM(C15:F15)</f>
        <v>6589.0138713247125</v>
      </c>
      <c r="H15" s="928">
        <v>0</v>
      </c>
      <c r="I15" s="927">
        <f>111*I4</f>
        <v>32.314410480349302</v>
      </c>
      <c r="J15" s="928">
        <v>36</v>
      </c>
      <c r="K15" s="927">
        <f>6000847.89/K4</f>
        <v>1615.728059189825</v>
      </c>
      <c r="L15" s="108">
        <f>SUM(H15:K15)</f>
        <v>1684.0424696701743</v>
      </c>
      <c r="M15" s="928">
        <v>0</v>
      </c>
      <c r="N15" s="927">
        <f>40.75*N4</f>
        <v>11.967694566813496</v>
      </c>
      <c r="O15" s="928">
        <v>50</v>
      </c>
      <c r="P15" s="927">
        <f>5552093.3/P4</f>
        <v>1583.9281823883209</v>
      </c>
      <c r="Q15" s="108">
        <f>SUM(M15:P15)</f>
        <v>1645.8958769551343</v>
      </c>
      <c r="R15" s="948"/>
      <c r="S15" s="948"/>
      <c r="T15" s="948"/>
      <c r="U15" s="948"/>
      <c r="V15" s="948"/>
      <c r="W15" s="948"/>
      <c r="X15" s="948"/>
      <c r="Y15" s="948"/>
      <c r="Z15" s="948"/>
      <c r="AA15" s="948"/>
      <c r="AB15" s="948"/>
      <c r="AC15" s="948"/>
      <c r="AD15" s="948"/>
      <c r="AE15" s="948"/>
      <c r="AF15" s="948"/>
    </row>
    <row r="16" spans="1:32" ht="13.8">
      <c r="A16" s="925"/>
      <c r="B16" s="925"/>
      <c r="C16" s="929"/>
      <c r="D16" s="929"/>
      <c r="E16" s="929"/>
      <c r="F16" s="929"/>
      <c r="G16" s="108"/>
      <c r="H16" s="929"/>
      <c r="I16" s="929"/>
      <c r="J16" s="929"/>
      <c r="K16" s="929"/>
      <c r="L16" s="108"/>
      <c r="M16" s="929"/>
      <c r="N16" s="929"/>
      <c r="O16" s="929"/>
      <c r="P16" s="929"/>
      <c r="Q16" s="108"/>
      <c r="R16" s="948"/>
      <c r="S16" s="948"/>
      <c r="T16" s="948"/>
      <c r="U16" s="948"/>
      <c r="V16" s="948"/>
      <c r="W16" s="948"/>
      <c r="X16" s="948"/>
      <c r="Y16" s="948"/>
      <c r="Z16" s="948"/>
      <c r="AA16" s="948"/>
      <c r="AB16" s="948"/>
      <c r="AC16" s="948"/>
      <c r="AD16" s="948"/>
      <c r="AE16" s="948"/>
      <c r="AF16" s="948"/>
    </row>
    <row r="17" spans="1:32" ht="13.8">
      <c r="A17" s="434">
        <v>360501</v>
      </c>
      <c r="B17" s="273" t="s">
        <v>987</v>
      </c>
      <c r="C17" s="109">
        <f>C6+C11</f>
        <v>-28756.439999999995</v>
      </c>
      <c r="D17" s="110">
        <f>D6-D15</f>
        <v>3081.609061864654</v>
      </c>
      <c r="E17" s="110">
        <f>E6+E7+E11+E15</f>
        <v>-17052.300000000003</v>
      </c>
      <c r="F17" s="110">
        <f>F6+F7-F9-F11-F12-F13-F15</f>
        <v>22198.256705609281</v>
      </c>
      <c r="G17" s="108">
        <f>C17+D17+E17+F17</f>
        <v>-20528.874232526061</v>
      </c>
      <c r="H17" s="110">
        <f>H6+H7-H9-H11-H12-H13-H15</f>
        <v>-23399.57</v>
      </c>
      <c r="I17" s="110">
        <f>I6+I7-I9-I11-I12-I13-I15</f>
        <v>-3691.4818049490482</v>
      </c>
      <c r="J17" s="110">
        <f>J6+J7-J9-J11-J12-J13-J15</f>
        <v>-1393.8</v>
      </c>
      <c r="K17" s="110">
        <f>K6+K7-K9-K11-K12-K13-K15</f>
        <v>29179.954602111487</v>
      </c>
      <c r="L17" s="108">
        <f>H17+I17+J17+K17</f>
        <v>695.10279716243895</v>
      </c>
      <c r="M17" s="110">
        <f>M6+M7-M9-M11-M12-M13-M15</f>
        <v>-22303.82</v>
      </c>
      <c r="N17" s="110">
        <f>N6+N7-N9-N11-N12-N13-N15</f>
        <v>1809.5447870778248</v>
      </c>
      <c r="O17" s="110">
        <f>O6+O7-O9-O11-O12-O13-O15</f>
        <v>-2671.99</v>
      </c>
      <c r="P17" s="110">
        <f>P6+P7-P9-P11-P12-P13-P15</f>
        <v>9512.4383040575776</v>
      </c>
      <c r="Q17" s="108">
        <f>M17+N17+O17+P17</f>
        <v>-13653.826908864597</v>
      </c>
      <c r="R17" s="948"/>
      <c r="S17" s="948"/>
      <c r="T17" s="948"/>
      <c r="U17" s="948"/>
      <c r="V17" s="948"/>
      <c r="W17" s="948"/>
      <c r="X17" s="948"/>
      <c r="Y17" s="948"/>
      <c r="Z17" s="948"/>
      <c r="AA17" s="948"/>
      <c r="AB17" s="948"/>
      <c r="AC17" s="948"/>
      <c r="AD17" s="948"/>
      <c r="AE17" s="948"/>
      <c r="AF17" s="948"/>
    </row>
    <row r="18" spans="1:32" ht="13.8">
      <c r="A18" s="275"/>
      <c r="B18" s="275"/>
      <c r="C18" s="927"/>
      <c r="D18" s="927"/>
      <c r="E18" s="927"/>
      <c r="F18" s="927"/>
      <c r="G18" s="108"/>
      <c r="H18" s="927"/>
      <c r="I18" s="927"/>
      <c r="J18" s="927"/>
      <c r="K18" s="927"/>
      <c r="L18" s="108"/>
      <c r="M18" s="927"/>
      <c r="N18" s="927"/>
      <c r="O18" s="927"/>
      <c r="P18" s="927"/>
      <c r="Q18" s="108"/>
      <c r="R18" s="948"/>
      <c r="S18" s="948"/>
      <c r="T18" s="948"/>
      <c r="U18" s="948"/>
      <c r="V18" s="948"/>
      <c r="W18" s="948"/>
      <c r="X18" s="948"/>
      <c r="Y18" s="948"/>
      <c r="Z18" s="948"/>
      <c r="AA18" s="948"/>
      <c r="AB18" s="948"/>
      <c r="AC18" s="948"/>
      <c r="AD18" s="948"/>
      <c r="AE18" s="948"/>
      <c r="AF18" s="948"/>
    </row>
    <row r="19" spans="1:32" ht="30" customHeight="1">
      <c r="A19" s="586"/>
      <c r="B19" s="587" t="s">
        <v>988</v>
      </c>
      <c r="C19" s="588"/>
      <c r="D19" s="589" t="s">
        <v>989</v>
      </c>
      <c r="E19" s="589"/>
      <c r="F19" s="589"/>
      <c r="G19" s="589"/>
      <c r="H19" s="589"/>
      <c r="I19" s="589" t="s">
        <v>989</v>
      </c>
      <c r="J19" s="589"/>
      <c r="K19" s="589"/>
      <c r="L19" s="589"/>
      <c r="M19" s="589"/>
      <c r="N19" s="589" t="s">
        <v>989</v>
      </c>
      <c r="O19" s="589"/>
      <c r="P19" s="589"/>
      <c r="Q19" s="589" t="s">
        <v>989</v>
      </c>
      <c r="R19" s="950"/>
      <c r="S19" s="950"/>
      <c r="T19" s="950"/>
      <c r="U19" s="950"/>
      <c r="V19" s="950"/>
      <c r="W19" s="950"/>
      <c r="X19" s="950"/>
      <c r="Y19" s="948"/>
      <c r="Z19" s="948"/>
      <c r="AA19" s="948"/>
      <c r="AB19" s="948"/>
      <c r="AC19" s="948"/>
      <c r="AD19" s="948"/>
      <c r="AE19" s="948"/>
      <c r="AF19" s="948"/>
    </row>
    <row r="20" spans="1:32" ht="13.8">
      <c r="A20" s="275"/>
      <c r="B20" s="275" t="s">
        <v>990</v>
      </c>
      <c r="C20" s="933"/>
      <c r="D20" s="927">
        <f>79069.02*D4</f>
        <v>22965.152483299455</v>
      </c>
      <c r="E20" s="927"/>
      <c r="F20" s="927"/>
      <c r="G20" s="108"/>
      <c r="H20" s="929"/>
      <c r="I20" s="928">
        <v>0</v>
      </c>
      <c r="J20" s="927"/>
      <c r="K20" s="927"/>
      <c r="L20" s="108"/>
      <c r="M20" s="929"/>
      <c r="N20" s="928">
        <v>1380.84</v>
      </c>
      <c r="O20" s="927"/>
      <c r="P20" s="927"/>
      <c r="Q20" s="108">
        <f>D20+I20+N20</f>
        <v>24345.992483299455</v>
      </c>
      <c r="R20" s="948"/>
      <c r="S20" s="948"/>
      <c r="T20" s="948"/>
      <c r="U20" s="948"/>
      <c r="V20" s="948"/>
      <c r="W20" s="948"/>
      <c r="X20" s="948"/>
      <c r="Y20" s="948"/>
      <c r="Z20" s="948"/>
      <c r="AA20" s="948"/>
      <c r="AB20" s="948"/>
      <c r="AC20" s="948"/>
      <c r="AD20" s="948"/>
      <c r="AE20" s="948"/>
      <c r="AF20" s="948"/>
    </row>
    <row r="21" spans="1:32" ht="13.8">
      <c r="A21" s="275"/>
      <c r="B21" s="275"/>
      <c r="C21" s="927"/>
      <c r="D21" s="927"/>
      <c r="E21" s="927"/>
      <c r="F21" s="927"/>
      <c r="G21" s="108"/>
      <c r="H21" s="927"/>
      <c r="I21" s="927"/>
      <c r="J21" s="927"/>
      <c r="K21" s="927"/>
      <c r="L21" s="108"/>
      <c r="M21" s="927"/>
      <c r="N21" s="927"/>
      <c r="O21" s="927"/>
      <c r="P21" s="927"/>
      <c r="Q21" s="108"/>
      <c r="R21" s="948"/>
      <c r="S21" s="948"/>
      <c r="T21" s="948"/>
      <c r="U21" s="948"/>
      <c r="V21" s="948"/>
      <c r="W21" s="948"/>
      <c r="X21" s="948"/>
      <c r="Y21" s="948"/>
      <c r="Z21" s="948"/>
      <c r="AA21" s="948"/>
      <c r="AB21" s="948"/>
      <c r="AC21" s="948"/>
      <c r="AD21" s="948"/>
      <c r="AE21" s="948"/>
      <c r="AF21" s="948"/>
    </row>
    <row r="22" spans="1:32" ht="13.8">
      <c r="A22" s="934"/>
      <c r="B22" s="275" t="s">
        <v>991</v>
      </c>
      <c r="C22" s="933"/>
      <c r="D22" s="927">
        <f>24042.4*D4</f>
        <v>6982.9799593377893</v>
      </c>
      <c r="E22" s="927"/>
      <c r="F22" s="927"/>
      <c r="G22" s="108"/>
      <c r="H22" s="929"/>
      <c r="I22" s="927">
        <f>20849.18*I4</f>
        <v>6069.6302765647661</v>
      </c>
      <c r="J22" s="927"/>
      <c r="K22" s="927"/>
      <c r="L22" s="108"/>
      <c r="M22" s="929"/>
      <c r="N22" s="927">
        <f>7376.47*N4</f>
        <v>2166.3641703377361</v>
      </c>
      <c r="O22" s="927"/>
      <c r="P22" s="927"/>
      <c r="Q22" s="108">
        <f>D22+I22+N22</f>
        <v>15218.974406240292</v>
      </c>
      <c r="R22" s="948"/>
      <c r="S22" s="948"/>
      <c r="T22" s="948"/>
      <c r="U22" s="948"/>
      <c r="V22" s="948"/>
      <c r="W22" s="948"/>
      <c r="X22" s="948"/>
      <c r="Y22" s="948"/>
      <c r="Z22" s="948"/>
      <c r="AA22" s="948"/>
      <c r="AB22" s="948"/>
      <c r="AC22" s="948"/>
      <c r="AD22" s="948"/>
      <c r="AE22" s="948"/>
      <c r="AF22" s="948"/>
    </row>
    <row r="23" spans="1:32" ht="14.4" thickBot="1">
      <c r="A23" s="934"/>
      <c r="B23" s="935" t="s">
        <v>992</v>
      </c>
      <c r="C23" s="936"/>
      <c r="D23" s="937">
        <f>D20-D22</f>
        <v>15982.172523961664</v>
      </c>
      <c r="E23" s="937"/>
      <c r="F23" s="937"/>
      <c r="G23" s="111"/>
      <c r="H23" s="937"/>
      <c r="I23" s="937">
        <f>I20-I22</f>
        <v>-6069.6302765647661</v>
      </c>
      <c r="J23" s="937"/>
      <c r="K23" s="937"/>
      <c r="L23" s="111"/>
      <c r="M23" s="937"/>
      <c r="N23" s="937">
        <f>N20-N22</f>
        <v>-785.52417033773622</v>
      </c>
      <c r="O23" s="937"/>
      <c r="P23" s="937"/>
      <c r="Q23" s="111">
        <f>D23+I23+N23</f>
        <v>9127.0180770591614</v>
      </c>
      <c r="R23" s="948"/>
      <c r="S23" s="948"/>
      <c r="T23" s="948"/>
      <c r="U23" s="948"/>
      <c r="V23" s="948"/>
      <c r="W23" s="948"/>
      <c r="X23" s="948"/>
      <c r="Y23" s="948"/>
      <c r="Z23" s="948"/>
      <c r="AA23" s="948"/>
      <c r="AB23" s="948"/>
      <c r="AC23" s="948"/>
      <c r="AD23" s="948"/>
      <c r="AE23" s="948"/>
      <c r="AF23" s="948"/>
    </row>
    <row r="24" spans="1:32" ht="13.8">
      <c r="A24" s="938"/>
      <c r="B24" s="938"/>
      <c r="C24" s="938"/>
      <c r="D24" s="938"/>
      <c r="E24" s="938"/>
      <c r="F24" s="938"/>
      <c r="G24" s="938"/>
      <c r="H24" s="938"/>
      <c r="I24" s="938"/>
      <c r="J24" s="938"/>
      <c r="K24" s="938"/>
      <c r="L24" s="938"/>
      <c r="M24" s="938"/>
      <c r="N24" s="938"/>
      <c r="O24" s="938"/>
      <c r="P24" s="938"/>
      <c r="Q24" s="938"/>
      <c r="R24" s="948"/>
      <c r="S24" s="948"/>
      <c r="T24" s="948"/>
      <c r="U24" s="948"/>
      <c r="V24" s="948"/>
      <c r="W24" s="948"/>
      <c r="X24" s="948"/>
      <c r="Y24" s="948"/>
      <c r="Z24" s="948"/>
      <c r="AA24" s="948"/>
      <c r="AB24" s="948"/>
      <c r="AC24" s="948"/>
      <c r="AD24" s="948"/>
      <c r="AE24" s="948"/>
      <c r="AF24" s="948"/>
    </row>
    <row r="25" spans="1:32" ht="13.8">
      <c r="A25" s="938"/>
      <c r="B25" s="938"/>
      <c r="C25" s="938"/>
      <c r="D25" s="938"/>
      <c r="E25" s="938"/>
      <c r="F25" s="938"/>
      <c r="G25" s="938"/>
      <c r="H25" s="938"/>
      <c r="I25" s="938"/>
      <c r="J25" s="938"/>
      <c r="K25" s="938"/>
      <c r="L25" s="938"/>
      <c r="M25" s="938"/>
      <c r="N25" s="938"/>
      <c r="O25" s="938"/>
      <c r="P25" s="938"/>
      <c r="Q25" s="938"/>
      <c r="R25" s="948"/>
      <c r="S25" s="948"/>
      <c r="T25" s="948"/>
      <c r="U25" s="948"/>
      <c r="V25" s="948"/>
      <c r="W25" s="948"/>
      <c r="X25" s="948"/>
      <c r="Y25" s="948"/>
      <c r="Z25" s="948"/>
      <c r="AA25" s="948"/>
      <c r="AB25" s="948"/>
      <c r="AC25" s="948"/>
      <c r="AD25" s="948"/>
      <c r="AE25" s="948"/>
      <c r="AF25" s="948"/>
    </row>
    <row r="26" spans="1:32" ht="13.8">
      <c r="A26" s="938"/>
      <c r="B26" s="938"/>
      <c r="C26" s="938"/>
      <c r="D26" s="938"/>
      <c r="E26" s="938"/>
      <c r="F26" s="938"/>
      <c r="G26" s="938"/>
      <c r="H26" s="938"/>
      <c r="I26" s="938"/>
      <c r="J26" s="938"/>
      <c r="K26" s="938"/>
      <c r="L26" s="938"/>
      <c r="M26" s="938"/>
      <c r="N26" s="938"/>
      <c r="O26" s="938"/>
      <c r="P26" s="938"/>
      <c r="Q26" s="938"/>
      <c r="R26" s="948"/>
      <c r="S26" s="948"/>
      <c r="T26" s="948"/>
      <c r="U26" s="948"/>
      <c r="V26" s="948"/>
      <c r="W26" s="948"/>
      <c r="X26" s="948"/>
      <c r="Y26" s="948"/>
      <c r="Z26" s="948"/>
      <c r="AA26" s="948"/>
      <c r="AB26" s="948"/>
      <c r="AC26" s="948"/>
      <c r="AD26" s="948"/>
      <c r="AE26" s="948"/>
      <c r="AF26" s="948"/>
    </row>
    <row r="27" spans="1:32" ht="13.8">
      <c r="A27" s="938"/>
      <c r="B27" s="938"/>
      <c r="C27" s="938"/>
      <c r="D27" s="938"/>
      <c r="E27" s="938"/>
      <c r="F27" s="938"/>
      <c r="G27" s="938"/>
      <c r="H27" s="938"/>
      <c r="I27" s="938"/>
      <c r="J27" s="938"/>
      <c r="K27" s="938"/>
      <c r="L27" s="938"/>
      <c r="M27" s="938"/>
      <c r="N27" s="938"/>
      <c r="O27" s="938"/>
      <c r="P27" s="938"/>
      <c r="Q27" s="938"/>
      <c r="R27" s="948"/>
      <c r="S27" s="948"/>
      <c r="T27" s="948"/>
      <c r="U27" s="948"/>
      <c r="V27" s="948"/>
      <c r="W27" s="948"/>
      <c r="X27" s="948"/>
      <c r="Y27" s="948"/>
      <c r="Z27" s="948"/>
      <c r="AA27" s="948"/>
      <c r="AB27" s="948"/>
      <c r="AC27" s="948"/>
      <c r="AD27" s="948"/>
      <c r="AE27" s="948"/>
      <c r="AF27" s="948"/>
    </row>
    <row r="28" spans="1:32" ht="18" thickBot="1">
      <c r="A28" s="590"/>
      <c r="B28" s="591" t="s">
        <v>1040</v>
      </c>
      <c r="C28" s="591"/>
      <c r="D28" s="591"/>
      <c r="E28" s="591"/>
      <c r="F28" s="591"/>
      <c r="G28" s="590"/>
      <c r="H28" s="590"/>
      <c r="I28" s="590"/>
      <c r="J28" s="590"/>
      <c r="K28" s="590"/>
      <c r="L28" s="590"/>
      <c r="M28" s="590"/>
      <c r="N28" s="590"/>
      <c r="O28" s="590"/>
      <c r="P28" s="590"/>
      <c r="Q28" s="590"/>
      <c r="R28" s="948"/>
      <c r="S28" s="948"/>
      <c r="T28" s="948"/>
      <c r="U28" s="948"/>
      <c r="V28" s="948"/>
      <c r="W28" s="948"/>
      <c r="X28" s="948"/>
      <c r="Y28" s="948"/>
      <c r="Z28" s="948"/>
      <c r="AA28" s="948"/>
      <c r="AB28" s="948"/>
      <c r="AC28" s="948"/>
      <c r="AD28" s="948"/>
      <c r="AE28" s="948"/>
      <c r="AF28" s="948"/>
    </row>
    <row r="29" spans="1:32" ht="13.8" thickTop="1">
      <c r="A29" s="939"/>
      <c r="B29" s="592" t="s">
        <v>1041</v>
      </c>
      <c r="C29" s="592"/>
      <c r="D29" s="592"/>
      <c r="E29" s="592"/>
      <c r="F29" s="592"/>
      <c r="G29" s="939"/>
      <c r="H29" s="939"/>
      <c r="I29" s="939"/>
      <c r="J29" s="939"/>
      <c r="K29" s="939"/>
      <c r="L29" s="939"/>
      <c r="M29" s="939"/>
      <c r="N29" s="939"/>
      <c r="O29" s="939"/>
      <c r="P29" s="939"/>
      <c r="Q29" s="939"/>
      <c r="R29" s="948"/>
      <c r="S29" s="948"/>
      <c r="T29" s="948"/>
      <c r="U29" s="948"/>
      <c r="V29" s="948"/>
      <c r="W29" s="948"/>
      <c r="X29" s="948"/>
      <c r="Y29" s="948"/>
      <c r="Z29" s="948"/>
      <c r="AA29" s="948"/>
      <c r="AB29" s="948"/>
      <c r="AC29" s="948"/>
      <c r="AD29" s="948"/>
      <c r="AE29" s="948"/>
      <c r="AF29" s="948"/>
    </row>
    <row r="30" spans="1:32" ht="13.8">
      <c r="A30" s="938"/>
      <c r="B30" s="274"/>
      <c r="C30" s="274"/>
      <c r="D30" s="274"/>
      <c r="E30" s="274"/>
      <c r="F30" s="274"/>
      <c r="G30" s="938"/>
      <c r="H30" s="938"/>
      <c r="I30" s="938"/>
      <c r="J30" s="938"/>
      <c r="K30" s="938"/>
      <c r="L30" s="938"/>
      <c r="M30" s="938"/>
      <c r="N30" s="938"/>
      <c r="O30" s="938"/>
      <c r="P30" s="938"/>
      <c r="Q30" s="938"/>
      <c r="R30" s="948"/>
      <c r="S30" s="948"/>
      <c r="T30" s="948"/>
      <c r="U30" s="948"/>
      <c r="V30" s="948"/>
      <c r="W30" s="948"/>
      <c r="X30" s="948"/>
      <c r="Y30" s="948"/>
      <c r="Z30" s="948"/>
      <c r="AA30" s="948"/>
      <c r="AB30" s="948"/>
      <c r="AC30" s="948"/>
      <c r="AD30" s="948"/>
      <c r="AE30" s="948"/>
      <c r="AF30" s="948"/>
    </row>
    <row r="31" spans="1:32" ht="13.8">
      <c r="A31" s="938"/>
      <c r="B31" s="274"/>
      <c r="C31" s="274"/>
      <c r="D31" s="274"/>
      <c r="E31" s="274"/>
      <c r="F31" s="274"/>
      <c r="G31" s="938"/>
      <c r="H31" s="938"/>
      <c r="I31" s="938"/>
      <c r="J31" s="938"/>
      <c r="K31" s="938"/>
      <c r="L31" s="938"/>
      <c r="M31" s="938"/>
      <c r="N31" s="938"/>
      <c r="O31" s="938"/>
      <c r="P31" s="938"/>
      <c r="Q31" s="938"/>
      <c r="R31" s="948"/>
      <c r="S31" s="948"/>
      <c r="T31" s="948"/>
      <c r="U31" s="948"/>
      <c r="V31" s="948"/>
      <c r="W31" s="948"/>
      <c r="X31" s="948"/>
      <c r="Y31" s="948"/>
      <c r="Z31" s="948"/>
      <c r="AA31" s="948"/>
      <c r="AB31" s="948"/>
      <c r="AC31" s="948"/>
      <c r="AD31" s="948"/>
      <c r="AE31" s="948"/>
      <c r="AF31" s="948"/>
    </row>
    <row r="32" spans="1:32" ht="13.8">
      <c r="A32" s="938"/>
      <c r="B32" s="274" t="s">
        <v>1042</v>
      </c>
      <c r="C32" s="435">
        <v>1</v>
      </c>
      <c r="D32" s="436">
        <f>1/$N$4</f>
        <v>3.4050000000000038</v>
      </c>
      <c r="E32" s="435">
        <v>1</v>
      </c>
      <c r="F32" s="436">
        <f>$P$4</f>
        <v>3505.2683333333298</v>
      </c>
      <c r="G32" s="938"/>
      <c r="H32" s="938"/>
      <c r="I32" s="938"/>
      <c r="J32" s="938"/>
      <c r="K32" s="938"/>
      <c r="L32" s="938"/>
      <c r="M32" s="938"/>
      <c r="N32" s="938"/>
      <c r="O32" s="938"/>
      <c r="P32" s="938"/>
      <c r="Q32" s="938"/>
      <c r="R32" s="948"/>
      <c r="S32" s="948"/>
      <c r="T32" s="948"/>
      <c r="U32" s="948"/>
      <c r="V32" s="948"/>
      <c r="W32" s="948"/>
      <c r="X32" s="948"/>
      <c r="Y32" s="948"/>
      <c r="Z32" s="948"/>
      <c r="AA32" s="948"/>
      <c r="AB32" s="948"/>
      <c r="AC32" s="948"/>
      <c r="AD32" s="948"/>
      <c r="AE32" s="948"/>
      <c r="AF32" s="948"/>
    </row>
    <row r="33" spans="1:32" ht="30" customHeight="1">
      <c r="A33" s="586"/>
      <c r="B33" s="593"/>
      <c r="C33" s="593" t="s">
        <v>977</v>
      </c>
      <c r="D33" s="593" t="s">
        <v>1043</v>
      </c>
      <c r="E33" s="593" t="s">
        <v>977</v>
      </c>
      <c r="F33" s="593" t="s">
        <v>691</v>
      </c>
      <c r="G33" s="585"/>
      <c r="H33" s="585"/>
      <c r="I33" s="585"/>
      <c r="J33" s="585"/>
      <c r="K33" s="585"/>
      <c r="L33" s="585"/>
      <c r="M33" s="585"/>
      <c r="N33" s="585"/>
      <c r="O33" s="585"/>
      <c r="P33" s="585"/>
      <c r="Q33" s="585"/>
      <c r="R33" s="948"/>
      <c r="S33" s="948"/>
      <c r="T33" s="948"/>
      <c r="U33" s="948"/>
      <c r="V33" s="948"/>
      <c r="W33" s="948"/>
      <c r="X33" s="948"/>
      <c r="Y33" s="948"/>
      <c r="Z33" s="948"/>
      <c r="AA33" s="948"/>
      <c r="AB33" s="948"/>
      <c r="AC33" s="948"/>
      <c r="AD33" s="948"/>
      <c r="AE33" s="948"/>
      <c r="AF33" s="948"/>
    </row>
    <row r="34" spans="1:32" ht="30" customHeight="1" thickBot="1">
      <c r="A34" s="586"/>
      <c r="B34" s="594" t="s">
        <v>210</v>
      </c>
      <c r="C34" s="594" t="s">
        <v>1054</v>
      </c>
      <c r="D34" s="594" t="s">
        <v>1044</v>
      </c>
      <c r="E34" s="594" t="s">
        <v>1045</v>
      </c>
      <c r="F34" s="594" t="s">
        <v>1046</v>
      </c>
      <c r="G34" s="594" t="s">
        <v>1047</v>
      </c>
      <c r="H34" s="594" t="s">
        <v>291</v>
      </c>
      <c r="I34" s="585"/>
      <c r="J34" s="585"/>
      <c r="K34" s="585"/>
      <c r="L34" s="585"/>
      <c r="M34" s="585"/>
      <c r="N34" s="585"/>
      <c r="O34" s="585"/>
      <c r="P34" s="585"/>
      <c r="Q34" s="585"/>
      <c r="R34" s="948"/>
      <c r="S34" s="948"/>
      <c r="T34" s="948"/>
      <c r="U34" s="948"/>
      <c r="V34" s="948"/>
      <c r="W34" s="948"/>
      <c r="X34" s="948"/>
      <c r="Y34" s="948"/>
      <c r="Z34" s="948"/>
      <c r="AA34" s="948"/>
      <c r="AB34" s="948"/>
      <c r="AC34" s="948"/>
      <c r="AD34" s="948"/>
      <c r="AE34" s="948"/>
      <c r="AF34" s="948"/>
    </row>
    <row r="35" spans="1:32" ht="13.8">
      <c r="A35" s="938"/>
      <c r="B35" s="275" t="s">
        <v>1048</v>
      </c>
      <c r="C35" s="437">
        <v>32997.050000000003</v>
      </c>
      <c r="D35" s="112">
        <f>15930.57/$D$32</f>
        <v>4678.5814977973514</v>
      </c>
      <c r="E35" s="437">
        <v>0</v>
      </c>
      <c r="F35" s="112">
        <f>4903610738/$F$32</f>
        <v>1398925.9228371023</v>
      </c>
      <c r="G35" s="112">
        <f>SUM(C35:F35)</f>
        <v>1436601.5543348996</v>
      </c>
      <c r="H35" s="938"/>
      <c r="I35" s="938"/>
      <c r="J35" s="938"/>
      <c r="K35" s="938"/>
      <c r="L35" s="938"/>
      <c r="M35" s="938"/>
      <c r="N35" s="938"/>
      <c r="O35" s="938"/>
      <c r="P35" s="938"/>
      <c r="Q35" s="938"/>
      <c r="R35" s="948"/>
      <c r="S35" s="948"/>
      <c r="T35" s="948"/>
      <c r="U35" s="948"/>
      <c r="V35" s="948"/>
      <c r="W35" s="948"/>
      <c r="X35" s="948"/>
      <c r="Y35" s="948"/>
      <c r="Z35" s="948"/>
      <c r="AA35" s="948"/>
      <c r="AB35" s="948"/>
      <c r="AC35" s="948"/>
      <c r="AD35" s="948"/>
      <c r="AE35" s="948"/>
      <c r="AF35" s="948"/>
    </row>
    <row r="36" spans="1:32" ht="13.8">
      <c r="A36" s="938"/>
      <c r="B36" s="275" t="s">
        <v>1036</v>
      </c>
      <c r="C36" s="437">
        <v>0</v>
      </c>
      <c r="D36" s="437">
        <v>0</v>
      </c>
      <c r="E36" s="437">
        <v>0</v>
      </c>
      <c r="F36" s="112">
        <f>-431267991/$F$32</f>
        <v>-123034.23018970029</v>
      </c>
      <c r="G36" s="112">
        <f>SUM(C36:F36)</f>
        <v>-123034.23018970029</v>
      </c>
      <c r="H36" s="938"/>
      <c r="I36" s="938"/>
      <c r="J36" s="938"/>
      <c r="K36" s="938"/>
      <c r="L36" s="938"/>
      <c r="M36" s="938"/>
      <c r="N36" s="938"/>
      <c r="O36" s="938"/>
      <c r="P36" s="938"/>
      <c r="Q36" s="938"/>
      <c r="R36" s="948"/>
      <c r="S36" s="948"/>
      <c r="T36" s="948"/>
      <c r="U36" s="948"/>
      <c r="V36" s="948"/>
      <c r="W36" s="948"/>
      <c r="X36" s="948"/>
      <c r="Y36" s="948"/>
      <c r="Z36" s="948"/>
      <c r="AA36" s="948"/>
      <c r="AB36" s="948"/>
      <c r="AC36" s="948"/>
      <c r="AD36" s="948"/>
      <c r="AE36" s="948"/>
      <c r="AF36" s="948"/>
    </row>
    <row r="37" spans="1:32" ht="13.8">
      <c r="A37" s="938"/>
      <c r="B37" s="113" t="s">
        <v>252</v>
      </c>
      <c r="C37" s="114">
        <f>SUM(C35:C36)</f>
        <v>32997.050000000003</v>
      </c>
      <c r="D37" s="114">
        <f>SUM(D35:D36)</f>
        <v>4678.5814977973514</v>
      </c>
      <c r="E37" s="114">
        <f>SUM(E35:E36)</f>
        <v>0</v>
      </c>
      <c r="F37" s="114">
        <f>SUM(F35:F36)</f>
        <v>1275891.6926474019</v>
      </c>
      <c r="G37" s="114">
        <f>SUM(G35:G36)</f>
        <v>1313567.3241451993</v>
      </c>
      <c r="H37" s="940">
        <f>G37/$G$37</f>
        <v>1</v>
      </c>
      <c r="I37" s="938"/>
      <c r="J37" s="938"/>
      <c r="K37" s="938"/>
      <c r="L37" s="938"/>
      <c r="M37" s="938"/>
      <c r="N37" s="938"/>
      <c r="O37" s="938"/>
      <c r="P37" s="938"/>
      <c r="Q37" s="938"/>
      <c r="R37" s="948"/>
      <c r="S37" s="948"/>
      <c r="T37" s="948"/>
      <c r="U37" s="948"/>
      <c r="V37" s="948"/>
      <c r="W37" s="948"/>
      <c r="X37" s="948"/>
      <c r="Y37" s="948"/>
      <c r="Z37" s="948"/>
      <c r="AA37" s="948"/>
      <c r="AB37" s="948"/>
      <c r="AC37" s="948"/>
      <c r="AD37" s="948"/>
      <c r="AE37" s="948"/>
      <c r="AF37" s="948"/>
    </row>
    <row r="38" spans="1:32" ht="13.8">
      <c r="A38" s="938"/>
      <c r="B38" s="275" t="s">
        <v>982</v>
      </c>
      <c r="C38" s="437">
        <v>0</v>
      </c>
      <c r="D38" s="437">
        <v>0</v>
      </c>
      <c r="E38" s="437">
        <v>0</v>
      </c>
      <c r="F38" s="112">
        <f>2120705509/$F$32</f>
        <v>605005.18286522105</v>
      </c>
      <c r="G38" s="112">
        <f>SUM(C38:F38)</f>
        <v>605005.18286522105</v>
      </c>
      <c r="H38" s="940">
        <f t="shared" ref="H38:H49" si="0">G38/$G$37</f>
        <v>0.46058178499448188</v>
      </c>
      <c r="I38" s="938"/>
      <c r="J38" s="938"/>
      <c r="K38" s="938"/>
      <c r="L38" s="938"/>
      <c r="M38" s="938"/>
      <c r="N38" s="938"/>
      <c r="O38" s="938"/>
      <c r="P38" s="938"/>
      <c r="Q38" s="938"/>
      <c r="R38" s="948"/>
      <c r="S38" s="948"/>
      <c r="T38" s="948"/>
      <c r="U38" s="948"/>
      <c r="V38" s="948"/>
      <c r="W38" s="948"/>
      <c r="X38" s="948"/>
      <c r="Y38" s="948"/>
      <c r="Z38" s="948"/>
      <c r="AA38" s="948"/>
      <c r="AB38" s="948"/>
      <c r="AC38" s="948"/>
      <c r="AD38" s="948"/>
      <c r="AE38" s="948"/>
      <c r="AF38" s="948"/>
    </row>
    <row r="39" spans="1:32" ht="13.8">
      <c r="A39" s="938"/>
      <c r="B39" s="113" t="s">
        <v>277</v>
      </c>
      <c r="C39" s="114">
        <f>C37-C38</f>
        <v>32997.050000000003</v>
      </c>
      <c r="D39" s="114">
        <f>D37-D38</f>
        <v>4678.5814977973514</v>
      </c>
      <c r="E39" s="114">
        <f>E37-E38</f>
        <v>0</v>
      </c>
      <c r="F39" s="114">
        <f>F37-F38</f>
        <v>670886.50978218089</v>
      </c>
      <c r="G39" s="114">
        <f>G37-G38</f>
        <v>708562.14127997821</v>
      </c>
      <c r="H39" s="940">
        <f t="shared" si="0"/>
        <v>0.53941821500551812</v>
      </c>
      <c r="I39" s="938"/>
      <c r="J39" s="938"/>
      <c r="K39" s="938"/>
      <c r="L39" s="938"/>
      <c r="M39" s="938"/>
      <c r="N39" s="938"/>
      <c r="O39" s="938"/>
      <c r="P39" s="938"/>
      <c r="Q39" s="938"/>
      <c r="R39" s="948"/>
      <c r="S39" s="948"/>
      <c r="T39" s="948"/>
      <c r="U39" s="948"/>
      <c r="V39" s="948"/>
      <c r="W39" s="948"/>
      <c r="X39" s="948"/>
      <c r="Y39" s="948"/>
      <c r="Z39" s="948"/>
      <c r="AA39" s="948"/>
      <c r="AB39" s="948"/>
      <c r="AC39" s="948"/>
      <c r="AD39" s="948"/>
      <c r="AE39" s="948"/>
      <c r="AF39" s="948"/>
    </row>
    <row r="40" spans="1:32" ht="13.8">
      <c r="A40" s="938"/>
      <c r="B40" s="275" t="s">
        <v>1037</v>
      </c>
      <c r="C40" s="437">
        <v>30735.95</v>
      </c>
      <c r="D40" s="112">
        <f>5446.95/$D$32</f>
        <v>1599.6916299559452</v>
      </c>
      <c r="E40" s="437">
        <v>21792.38</v>
      </c>
      <c r="F40" s="112">
        <f>689546176/$F$32</f>
        <v>196717.08708938613</v>
      </c>
      <c r="G40" s="112">
        <f>SUM(C40:F40)</f>
        <v>250845.10871934207</v>
      </c>
      <c r="H40" s="940">
        <f t="shared" si="0"/>
        <v>0.19096479039060971</v>
      </c>
      <c r="I40" s="938"/>
      <c r="J40" s="938"/>
      <c r="K40" s="938"/>
      <c r="L40" s="938"/>
      <c r="M40" s="938"/>
      <c r="N40" s="938"/>
      <c r="O40" s="938"/>
      <c r="P40" s="938"/>
      <c r="Q40" s="938"/>
      <c r="R40" s="948"/>
      <c r="S40" s="948"/>
      <c r="T40" s="948"/>
      <c r="U40" s="948"/>
      <c r="V40" s="948"/>
      <c r="W40" s="948"/>
      <c r="X40" s="948"/>
      <c r="Y40" s="948"/>
      <c r="Z40" s="948"/>
      <c r="AA40" s="948"/>
      <c r="AB40" s="948"/>
      <c r="AC40" s="948"/>
      <c r="AD40" s="948"/>
      <c r="AE40" s="948"/>
      <c r="AF40" s="948"/>
    </row>
    <row r="41" spans="1:32" ht="13.8">
      <c r="A41" s="938"/>
      <c r="B41" s="275" t="s">
        <v>804</v>
      </c>
      <c r="C41" s="437">
        <v>25215.98</v>
      </c>
      <c r="D41" s="437">
        <v>0</v>
      </c>
      <c r="E41" s="437">
        <v>0</v>
      </c>
      <c r="F41" s="112">
        <f>841975327/$F$32</f>
        <v>240202.81671255815</v>
      </c>
      <c r="G41" s="112">
        <f>SUM(C41:F41)</f>
        <v>265418.79671255813</v>
      </c>
      <c r="H41" s="940">
        <f t="shared" si="0"/>
        <v>0.20205953043577632</v>
      </c>
      <c r="I41" s="938"/>
      <c r="J41" s="938"/>
      <c r="K41" s="938"/>
      <c r="L41" s="938"/>
      <c r="M41" s="938"/>
      <c r="N41" s="938"/>
      <c r="O41" s="938"/>
      <c r="P41" s="938"/>
      <c r="Q41" s="938"/>
      <c r="R41" s="948"/>
      <c r="S41" s="948"/>
      <c r="T41" s="948"/>
      <c r="U41" s="948"/>
      <c r="V41" s="948"/>
      <c r="W41" s="948"/>
      <c r="X41" s="948"/>
      <c r="Y41" s="948"/>
      <c r="Z41" s="948"/>
      <c r="AA41" s="948"/>
      <c r="AB41" s="948"/>
      <c r="AC41" s="948"/>
      <c r="AD41" s="948"/>
      <c r="AE41" s="948"/>
      <c r="AF41" s="948"/>
    </row>
    <row r="42" spans="1:32" ht="13.8">
      <c r="A42" s="938"/>
      <c r="B42" s="275" t="s">
        <v>1049</v>
      </c>
      <c r="C42" s="437">
        <v>11500</v>
      </c>
      <c r="D42" s="112">
        <f>57192.5/$D$32</f>
        <v>16796.622613803211</v>
      </c>
      <c r="E42" s="437">
        <v>0</v>
      </c>
      <c r="F42" s="112">
        <f>573421913/$F$32</f>
        <v>163588.59250433056</v>
      </c>
      <c r="G42" s="112">
        <f>SUM(C42:F42)</f>
        <v>191885.21511813378</v>
      </c>
      <c r="H42" s="940">
        <f t="shared" si="0"/>
        <v>0.14607946740986619</v>
      </c>
      <c r="I42" s="938"/>
      <c r="J42" s="938"/>
      <c r="K42" s="938"/>
      <c r="L42" s="938"/>
      <c r="M42" s="938"/>
      <c r="N42" s="938"/>
      <c r="O42" s="938"/>
      <c r="P42" s="938"/>
      <c r="Q42" s="938"/>
      <c r="R42" s="948"/>
      <c r="S42" s="948"/>
      <c r="T42" s="948"/>
      <c r="U42" s="948"/>
      <c r="V42" s="948"/>
      <c r="W42" s="948"/>
      <c r="X42" s="948"/>
      <c r="Y42" s="948"/>
      <c r="Z42" s="948"/>
      <c r="AA42" s="948"/>
      <c r="AB42" s="948"/>
      <c r="AC42" s="948"/>
      <c r="AD42" s="948"/>
      <c r="AE42" s="948"/>
      <c r="AF42" s="948"/>
    </row>
    <row r="43" spans="1:32" ht="13.8">
      <c r="A43" s="938"/>
      <c r="B43" s="113" t="s">
        <v>1039</v>
      </c>
      <c r="C43" s="114">
        <f>C39-C40-C41-C42</f>
        <v>-34454.879999999997</v>
      </c>
      <c r="D43" s="114">
        <f>D39-D40-D41-D42</f>
        <v>-13717.732745961805</v>
      </c>
      <c r="E43" s="114">
        <f>E39-E40-E41-E42</f>
        <v>-21792.38</v>
      </c>
      <c r="F43" s="114">
        <f>F39-F40-F41-F42</f>
        <v>70378.013475906046</v>
      </c>
      <c r="G43" s="114">
        <f>G39-G40-G41-G42</f>
        <v>413.02072994425544</v>
      </c>
      <c r="H43" s="940">
        <f t="shared" si="0"/>
        <v>3.1442676926592069E-4</v>
      </c>
      <c r="I43" s="938"/>
      <c r="J43" s="938"/>
      <c r="K43" s="938"/>
      <c r="L43" s="938"/>
      <c r="M43" s="938"/>
      <c r="N43" s="938"/>
      <c r="O43" s="938"/>
      <c r="P43" s="938"/>
      <c r="Q43" s="938"/>
      <c r="R43" s="948"/>
      <c r="S43" s="948"/>
      <c r="T43" s="948"/>
      <c r="U43" s="948"/>
      <c r="V43" s="948"/>
      <c r="W43" s="948"/>
      <c r="X43" s="948"/>
      <c r="Y43" s="948"/>
      <c r="Z43" s="948"/>
      <c r="AA43" s="948"/>
      <c r="AB43" s="948"/>
      <c r="AC43" s="948"/>
      <c r="AD43" s="948"/>
      <c r="AE43" s="948"/>
      <c r="AF43" s="948"/>
    </row>
    <row r="44" spans="1:32" ht="13.8">
      <c r="A44" s="938"/>
      <c r="B44" s="275" t="s">
        <v>261</v>
      </c>
      <c r="C44" s="437">
        <v>0</v>
      </c>
      <c r="D44" s="437">
        <v>0</v>
      </c>
      <c r="E44" s="437">
        <v>0</v>
      </c>
      <c r="F44" s="112">
        <f>10082136/$F$32</f>
        <v>2876.2807982841096</v>
      </c>
      <c r="G44" s="112">
        <f>SUM(C44:F44)</f>
        <v>2876.2807982841096</v>
      </c>
      <c r="H44" s="940">
        <f t="shared" si="0"/>
        <v>2.1896713974335819E-3</v>
      </c>
      <c r="I44" s="938"/>
      <c r="J44" s="938"/>
      <c r="K44" s="938"/>
      <c r="L44" s="938"/>
      <c r="M44" s="938"/>
      <c r="N44" s="938"/>
      <c r="O44" s="938"/>
      <c r="P44" s="938"/>
      <c r="Q44" s="938"/>
      <c r="R44" s="948"/>
      <c r="S44" s="948"/>
      <c r="T44" s="948"/>
      <c r="U44" s="948"/>
      <c r="V44" s="948"/>
      <c r="W44" s="948"/>
      <c r="X44" s="948"/>
      <c r="Y44" s="948"/>
      <c r="Z44" s="948"/>
      <c r="AA44" s="948"/>
      <c r="AB44" s="948"/>
      <c r="AC44" s="948"/>
      <c r="AD44" s="948"/>
      <c r="AE44" s="948"/>
      <c r="AF44" s="948"/>
    </row>
    <row r="45" spans="1:32" ht="13.8">
      <c r="A45" s="938"/>
      <c r="B45" s="275" t="s">
        <v>986</v>
      </c>
      <c r="C45" s="437">
        <v>15</v>
      </c>
      <c r="D45" s="112">
        <f>903.21/$D$32</f>
        <v>265.25991189427282</v>
      </c>
      <c r="E45" s="437">
        <v>206</v>
      </c>
      <c r="F45" s="112">
        <f>34754732/$F$32</f>
        <v>9914.9989943708642</v>
      </c>
      <c r="G45" s="112">
        <f>SUM(C45:F45)</f>
        <v>10401.258906265137</v>
      </c>
      <c r="H45" s="940">
        <f t="shared" si="0"/>
        <v>7.9183295100871444E-3</v>
      </c>
      <c r="I45" s="938"/>
      <c r="J45" s="938"/>
      <c r="K45" s="938"/>
      <c r="L45" s="938"/>
      <c r="M45" s="938"/>
      <c r="N45" s="938"/>
      <c r="O45" s="938"/>
      <c r="P45" s="938"/>
      <c r="Q45" s="938"/>
      <c r="R45" s="948"/>
      <c r="S45" s="948"/>
      <c r="T45" s="948"/>
      <c r="U45" s="948"/>
      <c r="V45" s="948"/>
      <c r="W45" s="948"/>
      <c r="X45" s="948"/>
      <c r="Y45" s="948"/>
      <c r="Z45" s="948"/>
      <c r="AA45" s="948"/>
      <c r="AB45" s="948"/>
      <c r="AC45" s="948"/>
      <c r="AD45" s="948"/>
      <c r="AE45" s="948"/>
      <c r="AF45" s="948"/>
    </row>
    <row r="46" spans="1:32" ht="13.8">
      <c r="A46" s="938"/>
      <c r="B46" s="275" t="s">
        <v>1050</v>
      </c>
      <c r="C46" s="437">
        <v>0</v>
      </c>
      <c r="D46" s="437">
        <v>0</v>
      </c>
      <c r="E46" s="437">
        <v>0</v>
      </c>
      <c r="F46" s="112">
        <f>-1/$F$32</f>
        <v>-2.8528486406889468E-4</v>
      </c>
      <c r="G46" s="112">
        <f>SUM(C46:F46)</f>
        <v>-2.8528486406889468E-4</v>
      </c>
      <c r="H46" s="940">
        <f t="shared" si="0"/>
        <v>-2.1718328312904944E-10</v>
      </c>
      <c r="I46" s="938"/>
      <c r="J46" s="938"/>
      <c r="K46" s="938"/>
      <c r="L46" s="938"/>
      <c r="M46" s="938"/>
      <c r="N46" s="938"/>
      <c r="O46" s="938"/>
      <c r="P46" s="938"/>
      <c r="Q46" s="938"/>
      <c r="R46" s="948"/>
      <c r="S46" s="948"/>
      <c r="T46" s="948"/>
      <c r="U46" s="948"/>
      <c r="V46" s="948"/>
      <c r="W46" s="948"/>
      <c r="X46" s="948"/>
      <c r="Y46" s="948"/>
      <c r="Z46" s="948"/>
      <c r="AA46" s="948"/>
      <c r="AB46" s="948"/>
      <c r="AC46" s="948"/>
      <c r="AD46" s="948"/>
      <c r="AE46" s="948"/>
      <c r="AF46" s="948"/>
    </row>
    <row r="47" spans="1:32" ht="13.8">
      <c r="A47" s="938"/>
      <c r="B47" s="113" t="s">
        <v>1051</v>
      </c>
      <c r="C47" s="114">
        <f>C43+C44-C45+C46</f>
        <v>-34469.879999999997</v>
      </c>
      <c r="D47" s="114">
        <f>D43+D44-D45+D46</f>
        <v>-13982.992657856077</v>
      </c>
      <c r="E47" s="114">
        <f>E43+E44-E45+E46</f>
        <v>-21998.38</v>
      </c>
      <c r="F47" s="114">
        <f>F43+F44-F45+F46</f>
        <v>63339.294994534423</v>
      </c>
      <c r="G47" s="114">
        <f>G43+G44-G45+G46</f>
        <v>-7111.9576633216357</v>
      </c>
      <c r="H47" s="940">
        <f t="shared" si="0"/>
        <v>-5.4142315605709241E-3</v>
      </c>
      <c r="I47" s="938"/>
      <c r="J47" s="938"/>
      <c r="K47" s="938"/>
      <c r="L47" s="938"/>
      <c r="M47" s="938"/>
      <c r="N47" s="938"/>
      <c r="O47" s="938"/>
      <c r="P47" s="938"/>
      <c r="Q47" s="938"/>
      <c r="R47" s="948"/>
      <c r="S47" s="948"/>
      <c r="T47" s="948"/>
      <c r="U47" s="948"/>
      <c r="V47" s="948"/>
      <c r="W47" s="948"/>
      <c r="X47" s="948"/>
      <c r="Y47" s="948"/>
      <c r="Z47" s="948"/>
      <c r="AA47" s="948"/>
      <c r="AB47" s="948"/>
      <c r="AC47" s="948"/>
      <c r="AD47" s="948"/>
      <c r="AE47" s="948"/>
      <c r="AF47" s="948"/>
    </row>
    <row r="48" spans="1:32" ht="14.4" thickBot="1">
      <c r="A48" s="938"/>
      <c r="B48" s="275" t="s">
        <v>1052</v>
      </c>
      <c r="C48" s="437">
        <v>0</v>
      </c>
      <c r="D48" s="437">
        <v>0</v>
      </c>
      <c r="E48" s="437">
        <v>0</v>
      </c>
      <c r="F48" s="437">
        <v>0</v>
      </c>
      <c r="G48" s="112">
        <f>SUM(C48:F48)</f>
        <v>0</v>
      </c>
      <c r="H48" s="940">
        <f t="shared" si="0"/>
        <v>0</v>
      </c>
      <c r="I48" s="938"/>
      <c r="J48" s="938"/>
      <c r="K48" s="938"/>
      <c r="L48" s="938"/>
      <c r="M48" s="938"/>
      <c r="N48" s="938"/>
      <c r="O48" s="938"/>
      <c r="P48" s="938"/>
      <c r="Q48" s="938"/>
      <c r="R48" s="948"/>
      <c r="S48" s="948"/>
      <c r="T48" s="948"/>
      <c r="U48" s="948"/>
      <c r="V48" s="948"/>
      <c r="W48" s="948"/>
      <c r="X48" s="948"/>
      <c r="Y48" s="948"/>
      <c r="Z48" s="948"/>
      <c r="AA48" s="948"/>
      <c r="AB48" s="948"/>
      <c r="AC48" s="948"/>
      <c r="AD48" s="948"/>
      <c r="AE48" s="948"/>
      <c r="AF48" s="948"/>
    </row>
    <row r="49" spans="1:32" ht="14.4" thickBot="1">
      <c r="A49" s="938"/>
      <c r="B49" s="115" t="s">
        <v>1053</v>
      </c>
      <c r="C49" s="116">
        <f>C47-C48</f>
        <v>-34469.879999999997</v>
      </c>
      <c r="D49" s="116">
        <f>D47-D48</f>
        <v>-13982.992657856077</v>
      </c>
      <c r="E49" s="116">
        <f>E47-E48</f>
        <v>-21998.38</v>
      </c>
      <c r="F49" s="116">
        <f>F47-F48</f>
        <v>63339.294994534423</v>
      </c>
      <c r="G49" s="116">
        <f>G47-G48</f>
        <v>-7111.9576633216357</v>
      </c>
      <c r="H49" s="940">
        <f t="shared" si="0"/>
        <v>-5.4142315605709241E-3</v>
      </c>
      <c r="I49" s="938"/>
      <c r="J49" s="938"/>
      <c r="K49" s="938"/>
      <c r="L49" s="938"/>
      <c r="M49" s="938"/>
      <c r="N49" s="938"/>
      <c r="O49" s="938"/>
      <c r="P49" s="938"/>
      <c r="Q49" s="938"/>
      <c r="R49" s="948"/>
      <c r="S49" s="948"/>
      <c r="T49" s="948"/>
      <c r="U49" s="948"/>
      <c r="V49" s="948"/>
      <c r="W49" s="948"/>
      <c r="X49" s="948"/>
      <c r="Y49" s="948"/>
      <c r="Z49" s="948"/>
      <c r="AA49" s="948"/>
      <c r="AB49" s="948"/>
      <c r="AC49" s="948"/>
      <c r="AD49" s="948"/>
      <c r="AE49" s="948"/>
      <c r="AF49" s="948"/>
    </row>
    <row r="50" spans="1:32" ht="13.8">
      <c r="A50" s="938"/>
      <c r="B50" s="938"/>
      <c r="C50" s="938"/>
      <c r="D50" s="938"/>
      <c r="E50" s="938"/>
      <c r="F50" s="938"/>
      <c r="G50" s="938"/>
      <c r="H50" s="938"/>
      <c r="I50" s="938"/>
      <c r="J50" s="938"/>
      <c r="K50" s="938"/>
      <c r="L50" s="938"/>
      <c r="M50" s="938"/>
      <c r="N50" s="938"/>
      <c r="O50" s="938"/>
      <c r="P50" s="938"/>
      <c r="Q50" s="938"/>
      <c r="R50" s="948"/>
      <c r="S50" s="948"/>
      <c r="T50" s="948"/>
      <c r="U50" s="948"/>
      <c r="V50" s="948"/>
      <c r="W50" s="948"/>
      <c r="X50" s="948"/>
      <c r="Y50" s="948"/>
      <c r="Z50" s="948"/>
      <c r="AA50" s="948"/>
      <c r="AB50" s="948"/>
      <c r="AC50" s="948"/>
      <c r="AD50" s="948"/>
      <c r="AE50" s="948"/>
      <c r="AF50" s="948"/>
    </row>
    <row r="51" spans="1:32" ht="15" thickBot="1">
      <c r="A51" s="595"/>
      <c r="B51" s="596" t="s">
        <v>1063</v>
      </c>
      <c r="C51" s="596"/>
      <c r="D51" s="596"/>
      <c r="E51" s="596"/>
      <c r="F51" s="596"/>
      <c r="G51" s="596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948"/>
      <c r="S51" s="948"/>
      <c r="T51" s="948"/>
      <c r="U51" s="948"/>
      <c r="V51" s="948"/>
      <c r="W51" s="948"/>
      <c r="X51" s="948"/>
      <c r="Y51" s="948"/>
      <c r="Z51" s="948"/>
      <c r="AA51" s="948"/>
      <c r="AB51" s="948"/>
      <c r="AC51" s="948"/>
      <c r="AD51" s="948"/>
      <c r="AE51" s="948"/>
      <c r="AF51" s="948"/>
    </row>
    <row r="52" spans="1:32" ht="14.4" thickTop="1">
      <c r="A52" s="938"/>
      <c r="B52" s="276" t="s">
        <v>1064</v>
      </c>
      <c r="C52" s="274" t="s">
        <v>1065</v>
      </c>
      <c r="D52" s="274"/>
      <c r="E52" s="274"/>
      <c r="F52" s="274"/>
      <c r="G52" s="274"/>
      <c r="H52" s="938"/>
      <c r="I52" s="938"/>
      <c r="J52" s="938"/>
      <c r="K52" s="938"/>
      <c r="L52" s="938"/>
      <c r="M52" s="938"/>
      <c r="N52" s="938"/>
      <c r="O52" s="938"/>
      <c r="P52" s="938"/>
      <c r="Q52" s="938"/>
      <c r="R52" s="948"/>
      <c r="S52" s="948"/>
      <c r="T52" s="948"/>
      <c r="U52" s="948"/>
      <c r="V52" s="948"/>
      <c r="W52" s="948"/>
      <c r="X52" s="948"/>
      <c r="Y52" s="948"/>
      <c r="Z52" s="948"/>
      <c r="AA52" s="948"/>
      <c r="AB52" s="948"/>
      <c r="AC52" s="948"/>
      <c r="AD52" s="948"/>
      <c r="AE52" s="948"/>
      <c r="AF52" s="948"/>
    </row>
    <row r="53" spans="1:32" ht="14.4" thickBot="1">
      <c r="A53" s="938"/>
      <c r="B53" s="276" t="s">
        <v>1066</v>
      </c>
      <c r="C53" s="274" t="s">
        <v>1067</v>
      </c>
      <c r="D53" s="274"/>
      <c r="E53" s="274"/>
      <c r="F53" s="274"/>
      <c r="G53" s="274"/>
      <c r="H53" s="938"/>
      <c r="I53" s="938"/>
      <c r="J53" s="938"/>
      <c r="K53" s="938"/>
      <c r="L53" s="938"/>
      <c r="M53" s="938"/>
      <c r="N53" s="938"/>
      <c r="O53" s="938"/>
      <c r="P53" s="938"/>
      <c r="Q53" s="938"/>
      <c r="R53" s="948"/>
      <c r="S53" s="948"/>
      <c r="T53" s="948"/>
      <c r="U53" s="948"/>
      <c r="V53" s="948"/>
      <c r="W53" s="948"/>
      <c r="X53" s="948"/>
      <c r="Y53" s="948"/>
      <c r="Z53" s="948"/>
      <c r="AA53" s="948"/>
      <c r="AB53" s="948"/>
      <c r="AC53" s="948"/>
      <c r="AD53" s="948"/>
      <c r="AE53" s="948"/>
      <c r="AF53" s="948"/>
    </row>
    <row r="54" spans="1:32" ht="14.4" thickTop="1">
      <c r="A54" s="938"/>
      <c r="B54" s="277" t="s">
        <v>1068</v>
      </c>
      <c r="C54" s="278" t="s">
        <v>1069</v>
      </c>
      <c r="D54" s="278"/>
      <c r="E54" s="274"/>
      <c r="F54" s="274"/>
      <c r="G54" s="274"/>
      <c r="H54" s="938"/>
      <c r="I54" s="938"/>
      <c r="J54" s="938"/>
      <c r="K54" s="938"/>
      <c r="L54" s="938"/>
      <c r="M54" s="938"/>
      <c r="N54" s="938"/>
      <c r="O54" s="938"/>
      <c r="P54" s="938"/>
      <c r="Q54" s="938"/>
      <c r="R54" s="948"/>
      <c r="S54" s="948"/>
      <c r="T54" s="948"/>
      <c r="U54" s="948"/>
      <c r="V54" s="948"/>
      <c r="W54" s="948"/>
      <c r="X54" s="948"/>
      <c r="Y54" s="948"/>
      <c r="Z54" s="948"/>
      <c r="AA54" s="948"/>
      <c r="AB54" s="948"/>
      <c r="AC54" s="948"/>
      <c r="AD54" s="948"/>
      <c r="AE54" s="948"/>
      <c r="AF54" s="948"/>
    </row>
    <row r="55" spans="1:32" ht="13.8">
      <c r="A55" s="938"/>
      <c r="B55" s="276" t="s">
        <v>1070</v>
      </c>
      <c r="C55" s="274" t="s">
        <v>1071</v>
      </c>
      <c r="D55" s="274"/>
      <c r="E55" s="274"/>
      <c r="F55" s="274"/>
      <c r="G55" s="274"/>
      <c r="H55" s="938"/>
      <c r="I55" s="938"/>
      <c r="J55" s="938"/>
      <c r="K55" s="938"/>
      <c r="L55" s="938"/>
      <c r="M55" s="938"/>
      <c r="N55" s="938"/>
      <c r="O55" s="938"/>
      <c r="P55" s="938"/>
      <c r="Q55" s="938"/>
      <c r="R55" s="948"/>
      <c r="S55" s="948"/>
      <c r="T55" s="948"/>
      <c r="U55" s="948"/>
      <c r="V55" s="948"/>
      <c r="W55" s="948"/>
      <c r="X55" s="948"/>
      <c r="Y55" s="948"/>
      <c r="Z55" s="948"/>
      <c r="AA55" s="948"/>
      <c r="AB55" s="948"/>
      <c r="AC55" s="948"/>
      <c r="AD55" s="948"/>
      <c r="AE55" s="948"/>
      <c r="AF55" s="948"/>
    </row>
    <row r="56" spans="1:32" ht="13.8">
      <c r="A56" s="938"/>
      <c r="B56" s="276" t="s">
        <v>1072</v>
      </c>
      <c r="C56" s="274" t="s">
        <v>1073</v>
      </c>
      <c r="D56" s="274"/>
      <c r="E56" s="274"/>
      <c r="F56" s="274"/>
      <c r="G56" s="274"/>
      <c r="H56" s="938"/>
      <c r="I56" s="938"/>
      <c r="J56" s="938"/>
      <c r="K56" s="938"/>
      <c r="L56" s="938"/>
      <c r="M56" s="938"/>
      <c r="N56" s="938"/>
      <c r="O56" s="938"/>
      <c r="P56" s="938"/>
      <c r="Q56" s="938"/>
      <c r="R56" s="948"/>
      <c r="S56" s="948"/>
      <c r="T56" s="948"/>
      <c r="U56" s="948"/>
      <c r="V56" s="948"/>
      <c r="W56" s="948"/>
      <c r="X56" s="948"/>
      <c r="Y56" s="948"/>
      <c r="Z56" s="948"/>
      <c r="AA56" s="948"/>
      <c r="AB56" s="948"/>
      <c r="AC56" s="948"/>
      <c r="AD56" s="948"/>
      <c r="AE56" s="948"/>
      <c r="AF56" s="948"/>
    </row>
    <row r="57" spans="1:32" ht="13.8">
      <c r="A57" s="938"/>
      <c r="B57" s="276" t="s">
        <v>1074</v>
      </c>
      <c r="C57" s="274" t="s">
        <v>1075</v>
      </c>
      <c r="D57" s="274"/>
      <c r="E57" s="274"/>
      <c r="F57" s="274"/>
      <c r="G57" s="274"/>
      <c r="H57" s="938"/>
      <c r="I57" s="938"/>
      <c r="J57" s="938"/>
      <c r="K57" s="938"/>
      <c r="L57" s="938"/>
      <c r="M57" s="938"/>
      <c r="N57" s="938"/>
      <c r="O57" s="938"/>
      <c r="P57" s="938"/>
      <c r="Q57" s="938"/>
      <c r="R57" s="948"/>
      <c r="S57" s="948"/>
      <c r="T57" s="948"/>
      <c r="U57" s="948"/>
      <c r="V57" s="948"/>
      <c r="W57" s="948"/>
      <c r="X57" s="948"/>
      <c r="Y57" s="948"/>
      <c r="Z57" s="948"/>
      <c r="AA57" s="948"/>
      <c r="AB57" s="948"/>
      <c r="AC57" s="948"/>
      <c r="AD57" s="948"/>
      <c r="AE57" s="948"/>
      <c r="AF57" s="948"/>
    </row>
    <row r="58" spans="1:32" ht="14.4" thickBot="1">
      <c r="A58" s="938"/>
      <c r="B58" s="276" t="s">
        <v>1076</v>
      </c>
      <c r="C58" s="274" t="s">
        <v>1077</v>
      </c>
      <c r="D58" s="274"/>
      <c r="E58" s="274"/>
      <c r="F58" s="274"/>
      <c r="G58" s="274"/>
      <c r="H58" s="938"/>
      <c r="I58" s="938"/>
      <c r="J58" s="938"/>
      <c r="K58" s="938"/>
      <c r="L58" s="938"/>
      <c r="M58" s="938"/>
      <c r="N58" s="938"/>
      <c r="O58" s="938"/>
      <c r="P58" s="938"/>
      <c r="Q58" s="938"/>
      <c r="R58" s="948"/>
      <c r="S58" s="948"/>
      <c r="T58" s="948"/>
      <c r="U58" s="948"/>
      <c r="V58" s="948"/>
      <c r="W58" s="948"/>
      <c r="X58" s="948"/>
      <c r="Y58" s="948"/>
      <c r="Z58" s="948"/>
      <c r="AA58" s="948"/>
      <c r="AB58" s="948"/>
      <c r="AC58" s="948"/>
      <c r="AD58" s="948"/>
      <c r="AE58" s="948"/>
      <c r="AF58" s="948"/>
    </row>
    <row r="59" spans="1:32" ht="14.4" thickBot="1">
      <c r="A59" s="938"/>
      <c r="B59" s="279" t="s">
        <v>1078</v>
      </c>
      <c r="C59" s="280" t="s">
        <v>1079</v>
      </c>
      <c r="D59" s="274"/>
      <c r="E59" s="274"/>
      <c r="F59" s="274"/>
      <c r="G59" s="274"/>
      <c r="H59" s="938"/>
      <c r="I59" s="938"/>
      <c r="J59" s="938"/>
      <c r="K59" s="938"/>
      <c r="L59" s="938"/>
      <c r="M59" s="938"/>
      <c r="N59" s="938"/>
      <c r="O59" s="938"/>
      <c r="P59" s="938"/>
      <c r="Q59" s="938"/>
      <c r="R59" s="948"/>
      <c r="S59" s="948"/>
      <c r="T59" s="948"/>
      <c r="U59" s="948"/>
      <c r="V59" s="948"/>
      <c r="W59" s="948"/>
      <c r="X59" s="948"/>
      <c r="Y59" s="948"/>
      <c r="Z59" s="948"/>
      <c r="AA59" s="948"/>
      <c r="AB59" s="948"/>
      <c r="AC59" s="948"/>
      <c r="AD59" s="948"/>
      <c r="AE59" s="948"/>
      <c r="AF59" s="948"/>
    </row>
    <row r="60" spans="1:32" ht="13.8">
      <c r="A60" s="938"/>
      <c r="B60" s="276" t="s">
        <v>1080</v>
      </c>
      <c r="C60" s="274" t="s">
        <v>1081</v>
      </c>
      <c r="D60" s="274"/>
      <c r="E60" s="274"/>
      <c r="F60" s="274"/>
      <c r="G60" s="274"/>
      <c r="H60" s="938"/>
      <c r="I60" s="938"/>
      <c r="J60" s="938"/>
      <c r="K60" s="938"/>
      <c r="L60" s="938"/>
      <c r="M60" s="938"/>
      <c r="N60" s="938"/>
      <c r="O60" s="938"/>
      <c r="P60" s="938"/>
      <c r="Q60" s="938"/>
      <c r="R60" s="948"/>
      <c r="S60" s="948"/>
      <c r="T60" s="948"/>
      <c r="U60" s="948"/>
      <c r="V60" s="948"/>
      <c r="W60" s="948"/>
      <c r="X60" s="948"/>
      <c r="Y60" s="948"/>
      <c r="Z60" s="948"/>
      <c r="AA60" s="948"/>
      <c r="AB60" s="948"/>
      <c r="AC60" s="948"/>
      <c r="AD60" s="948"/>
      <c r="AE60" s="948"/>
      <c r="AF60" s="948"/>
    </row>
    <row r="61" spans="1:32" ht="13.8">
      <c r="A61" s="938"/>
      <c r="B61" s="276" t="s">
        <v>1082</v>
      </c>
      <c r="C61" s="274" t="s">
        <v>1083</v>
      </c>
      <c r="D61" s="274"/>
      <c r="E61" s="274"/>
      <c r="F61" s="274"/>
      <c r="G61" s="274"/>
      <c r="H61" s="938"/>
      <c r="I61" s="938"/>
      <c r="J61" s="938"/>
      <c r="K61" s="938"/>
      <c r="L61" s="938"/>
      <c r="M61" s="938"/>
      <c r="N61" s="938"/>
      <c r="O61" s="938"/>
      <c r="P61" s="938"/>
      <c r="Q61" s="938"/>
      <c r="R61" s="948"/>
      <c r="S61" s="948"/>
      <c r="T61" s="948"/>
      <c r="U61" s="948"/>
      <c r="V61" s="948"/>
      <c r="W61" s="948"/>
      <c r="X61" s="948"/>
      <c r="Y61" s="948"/>
      <c r="Z61" s="948"/>
      <c r="AA61" s="948"/>
      <c r="AB61" s="948"/>
      <c r="AC61" s="948"/>
      <c r="AD61" s="948"/>
      <c r="AE61" s="948"/>
      <c r="AF61" s="948"/>
    </row>
    <row r="62" spans="1:32" ht="13.8">
      <c r="A62" s="938"/>
      <c r="B62" s="938"/>
      <c r="C62" s="938"/>
      <c r="D62" s="938"/>
      <c r="E62" s="938"/>
      <c r="F62" s="938"/>
      <c r="G62" s="938"/>
      <c r="H62" s="938"/>
      <c r="I62" s="938"/>
      <c r="J62" s="938"/>
      <c r="K62" s="938"/>
      <c r="L62" s="938"/>
      <c r="M62" s="938"/>
      <c r="N62" s="938"/>
      <c r="O62" s="938"/>
      <c r="P62" s="938"/>
      <c r="Q62" s="938"/>
      <c r="R62" s="948"/>
      <c r="S62" s="948"/>
      <c r="T62" s="948"/>
      <c r="U62" s="948"/>
      <c r="V62" s="948"/>
      <c r="W62" s="948"/>
      <c r="X62" s="948"/>
      <c r="Y62" s="948"/>
      <c r="Z62" s="948"/>
      <c r="AA62" s="948"/>
      <c r="AB62" s="948"/>
      <c r="AC62" s="948"/>
      <c r="AD62" s="948"/>
      <c r="AE62" s="948"/>
      <c r="AF62" s="948"/>
    </row>
    <row r="63" spans="1:32" ht="15" thickBot="1">
      <c r="A63" s="595"/>
      <c r="B63" s="597" t="s">
        <v>1055</v>
      </c>
      <c r="C63" s="597"/>
      <c r="D63" s="597"/>
      <c r="E63" s="595"/>
      <c r="F63" s="595"/>
      <c r="G63" s="595"/>
      <c r="H63" s="595"/>
      <c r="I63" s="595"/>
      <c r="J63" s="595"/>
      <c r="K63" s="595"/>
      <c r="L63" s="595"/>
      <c r="M63" s="595"/>
      <c r="N63" s="595"/>
      <c r="O63" s="595"/>
      <c r="P63" s="595"/>
      <c r="Q63" s="595"/>
      <c r="R63" s="948"/>
      <c r="S63" s="948"/>
      <c r="T63" s="948"/>
      <c r="U63" s="948"/>
      <c r="V63" s="948"/>
      <c r="W63" s="948"/>
      <c r="X63" s="948"/>
      <c r="Y63" s="948"/>
      <c r="Z63" s="948"/>
      <c r="AA63" s="948"/>
      <c r="AB63" s="948"/>
      <c r="AC63" s="948"/>
      <c r="AD63" s="948"/>
      <c r="AE63" s="948"/>
      <c r="AF63" s="948"/>
    </row>
    <row r="64" spans="1:32" ht="14.4" thickTop="1">
      <c r="A64" s="938"/>
      <c r="B64" s="281" t="s">
        <v>1056</v>
      </c>
      <c r="C64" s="281" t="s">
        <v>146</v>
      </c>
      <c r="D64" s="281" t="s">
        <v>1057</v>
      </c>
      <c r="E64" s="938"/>
      <c r="F64" s="938"/>
      <c r="G64" s="938"/>
      <c r="H64" s="938"/>
      <c r="I64" s="938"/>
      <c r="J64" s="938"/>
      <c r="K64" s="938"/>
      <c r="L64" s="938"/>
      <c r="M64" s="938"/>
      <c r="N64" s="938"/>
      <c r="O64" s="938"/>
      <c r="P64" s="938"/>
      <c r="Q64" s="938"/>
      <c r="R64" s="948"/>
      <c r="S64" s="948"/>
      <c r="T64" s="948"/>
      <c r="U64" s="948"/>
      <c r="V64" s="948"/>
      <c r="W64" s="948"/>
      <c r="X64" s="948"/>
      <c r="Y64" s="948"/>
      <c r="Z64" s="948"/>
      <c r="AA64" s="948"/>
      <c r="AB64" s="948"/>
      <c r="AC64" s="948"/>
      <c r="AD64" s="948"/>
      <c r="AE64" s="948"/>
      <c r="AF64" s="948"/>
    </row>
    <row r="65" spans="1:32" ht="13.8">
      <c r="A65" s="938"/>
      <c r="B65" s="938" t="s">
        <v>1037</v>
      </c>
      <c r="C65" s="117">
        <f>$C$40</f>
        <v>30735.95</v>
      </c>
      <c r="D65" s="938" t="s">
        <v>1058</v>
      </c>
      <c r="E65" s="938"/>
      <c r="F65" s="938"/>
      <c r="G65" s="938"/>
      <c r="H65" s="938"/>
      <c r="I65" s="938"/>
      <c r="J65" s="938"/>
      <c r="K65" s="938"/>
      <c r="L65" s="938"/>
      <c r="M65" s="938"/>
      <c r="N65" s="938"/>
      <c r="O65" s="938"/>
      <c r="P65" s="938"/>
      <c r="Q65" s="938"/>
      <c r="R65" s="948"/>
      <c r="S65" s="948"/>
      <c r="T65" s="948"/>
      <c r="U65" s="948"/>
      <c r="V65" s="948"/>
      <c r="W65" s="948"/>
      <c r="X65" s="948"/>
      <c r="Y65" s="948"/>
      <c r="Z65" s="948"/>
      <c r="AA65" s="948"/>
      <c r="AB65" s="948"/>
      <c r="AC65" s="948"/>
      <c r="AD65" s="948"/>
      <c r="AE65" s="948"/>
      <c r="AF65" s="948"/>
    </row>
    <row r="66" spans="1:32" ht="13.8">
      <c r="A66" s="938"/>
      <c r="B66" s="938" t="s">
        <v>804</v>
      </c>
      <c r="C66" s="117">
        <f>$C$41</f>
        <v>25215.98</v>
      </c>
      <c r="D66" s="938" t="s">
        <v>1059</v>
      </c>
      <c r="E66" s="938"/>
      <c r="F66" s="938"/>
      <c r="G66" s="938"/>
      <c r="H66" s="938"/>
      <c r="I66" s="938"/>
      <c r="J66" s="938"/>
      <c r="K66" s="938"/>
      <c r="L66" s="938"/>
      <c r="M66" s="938"/>
      <c r="N66" s="938"/>
      <c r="O66" s="938"/>
      <c r="P66" s="938"/>
      <c r="Q66" s="938"/>
      <c r="R66" s="948"/>
      <c r="S66" s="948"/>
      <c r="T66" s="948"/>
      <c r="U66" s="948"/>
      <c r="V66" s="948"/>
      <c r="W66" s="948"/>
      <c r="X66" s="948"/>
      <c r="Y66" s="948"/>
      <c r="Z66" s="948"/>
      <c r="AA66" s="948"/>
      <c r="AB66" s="948"/>
      <c r="AC66" s="948"/>
      <c r="AD66" s="948"/>
      <c r="AE66" s="948"/>
      <c r="AF66" s="948"/>
    </row>
    <row r="67" spans="1:32" ht="13.8">
      <c r="A67" s="938"/>
      <c r="B67" s="938" t="s">
        <v>1049</v>
      </c>
      <c r="C67" s="117">
        <f>$C$42</f>
        <v>11500</v>
      </c>
      <c r="D67" s="938" t="s">
        <v>1060</v>
      </c>
      <c r="E67" s="938"/>
      <c r="F67" s="938"/>
      <c r="G67" s="938"/>
      <c r="H67" s="938"/>
      <c r="I67" s="938"/>
      <c r="J67" s="938"/>
      <c r="K67" s="938"/>
      <c r="L67" s="938"/>
      <c r="M67" s="938"/>
      <c r="N67" s="938"/>
      <c r="O67" s="938"/>
      <c r="P67" s="938"/>
      <c r="Q67" s="938"/>
      <c r="R67" s="948"/>
      <c r="S67" s="948"/>
      <c r="T67" s="948"/>
      <c r="U67" s="948"/>
      <c r="V67" s="948"/>
      <c r="W67" s="948"/>
      <c r="X67" s="948"/>
      <c r="Y67" s="948"/>
      <c r="Z67" s="948"/>
      <c r="AA67" s="948"/>
      <c r="AB67" s="948"/>
      <c r="AC67" s="948"/>
      <c r="AD67" s="948"/>
      <c r="AE67" s="948"/>
      <c r="AF67" s="948"/>
    </row>
    <row r="68" spans="1:32" ht="13.8">
      <c r="A68" s="938"/>
      <c r="B68" s="938" t="s">
        <v>986</v>
      </c>
      <c r="C68" s="117">
        <f>$C$45</f>
        <v>15</v>
      </c>
      <c r="D68" s="938" t="s">
        <v>1061</v>
      </c>
      <c r="E68" s="938"/>
      <c r="F68" s="938"/>
      <c r="G68" s="938"/>
      <c r="H68" s="938"/>
      <c r="I68" s="938"/>
      <c r="J68" s="938"/>
      <c r="K68" s="938"/>
      <c r="L68" s="938"/>
      <c r="M68" s="938"/>
      <c r="N68" s="938"/>
      <c r="O68" s="938"/>
      <c r="P68" s="938"/>
      <c r="Q68" s="938"/>
      <c r="R68" s="948"/>
      <c r="S68" s="948"/>
      <c r="T68" s="948"/>
      <c r="U68" s="948"/>
      <c r="V68" s="948"/>
      <c r="W68" s="948"/>
      <c r="X68" s="948"/>
      <c r="Y68" s="948"/>
      <c r="Z68" s="948"/>
      <c r="AA68" s="948"/>
      <c r="AB68" s="948"/>
      <c r="AC68" s="948"/>
      <c r="AD68" s="948"/>
      <c r="AE68" s="948"/>
      <c r="AF68" s="948"/>
    </row>
    <row r="69" spans="1:32" ht="13.8">
      <c r="A69" s="941"/>
      <c r="B69" s="941" t="s">
        <v>1062</v>
      </c>
      <c r="C69" s="598">
        <f>SUM(C65:C68)</f>
        <v>67466.929999999993</v>
      </c>
      <c r="D69" s="941"/>
      <c r="E69" s="941"/>
      <c r="F69" s="941"/>
      <c r="G69" s="941"/>
      <c r="H69" s="941"/>
      <c r="I69" s="941"/>
      <c r="J69" s="941"/>
      <c r="K69" s="941"/>
      <c r="L69" s="941"/>
      <c r="M69" s="941"/>
      <c r="N69" s="941"/>
      <c r="O69" s="941"/>
      <c r="P69" s="941"/>
      <c r="Q69" s="941"/>
      <c r="R69" s="948"/>
      <c r="S69" s="948"/>
      <c r="T69" s="948"/>
      <c r="U69" s="948"/>
      <c r="V69" s="948"/>
      <c r="W69" s="948"/>
      <c r="X69" s="948"/>
      <c r="Y69" s="948"/>
      <c r="Z69" s="948"/>
      <c r="AA69" s="948"/>
      <c r="AB69" s="948"/>
      <c r="AC69" s="948"/>
      <c r="AD69" s="948"/>
      <c r="AE69" s="948"/>
      <c r="AF69" s="948"/>
    </row>
    <row r="70" spans="1:32" ht="13.8">
      <c r="A70" s="938"/>
      <c r="B70" s="938"/>
      <c r="C70" s="938"/>
      <c r="D70" s="938"/>
      <c r="E70" s="938"/>
      <c r="F70" s="938"/>
      <c r="G70" s="938"/>
      <c r="H70" s="938"/>
      <c r="I70" s="938"/>
      <c r="J70" s="938"/>
      <c r="K70" s="938"/>
      <c r="L70" s="938"/>
      <c r="M70" s="938"/>
      <c r="N70" s="938"/>
      <c r="O70" s="938"/>
      <c r="P70" s="938"/>
      <c r="Q70" s="938"/>
      <c r="R70" s="948"/>
      <c r="S70" s="948"/>
      <c r="T70" s="948"/>
      <c r="U70" s="948"/>
      <c r="V70" s="948"/>
      <c r="W70" s="948"/>
      <c r="X70" s="948"/>
      <c r="Y70" s="948"/>
      <c r="Z70" s="948"/>
      <c r="AA70" s="948"/>
      <c r="AB70" s="948"/>
      <c r="AC70" s="948"/>
      <c r="AD70" s="948"/>
      <c r="AE70" s="948"/>
      <c r="AF70" s="948"/>
    </row>
    <row r="71" spans="1:32" ht="13.8">
      <c r="A71" s="938"/>
      <c r="B71" s="938"/>
      <c r="C71" s="938"/>
      <c r="D71" s="938"/>
      <c r="E71" s="938"/>
      <c r="F71" s="938"/>
      <c r="G71" s="938"/>
      <c r="H71" s="938"/>
      <c r="I71" s="938"/>
      <c r="J71" s="938"/>
      <c r="K71" s="938"/>
      <c r="L71" s="938"/>
      <c r="M71" s="938"/>
      <c r="N71" s="938"/>
      <c r="O71" s="938"/>
      <c r="P71" s="938"/>
      <c r="Q71" s="938"/>
      <c r="R71" s="948"/>
      <c r="S71" s="948"/>
      <c r="T71" s="948"/>
      <c r="U71" s="948"/>
      <c r="V71" s="948"/>
      <c r="W71" s="948"/>
      <c r="X71" s="948"/>
      <c r="Y71" s="948"/>
      <c r="Z71" s="948"/>
      <c r="AA71" s="948"/>
      <c r="AB71" s="948"/>
      <c r="AC71" s="948"/>
      <c r="AD71" s="948"/>
      <c r="AE71" s="948"/>
      <c r="AF71" s="948"/>
    </row>
    <row r="72" spans="1:32" ht="13.8">
      <c r="A72" s="938"/>
      <c r="B72" s="938"/>
      <c r="C72" s="938"/>
      <c r="D72" s="938"/>
      <c r="E72" s="938"/>
      <c r="F72" s="938"/>
      <c r="G72" s="938"/>
      <c r="H72" s="938"/>
      <c r="I72" s="938"/>
      <c r="J72" s="938"/>
      <c r="K72" s="938"/>
      <c r="L72" s="938"/>
      <c r="M72" s="938"/>
      <c r="N72" s="938"/>
      <c r="O72" s="938"/>
      <c r="P72" s="938"/>
      <c r="Q72" s="938"/>
      <c r="R72" s="948"/>
      <c r="S72" s="948"/>
      <c r="T72" s="948"/>
      <c r="U72" s="948"/>
      <c r="V72" s="948"/>
      <c r="W72" s="948"/>
      <c r="X72" s="948"/>
      <c r="Y72" s="948"/>
      <c r="Z72" s="948"/>
      <c r="AA72" s="948"/>
      <c r="AB72" s="948"/>
      <c r="AC72" s="948"/>
      <c r="AD72" s="948"/>
      <c r="AE72" s="948"/>
      <c r="AF72" s="948"/>
    </row>
    <row r="73" spans="1:32" ht="13.8">
      <c r="A73" s="938"/>
      <c r="B73" s="938"/>
      <c r="C73" s="938"/>
      <c r="D73" s="938"/>
      <c r="E73" s="938"/>
      <c r="F73" s="938"/>
      <c r="G73" s="938"/>
      <c r="H73" s="938"/>
      <c r="I73" s="938"/>
      <c r="J73" s="938"/>
      <c r="K73" s="938"/>
      <c r="L73" s="938"/>
      <c r="M73" s="938"/>
      <c r="N73" s="938"/>
      <c r="O73" s="938"/>
      <c r="P73" s="938"/>
      <c r="Q73" s="938"/>
      <c r="R73" s="948"/>
      <c r="S73" s="948"/>
      <c r="T73" s="948"/>
      <c r="U73" s="948"/>
      <c r="V73" s="948"/>
      <c r="W73" s="948"/>
      <c r="X73" s="948"/>
      <c r="Y73" s="948"/>
      <c r="Z73" s="948"/>
      <c r="AA73" s="948"/>
      <c r="AB73" s="948"/>
      <c r="AC73" s="948"/>
      <c r="AD73" s="948"/>
      <c r="AE73" s="948"/>
      <c r="AF73" s="948"/>
    </row>
    <row r="74" spans="1:32" ht="13.8">
      <c r="A74" s="938"/>
      <c r="B74" s="938"/>
      <c r="C74" s="938"/>
      <c r="D74" s="938"/>
      <c r="E74" s="938"/>
      <c r="F74" s="938"/>
      <c r="G74" s="938"/>
      <c r="H74" s="938"/>
      <c r="I74" s="938"/>
      <c r="J74" s="938"/>
      <c r="K74" s="938"/>
      <c r="L74" s="938"/>
      <c r="M74" s="938"/>
      <c r="N74" s="938"/>
      <c r="O74" s="938"/>
      <c r="P74" s="938"/>
      <c r="Q74" s="938"/>
      <c r="R74" s="948"/>
      <c r="S74" s="948"/>
      <c r="T74" s="948"/>
      <c r="U74" s="948"/>
      <c r="V74" s="948"/>
      <c r="W74" s="948"/>
      <c r="X74" s="948"/>
      <c r="Y74" s="948"/>
      <c r="Z74" s="948"/>
      <c r="AA74" s="948"/>
      <c r="AB74" s="948"/>
      <c r="AC74" s="948"/>
      <c r="AD74" s="948"/>
      <c r="AE74" s="948"/>
      <c r="AF74" s="948"/>
    </row>
    <row r="75" spans="1:32" ht="15" thickBot="1">
      <c r="A75" s="595"/>
      <c r="B75" s="599" t="s">
        <v>1040</v>
      </c>
      <c r="C75" s="600"/>
      <c r="D75" s="600"/>
      <c r="E75" s="600"/>
      <c r="F75" s="600"/>
      <c r="G75" s="600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948"/>
      <c r="S75" s="948"/>
      <c r="T75" s="948"/>
      <c r="U75" s="948"/>
      <c r="V75" s="948"/>
      <c r="W75" s="948"/>
      <c r="X75" s="948"/>
      <c r="Y75" s="948"/>
      <c r="Z75" s="948"/>
      <c r="AA75" s="948"/>
      <c r="AB75" s="948"/>
      <c r="AC75" s="948"/>
      <c r="AD75" s="948"/>
      <c r="AE75" s="948"/>
      <c r="AF75" s="948"/>
    </row>
    <row r="76" spans="1:32" ht="13.8" thickTop="1">
      <c r="A76" s="939"/>
      <c r="B76" s="497" t="s">
        <v>1084</v>
      </c>
      <c r="C76" s="553"/>
      <c r="D76" s="553"/>
      <c r="E76" s="553"/>
      <c r="F76" s="553"/>
      <c r="G76" s="553"/>
      <c r="H76" s="939"/>
      <c r="I76" s="939"/>
      <c r="J76" s="939"/>
      <c r="K76" s="939"/>
      <c r="L76" s="939"/>
      <c r="M76" s="939"/>
      <c r="N76" s="939"/>
      <c r="O76" s="939"/>
      <c r="P76" s="939"/>
      <c r="Q76" s="939"/>
      <c r="R76" s="948"/>
      <c r="S76" s="948"/>
      <c r="T76" s="948"/>
      <c r="U76" s="948"/>
      <c r="V76" s="948"/>
      <c r="W76" s="948"/>
      <c r="X76" s="948"/>
      <c r="Y76" s="948"/>
      <c r="Z76" s="948"/>
      <c r="AA76" s="948"/>
      <c r="AB76" s="948"/>
      <c r="AC76" s="948"/>
      <c r="AD76" s="948"/>
      <c r="AE76" s="948"/>
      <c r="AF76" s="948"/>
    </row>
    <row r="77" spans="1:32" ht="13.8">
      <c r="A77" s="938"/>
      <c r="B77" s="282" t="s">
        <v>1042</v>
      </c>
      <c r="C77" s="438">
        <v>1</v>
      </c>
      <c r="D77" s="438">
        <v>3.4049999999999998</v>
      </c>
      <c r="E77" s="438">
        <v>1</v>
      </c>
      <c r="F77" s="438">
        <v>3505.2683333333298</v>
      </c>
      <c r="G77" s="283"/>
      <c r="H77" s="938"/>
      <c r="I77" s="938"/>
      <c r="J77" s="938"/>
      <c r="K77" s="938"/>
      <c r="L77" s="938"/>
      <c r="M77" s="938"/>
      <c r="N77" s="938"/>
      <c r="O77" s="938"/>
      <c r="P77" s="938"/>
      <c r="Q77" s="938"/>
      <c r="R77" s="948"/>
      <c r="S77" s="948"/>
      <c r="T77" s="948"/>
      <c r="U77" s="948"/>
      <c r="V77" s="948"/>
      <c r="W77" s="948"/>
      <c r="X77" s="948"/>
      <c r="Y77" s="948"/>
      <c r="Z77" s="948"/>
      <c r="AA77" s="948"/>
      <c r="AB77" s="948"/>
      <c r="AC77" s="948"/>
      <c r="AD77" s="948"/>
      <c r="AE77" s="948"/>
      <c r="AF77" s="948"/>
    </row>
    <row r="78" spans="1:32" ht="30" customHeight="1" thickBot="1">
      <c r="A78" s="586"/>
      <c r="B78" s="461"/>
      <c r="C78" s="578" t="s">
        <v>977</v>
      </c>
      <c r="D78" s="578" t="s">
        <v>1043</v>
      </c>
      <c r="E78" s="578" t="s">
        <v>977</v>
      </c>
      <c r="F78" s="578" t="s">
        <v>691</v>
      </c>
      <c r="G78" s="461"/>
      <c r="H78" s="585"/>
      <c r="I78" s="585"/>
      <c r="J78" s="585"/>
      <c r="K78" s="585"/>
      <c r="L78" s="585"/>
      <c r="M78" s="585"/>
      <c r="N78" s="585"/>
      <c r="O78" s="585"/>
      <c r="P78" s="585"/>
      <c r="Q78" s="585"/>
      <c r="R78" s="948"/>
      <c r="S78" s="948"/>
      <c r="T78" s="948"/>
      <c r="U78" s="948"/>
      <c r="V78" s="948"/>
      <c r="W78" s="948"/>
      <c r="X78" s="948"/>
      <c r="Y78" s="948"/>
      <c r="Z78" s="948"/>
      <c r="AA78" s="948"/>
      <c r="AB78" s="948"/>
      <c r="AC78" s="948"/>
      <c r="AD78" s="948"/>
      <c r="AE78" s="948"/>
      <c r="AF78" s="948"/>
    </row>
    <row r="79" spans="1:32" ht="30" customHeight="1" thickBot="1">
      <c r="A79" s="586"/>
      <c r="B79" s="601" t="s">
        <v>210</v>
      </c>
      <c r="C79" s="601" t="s">
        <v>1054</v>
      </c>
      <c r="D79" s="601" t="s">
        <v>1044</v>
      </c>
      <c r="E79" s="601" t="s">
        <v>1045</v>
      </c>
      <c r="F79" s="601" t="s">
        <v>1046</v>
      </c>
      <c r="G79" s="601" t="s">
        <v>1047</v>
      </c>
      <c r="H79" s="585"/>
      <c r="I79" s="585"/>
      <c r="J79" s="585"/>
      <c r="K79" s="585"/>
      <c r="L79" s="585"/>
      <c r="M79" s="585"/>
      <c r="N79" s="585"/>
      <c r="O79" s="585"/>
      <c r="P79" s="585"/>
      <c r="Q79" s="585"/>
      <c r="R79" s="948"/>
      <c r="S79" s="948"/>
      <c r="T79" s="948"/>
      <c r="U79" s="948"/>
      <c r="V79" s="948"/>
      <c r="W79" s="948"/>
      <c r="X79" s="948"/>
      <c r="Y79" s="948"/>
      <c r="Z79" s="948"/>
      <c r="AA79" s="948"/>
      <c r="AB79" s="948"/>
      <c r="AC79" s="948"/>
      <c r="AD79" s="948"/>
      <c r="AE79" s="948"/>
      <c r="AF79" s="948"/>
    </row>
    <row r="80" spans="1:32" ht="13.8">
      <c r="A80" s="938"/>
      <c r="B80" s="284" t="s">
        <v>1048</v>
      </c>
      <c r="C80" s="439">
        <v>32997.050000000003</v>
      </c>
      <c r="D80" s="439">
        <v>4678.5814977973496</v>
      </c>
      <c r="E80" s="439">
        <v>0</v>
      </c>
      <c r="F80" s="439">
        <v>1398925.9228371</v>
      </c>
      <c r="G80" s="440">
        <v>1436601.5543349001</v>
      </c>
      <c r="H80" s="938"/>
      <c r="I80" s="938"/>
      <c r="J80" s="938"/>
      <c r="K80" s="938"/>
      <c r="L80" s="938"/>
      <c r="M80" s="938"/>
      <c r="N80" s="938"/>
      <c r="O80" s="938"/>
      <c r="P80" s="938"/>
      <c r="Q80" s="938"/>
      <c r="R80" s="948"/>
      <c r="S80" s="948"/>
      <c r="T80" s="948"/>
      <c r="U80" s="948"/>
      <c r="V80" s="948"/>
      <c r="W80" s="948"/>
      <c r="X80" s="948"/>
      <c r="Y80" s="948"/>
      <c r="Z80" s="948"/>
      <c r="AA80" s="948"/>
      <c r="AB80" s="948"/>
      <c r="AC80" s="948"/>
      <c r="AD80" s="948"/>
      <c r="AE80" s="948"/>
      <c r="AF80" s="948"/>
    </row>
    <row r="81" spans="1:32" ht="14.4" thickBot="1">
      <c r="A81" s="938"/>
      <c r="B81" s="285" t="s">
        <v>1036</v>
      </c>
      <c r="C81" s="441">
        <v>0</v>
      </c>
      <c r="D81" s="441">
        <v>0</v>
      </c>
      <c r="E81" s="441">
        <v>0</v>
      </c>
      <c r="F81" s="441">
        <v>-123034.2301897</v>
      </c>
      <c r="G81" s="442">
        <v>-123034.2301897</v>
      </c>
      <c r="H81" s="938"/>
      <c r="I81" s="938"/>
      <c r="J81" s="938"/>
      <c r="K81" s="938"/>
      <c r="L81" s="938"/>
      <c r="M81" s="938"/>
      <c r="N81" s="938"/>
      <c r="O81" s="938"/>
      <c r="P81" s="938"/>
      <c r="Q81" s="938"/>
      <c r="R81" s="948"/>
      <c r="S81" s="948"/>
      <c r="T81" s="948"/>
      <c r="U81" s="948"/>
      <c r="V81" s="948"/>
      <c r="W81" s="948"/>
      <c r="X81" s="948"/>
      <c r="Y81" s="948"/>
      <c r="Z81" s="948"/>
      <c r="AA81" s="948"/>
      <c r="AB81" s="948"/>
      <c r="AC81" s="948"/>
      <c r="AD81" s="948"/>
      <c r="AE81" s="948"/>
      <c r="AF81" s="948"/>
    </row>
    <row r="82" spans="1:32" ht="13.8">
      <c r="A82" s="938"/>
      <c r="B82" s="286" t="s">
        <v>252</v>
      </c>
      <c r="C82" s="443">
        <v>32997.050000000003</v>
      </c>
      <c r="D82" s="443">
        <v>4678.5814977973496</v>
      </c>
      <c r="E82" s="443">
        <v>0</v>
      </c>
      <c r="F82" s="443">
        <v>1275891.6926474001</v>
      </c>
      <c r="G82" s="443">
        <v>1313567.3241452</v>
      </c>
      <c r="H82" s="938"/>
      <c r="I82" s="938"/>
      <c r="J82" s="938"/>
      <c r="K82" s="938"/>
      <c r="L82" s="938"/>
      <c r="M82" s="938"/>
      <c r="N82" s="938"/>
      <c r="O82" s="938"/>
      <c r="P82" s="938"/>
      <c r="Q82" s="938"/>
      <c r="R82" s="948"/>
      <c r="S82" s="948"/>
      <c r="T82" s="948"/>
      <c r="U82" s="948"/>
      <c r="V82" s="948"/>
      <c r="W82" s="948"/>
      <c r="X82" s="948"/>
      <c r="Y82" s="948"/>
      <c r="Z82" s="948"/>
      <c r="AA82" s="948"/>
      <c r="AB82" s="948"/>
      <c r="AC82" s="948"/>
      <c r="AD82" s="948"/>
      <c r="AE82" s="948"/>
      <c r="AF82" s="948"/>
    </row>
    <row r="83" spans="1:32" ht="14.4" thickBot="1">
      <c r="A83" s="938"/>
      <c r="B83" s="287" t="s">
        <v>982</v>
      </c>
      <c r="C83" s="444">
        <v>0</v>
      </c>
      <c r="D83" s="444">
        <v>0</v>
      </c>
      <c r="E83" s="444">
        <v>0</v>
      </c>
      <c r="F83" s="444">
        <v>605005.18286522105</v>
      </c>
      <c r="G83" s="445">
        <v>605005.18286522105</v>
      </c>
      <c r="H83" s="938"/>
      <c r="I83" s="938"/>
      <c r="J83" s="938"/>
      <c r="K83" s="938"/>
      <c r="L83" s="938"/>
      <c r="M83" s="938"/>
      <c r="N83" s="938"/>
      <c r="O83" s="938"/>
      <c r="P83" s="938"/>
      <c r="Q83" s="938"/>
      <c r="R83" s="948"/>
      <c r="S83" s="948"/>
      <c r="T83" s="948"/>
      <c r="U83" s="948"/>
      <c r="V83" s="948"/>
      <c r="W83" s="948"/>
      <c r="X83" s="948"/>
      <c r="Y83" s="948"/>
      <c r="Z83" s="948"/>
      <c r="AA83" s="948"/>
      <c r="AB83" s="948"/>
      <c r="AC83" s="948"/>
      <c r="AD83" s="948"/>
      <c r="AE83" s="948"/>
      <c r="AF83" s="948"/>
    </row>
    <row r="84" spans="1:32" ht="13.8">
      <c r="A84" s="938"/>
      <c r="B84" s="286" t="s">
        <v>277</v>
      </c>
      <c r="C84" s="443">
        <v>32997.050000000003</v>
      </c>
      <c r="D84" s="443">
        <v>4678.5814977973496</v>
      </c>
      <c r="E84" s="443">
        <v>0</v>
      </c>
      <c r="F84" s="443">
        <v>670886.509782181</v>
      </c>
      <c r="G84" s="443">
        <v>708562.14127997798</v>
      </c>
      <c r="H84" s="938"/>
      <c r="I84" s="938"/>
      <c r="J84" s="938"/>
      <c r="K84" s="938"/>
      <c r="L84" s="938"/>
      <c r="M84" s="938"/>
      <c r="N84" s="938"/>
      <c r="O84" s="938"/>
      <c r="P84" s="938"/>
      <c r="Q84" s="938"/>
      <c r="R84" s="948"/>
      <c r="S84" s="948"/>
      <c r="T84" s="948"/>
      <c r="U84" s="948"/>
      <c r="V84" s="948"/>
      <c r="W84" s="948"/>
      <c r="X84" s="948"/>
      <c r="Y84" s="948"/>
      <c r="Z84" s="948"/>
      <c r="AA84" s="948"/>
      <c r="AB84" s="948"/>
      <c r="AC84" s="948"/>
      <c r="AD84" s="948"/>
      <c r="AE84" s="948"/>
      <c r="AF84" s="948"/>
    </row>
    <row r="85" spans="1:32" ht="13.8">
      <c r="A85" s="938"/>
      <c r="B85" s="287" t="s">
        <v>1037</v>
      </c>
      <c r="C85" s="444">
        <v>30735.95</v>
      </c>
      <c r="D85" s="444">
        <v>1599.69162995595</v>
      </c>
      <c r="E85" s="444">
        <v>21792.38</v>
      </c>
      <c r="F85" s="444">
        <v>196717.08708938601</v>
      </c>
      <c r="G85" s="445">
        <v>250845.10871934201</v>
      </c>
      <c r="H85" s="938"/>
      <c r="I85" s="938"/>
      <c r="J85" s="938"/>
      <c r="K85" s="938"/>
      <c r="L85" s="938"/>
      <c r="M85" s="938"/>
      <c r="N85" s="938"/>
      <c r="O85" s="938"/>
      <c r="P85" s="938"/>
      <c r="Q85" s="938"/>
      <c r="R85" s="948"/>
      <c r="S85" s="948"/>
      <c r="T85" s="948"/>
      <c r="U85" s="948"/>
      <c r="V85" s="948"/>
      <c r="W85" s="948"/>
      <c r="X85" s="948"/>
      <c r="Y85" s="948"/>
      <c r="Z85" s="948"/>
      <c r="AA85" s="948"/>
      <c r="AB85" s="948"/>
      <c r="AC85" s="948"/>
      <c r="AD85" s="948"/>
      <c r="AE85" s="948"/>
      <c r="AF85" s="948"/>
    </row>
    <row r="86" spans="1:32" ht="13.8">
      <c r="A86" s="938"/>
      <c r="B86" s="285" t="s">
        <v>804</v>
      </c>
      <c r="C86" s="441">
        <v>25215.98</v>
      </c>
      <c r="D86" s="441">
        <v>0</v>
      </c>
      <c r="E86" s="441">
        <v>0</v>
      </c>
      <c r="F86" s="441">
        <v>240202.81671255801</v>
      </c>
      <c r="G86" s="442">
        <v>265418.79671255802</v>
      </c>
      <c r="H86" s="938"/>
      <c r="I86" s="938"/>
      <c r="J86" s="938"/>
      <c r="K86" s="938"/>
      <c r="L86" s="938"/>
      <c r="M86" s="938"/>
      <c r="N86" s="938"/>
      <c r="O86" s="938"/>
      <c r="P86" s="938"/>
      <c r="Q86" s="938"/>
      <c r="R86" s="948"/>
      <c r="S86" s="948"/>
      <c r="T86" s="948"/>
      <c r="U86" s="948"/>
      <c r="V86" s="948"/>
      <c r="W86" s="948"/>
      <c r="X86" s="948"/>
      <c r="Y86" s="948"/>
      <c r="Z86" s="948"/>
      <c r="AA86" s="948"/>
      <c r="AB86" s="948"/>
      <c r="AC86" s="948"/>
      <c r="AD86" s="948"/>
      <c r="AE86" s="948"/>
      <c r="AF86" s="948"/>
    </row>
    <row r="87" spans="1:32" ht="14.4" thickBot="1">
      <c r="A87" s="938"/>
      <c r="B87" s="285" t="s">
        <v>1049</v>
      </c>
      <c r="C87" s="441">
        <v>11500</v>
      </c>
      <c r="D87" s="441">
        <v>16796.6226138032</v>
      </c>
      <c r="E87" s="441">
        <v>0</v>
      </c>
      <c r="F87" s="441">
        <v>163588.592504331</v>
      </c>
      <c r="G87" s="442">
        <v>191885.21511813399</v>
      </c>
      <c r="H87" s="938"/>
      <c r="I87" s="938"/>
      <c r="J87" s="938"/>
      <c r="K87" s="938"/>
      <c r="L87" s="938"/>
      <c r="M87" s="938"/>
      <c r="N87" s="938"/>
      <c r="O87" s="938"/>
      <c r="P87" s="938"/>
      <c r="Q87" s="938"/>
      <c r="R87" s="948"/>
      <c r="S87" s="948"/>
      <c r="T87" s="948"/>
      <c r="U87" s="948"/>
      <c r="V87" s="948"/>
      <c r="W87" s="948"/>
      <c r="X87" s="948"/>
      <c r="Y87" s="948"/>
      <c r="Z87" s="948"/>
      <c r="AA87" s="948"/>
      <c r="AB87" s="948"/>
      <c r="AC87" s="948"/>
      <c r="AD87" s="948"/>
      <c r="AE87" s="948"/>
      <c r="AF87" s="948"/>
    </row>
    <row r="88" spans="1:32" ht="13.8">
      <c r="A88" s="938"/>
      <c r="B88" s="286" t="s">
        <v>1039</v>
      </c>
      <c r="C88" s="443">
        <v>-34454.879999999997</v>
      </c>
      <c r="D88" s="443">
        <v>-13717.732745961801</v>
      </c>
      <c r="E88" s="443">
        <v>-21792.38</v>
      </c>
      <c r="F88" s="443">
        <v>70378.013475906002</v>
      </c>
      <c r="G88" s="443">
        <v>413.02072994425498</v>
      </c>
      <c r="H88" s="938"/>
      <c r="I88" s="938"/>
      <c r="J88" s="938"/>
      <c r="K88" s="938"/>
      <c r="L88" s="938"/>
      <c r="M88" s="938"/>
      <c r="N88" s="938"/>
      <c r="O88" s="938"/>
      <c r="P88" s="938"/>
      <c r="Q88" s="938"/>
      <c r="R88" s="948"/>
      <c r="S88" s="948"/>
      <c r="T88" s="948"/>
      <c r="U88" s="948"/>
      <c r="V88" s="948"/>
      <c r="W88" s="948"/>
      <c r="X88" s="948"/>
      <c r="Y88" s="948"/>
      <c r="Z88" s="948"/>
      <c r="AA88" s="948"/>
      <c r="AB88" s="948"/>
      <c r="AC88" s="948"/>
      <c r="AD88" s="948"/>
      <c r="AE88" s="948"/>
      <c r="AF88" s="948"/>
    </row>
    <row r="89" spans="1:32" ht="13.8">
      <c r="A89" s="938"/>
      <c r="B89" s="287" t="s">
        <v>261</v>
      </c>
      <c r="C89" s="444">
        <v>0</v>
      </c>
      <c r="D89" s="444">
        <v>0</v>
      </c>
      <c r="E89" s="444">
        <v>0</v>
      </c>
      <c r="F89" s="444">
        <v>2876.28079828411</v>
      </c>
      <c r="G89" s="445">
        <v>2876.28079828411</v>
      </c>
      <c r="H89" s="938"/>
      <c r="I89" s="938"/>
      <c r="J89" s="938"/>
      <c r="K89" s="938"/>
      <c r="L89" s="938"/>
      <c r="M89" s="938"/>
      <c r="N89" s="938"/>
      <c r="O89" s="938"/>
      <c r="P89" s="938"/>
      <c r="Q89" s="938"/>
      <c r="R89" s="948"/>
      <c r="S89" s="948"/>
      <c r="T89" s="948"/>
      <c r="U89" s="948"/>
      <c r="V89" s="948"/>
      <c r="W89" s="948"/>
      <c r="X89" s="948"/>
      <c r="Y89" s="948"/>
      <c r="Z89" s="948"/>
      <c r="AA89" s="948"/>
      <c r="AB89" s="948"/>
      <c r="AC89" s="948"/>
      <c r="AD89" s="948"/>
      <c r="AE89" s="948"/>
      <c r="AF89" s="948"/>
    </row>
    <row r="90" spans="1:32" ht="13.8">
      <c r="A90" s="938"/>
      <c r="B90" s="285" t="s">
        <v>986</v>
      </c>
      <c r="C90" s="441">
        <v>15</v>
      </c>
      <c r="D90" s="441">
        <v>265.25991189427299</v>
      </c>
      <c r="E90" s="441">
        <v>206</v>
      </c>
      <c r="F90" s="441">
        <v>9914.9989943708606</v>
      </c>
      <c r="G90" s="442">
        <v>10401.2589062651</v>
      </c>
      <c r="H90" s="938"/>
      <c r="I90" s="938"/>
      <c r="J90" s="938"/>
      <c r="K90" s="938"/>
      <c r="L90" s="938"/>
      <c r="M90" s="938"/>
      <c r="N90" s="938"/>
      <c r="O90" s="938"/>
      <c r="P90" s="938"/>
      <c r="Q90" s="938"/>
      <c r="R90" s="948"/>
      <c r="S90" s="948"/>
      <c r="T90" s="948"/>
      <c r="U90" s="948"/>
      <c r="V90" s="948"/>
      <c r="W90" s="948"/>
      <c r="X90" s="948"/>
      <c r="Y90" s="948"/>
      <c r="Z90" s="948"/>
      <c r="AA90" s="948"/>
      <c r="AB90" s="948"/>
      <c r="AC90" s="948"/>
      <c r="AD90" s="948"/>
      <c r="AE90" s="948"/>
      <c r="AF90" s="948"/>
    </row>
    <row r="91" spans="1:32" ht="14.4" thickBot="1">
      <c r="A91" s="938"/>
      <c r="B91" s="288" t="s">
        <v>1051</v>
      </c>
      <c r="C91" s="442">
        <v>-34469.879999999997</v>
      </c>
      <c r="D91" s="442">
        <v>-13982.992657856101</v>
      </c>
      <c r="E91" s="442">
        <v>-21998.38</v>
      </c>
      <c r="F91" s="442">
        <v>63339.294994534401</v>
      </c>
      <c r="G91" s="442">
        <v>-7111.9576633216402</v>
      </c>
      <c r="H91" s="938"/>
      <c r="I91" s="938"/>
      <c r="J91" s="938"/>
      <c r="K91" s="938"/>
      <c r="L91" s="938"/>
      <c r="M91" s="938"/>
      <c r="N91" s="938"/>
      <c r="O91" s="938"/>
      <c r="P91" s="938"/>
      <c r="Q91" s="938"/>
      <c r="R91" s="948"/>
      <c r="S91" s="948"/>
      <c r="T91" s="948"/>
      <c r="U91" s="948"/>
      <c r="V91" s="948"/>
      <c r="W91" s="948"/>
      <c r="X91" s="948"/>
      <c r="Y91" s="948"/>
      <c r="Z91" s="948"/>
      <c r="AA91" s="948"/>
      <c r="AB91" s="948"/>
      <c r="AC91" s="948"/>
      <c r="AD91" s="948"/>
      <c r="AE91" s="948"/>
      <c r="AF91" s="948"/>
    </row>
    <row r="92" spans="1:32" ht="13.8">
      <c r="A92" s="938"/>
      <c r="B92" s="286" t="s">
        <v>1052</v>
      </c>
      <c r="C92" s="443">
        <v>0</v>
      </c>
      <c r="D92" s="443">
        <v>0</v>
      </c>
      <c r="E92" s="443">
        <v>0</v>
      </c>
      <c r="F92" s="443">
        <v>0</v>
      </c>
      <c r="G92" s="443">
        <v>0</v>
      </c>
      <c r="H92" s="938"/>
      <c r="I92" s="938"/>
      <c r="J92" s="938"/>
      <c r="K92" s="938"/>
      <c r="L92" s="938"/>
      <c r="M92" s="938"/>
      <c r="N92" s="938"/>
      <c r="O92" s="938"/>
      <c r="P92" s="938"/>
      <c r="Q92" s="938"/>
      <c r="R92" s="948"/>
      <c r="S92" s="948"/>
      <c r="T92" s="948"/>
      <c r="U92" s="948"/>
      <c r="V92" s="948"/>
      <c r="W92" s="948"/>
      <c r="X92" s="948"/>
      <c r="Y92" s="948"/>
      <c r="Z92" s="948"/>
      <c r="AA92" s="948"/>
      <c r="AB92" s="948"/>
      <c r="AC92" s="948"/>
      <c r="AD92" s="948"/>
      <c r="AE92" s="948"/>
      <c r="AF92" s="948"/>
    </row>
    <row r="93" spans="1:32" ht="14.4" thickBot="1">
      <c r="A93" s="938"/>
      <c r="B93" s="289" t="s">
        <v>1053</v>
      </c>
      <c r="C93" s="445">
        <v>-34469.879999999997</v>
      </c>
      <c r="D93" s="445">
        <v>-13982.992657856101</v>
      </c>
      <c r="E93" s="445">
        <v>-21998.38</v>
      </c>
      <c r="F93" s="445">
        <v>63339.294994534401</v>
      </c>
      <c r="G93" s="445">
        <v>-7111.9576633216402</v>
      </c>
      <c r="H93" s="938"/>
      <c r="I93" s="938"/>
      <c r="J93" s="938"/>
      <c r="K93" s="938"/>
      <c r="L93" s="938"/>
      <c r="M93" s="938"/>
      <c r="N93" s="938"/>
      <c r="O93" s="938"/>
      <c r="P93" s="938"/>
      <c r="Q93" s="938"/>
      <c r="R93" s="948"/>
      <c r="S93" s="948"/>
      <c r="T93" s="948"/>
      <c r="U93" s="948"/>
      <c r="V93" s="948"/>
      <c r="W93" s="948"/>
      <c r="X93" s="948"/>
      <c r="Y93" s="948"/>
      <c r="Z93" s="948"/>
      <c r="AA93" s="948"/>
      <c r="AB93" s="948"/>
      <c r="AC93" s="948"/>
      <c r="AD93" s="948"/>
      <c r="AE93" s="948"/>
      <c r="AF93" s="948"/>
    </row>
    <row r="94" spans="1:32" ht="15" thickTop="1" thickBot="1">
      <c r="A94" s="938"/>
      <c r="B94" s="290"/>
      <c r="C94" s="290"/>
      <c r="D94" s="290"/>
      <c r="E94" s="290"/>
      <c r="F94" s="290"/>
      <c r="G94" s="291"/>
      <c r="H94" s="938"/>
      <c r="I94" s="938"/>
      <c r="J94" s="938"/>
      <c r="K94" s="938"/>
      <c r="L94" s="938"/>
      <c r="M94" s="938"/>
      <c r="N94" s="938"/>
      <c r="O94" s="938"/>
      <c r="P94" s="938"/>
      <c r="Q94" s="938"/>
      <c r="R94" s="948"/>
      <c r="S94" s="948"/>
      <c r="T94" s="948"/>
      <c r="U94" s="948"/>
      <c r="V94" s="948"/>
      <c r="W94" s="948"/>
      <c r="X94" s="948"/>
      <c r="Y94" s="948"/>
      <c r="Z94" s="948"/>
      <c r="AA94" s="948"/>
      <c r="AB94" s="948"/>
      <c r="AC94" s="948"/>
      <c r="AD94" s="948"/>
      <c r="AE94" s="948"/>
      <c r="AF94" s="948"/>
    </row>
    <row r="95" spans="1:32" ht="14.4" thickTop="1">
      <c r="A95" s="938"/>
      <c r="B95" s="938"/>
      <c r="C95" s="938"/>
      <c r="D95" s="938"/>
      <c r="E95" s="938"/>
      <c r="F95" s="938"/>
      <c r="G95" s="938"/>
      <c r="H95" s="938"/>
      <c r="I95" s="938"/>
      <c r="J95" s="938"/>
      <c r="K95" s="938"/>
      <c r="L95" s="938"/>
      <c r="M95" s="938"/>
      <c r="N95" s="938"/>
      <c r="O95" s="938"/>
      <c r="P95" s="938"/>
      <c r="Q95" s="938"/>
      <c r="R95" s="948"/>
      <c r="S95" s="948"/>
      <c r="T95" s="948"/>
      <c r="U95" s="948"/>
      <c r="V95" s="948"/>
      <c r="W95" s="948"/>
      <c r="X95" s="948"/>
      <c r="Y95" s="948"/>
      <c r="Z95" s="948"/>
      <c r="AA95" s="948"/>
      <c r="AB95" s="948"/>
      <c r="AC95" s="948"/>
      <c r="AD95" s="948"/>
      <c r="AE95" s="948"/>
      <c r="AF95" s="948"/>
    </row>
    <row r="96" spans="1:32" ht="13.8">
      <c r="A96" s="938"/>
      <c r="B96" s="938"/>
      <c r="C96" s="938"/>
      <c r="D96" s="938"/>
      <c r="E96" s="938"/>
      <c r="F96" s="938"/>
      <c r="G96" s="938"/>
      <c r="H96" s="938"/>
      <c r="I96" s="938"/>
      <c r="J96" s="938"/>
      <c r="K96" s="938"/>
      <c r="L96" s="938"/>
      <c r="M96" s="938"/>
      <c r="N96" s="938"/>
      <c r="O96" s="938"/>
      <c r="P96" s="938"/>
      <c r="Q96" s="938"/>
      <c r="R96" s="948"/>
      <c r="S96" s="948"/>
      <c r="T96" s="948"/>
      <c r="U96" s="948"/>
      <c r="V96" s="948"/>
      <c r="W96" s="948"/>
      <c r="X96" s="948"/>
      <c r="Y96" s="948"/>
      <c r="Z96" s="948"/>
      <c r="AA96" s="948"/>
      <c r="AB96" s="948"/>
      <c r="AC96" s="948"/>
      <c r="AD96" s="948"/>
      <c r="AE96" s="948"/>
      <c r="AF96" s="948"/>
    </row>
    <row r="97" spans="1:32" ht="13.8">
      <c r="A97" s="938"/>
      <c r="B97" s="938"/>
      <c r="C97" s="938"/>
      <c r="D97" s="938"/>
      <c r="E97" s="938"/>
      <c r="F97" s="938"/>
      <c r="G97" s="938"/>
      <c r="H97" s="938"/>
      <c r="I97" s="938"/>
      <c r="J97" s="938"/>
      <c r="K97" s="938"/>
      <c r="L97" s="938"/>
      <c r="M97" s="938"/>
      <c r="N97" s="938"/>
      <c r="O97" s="938"/>
      <c r="P97" s="938"/>
      <c r="Q97" s="938"/>
      <c r="R97" s="948"/>
      <c r="S97" s="948"/>
      <c r="T97" s="948"/>
      <c r="U97" s="948"/>
      <c r="V97" s="948"/>
      <c r="W97" s="948"/>
      <c r="X97" s="948"/>
      <c r="Y97" s="948"/>
      <c r="Z97" s="948"/>
      <c r="AA97" s="948"/>
      <c r="AB97" s="948"/>
      <c r="AC97" s="948"/>
      <c r="AD97" s="948"/>
      <c r="AE97" s="948"/>
      <c r="AF97" s="948"/>
    </row>
    <row r="98" spans="1:32" ht="13.8">
      <c r="A98" s="938"/>
      <c r="B98" s="938"/>
      <c r="C98" s="938"/>
      <c r="D98" s="938"/>
      <c r="E98" s="938"/>
      <c r="F98" s="938"/>
      <c r="G98" s="938"/>
      <c r="H98" s="938"/>
      <c r="I98" s="938"/>
      <c r="J98" s="938"/>
      <c r="K98" s="938"/>
      <c r="L98" s="938"/>
      <c r="M98" s="938"/>
      <c r="N98" s="938"/>
      <c r="O98" s="938"/>
      <c r="P98" s="938"/>
      <c r="Q98" s="938"/>
      <c r="R98" s="948"/>
      <c r="S98" s="948"/>
      <c r="T98" s="948"/>
      <c r="U98" s="948"/>
      <c r="V98" s="948"/>
      <c r="W98" s="948"/>
      <c r="X98" s="948"/>
      <c r="Y98" s="948"/>
      <c r="Z98" s="948"/>
      <c r="AA98" s="948"/>
      <c r="AB98" s="948"/>
      <c r="AC98" s="948"/>
      <c r="AD98" s="948"/>
      <c r="AE98" s="948"/>
      <c r="AF98" s="948"/>
    </row>
    <row r="99" spans="1:32" ht="13.8">
      <c r="A99" s="938"/>
      <c r="B99" s="938"/>
      <c r="C99" s="938"/>
      <c r="D99" s="938"/>
      <c r="E99" s="938"/>
      <c r="F99" s="938"/>
      <c r="G99" s="938"/>
      <c r="H99" s="938"/>
      <c r="I99" s="938"/>
      <c r="J99" s="938"/>
      <c r="K99" s="938"/>
      <c r="L99" s="938"/>
      <c r="M99" s="938"/>
      <c r="N99" s="938"/>
      <c r="O99" s="938"/>
      <c r="P99" s="938"/>
      <c r="Q99" s="938"/>
      <c r="R99" s="948"/>
      <c r="S99" s="948"/>
      <c r="T99" s="948"/>
      <c r="U99" s="948"/>
      <c r="V99" s="948"/>
      <c r="W99" s="948"/>
      <c r="X99" s="948"/>
      <c r="Y99" s="948"/>
      <c r="Z99" s="948"/>
      <c r="AA99" s="948"/>
      <c r="AB99" s="948"/>
      <c r="AC99" s="948"/>
      <c r="AD99" s="948"/>
      <c r="AE99" s="948"/>
      <c r="AF99" s="948"/>
    </row>
    <row r="100" spans="1:32" ht="30" customHeight="1">
      <c r="A100" s="586"/>
      <c r="B100" s="585" t="s">
        <v>210</v>
      </c>
      <c r="C100" s="602" t="s">
        <v>1110</v>
      </c>
      <c r="D100" s="585" t="s">
        <v>1085</v>
      </c>
      <c r="E100" s="585" t="s">
        <v>1086</v>
      </c>
      <c r="F100" s="585" t="s">
        <v>726</v>
      </c>
      <c r="G100" s="585"/>
      <c r="H100" s="585"/>
      <c r="I100" s="585"/>
      <c r="J100" s="585"/>
      <c r="K100" s="585"/>
      <c r="L100" s="585"/>
      <c r="M100" s="585"/>
      <c r="N100" s="585"/>
      <c r="O100" s="585"/>
      <c r="P100" s="585"/>
      <c r="Q100" s="585"/>
      <c r="R100" s="948"/>
      <c r="S100" s="948"/>
      <c r="T100" s="948"/>
      <c r="U100" s="948"/>
      <c r="V100" s="948"/>
      <c r="W100" s="948"/>
      <c r="X100" s="948"/>
      <c r="Y100" s="948"/>
      <c r="Z100" s="948"/>
      <c r="AA100" s="948"/>
      <c r="AB100" s="948"/>
      <c r="AC100" s="948"/>
      <c r="AD100" s="948"/>
      <c r="AE100" s="948"/>
      <c r="AF100" s="948"/>
    </row>
    <row r="101" spans="1:32" ht="13.8">
      <c r="A101" s="938"/>
      <c r="B101" s="938" t="s">
        <v>277</v>
      </c>
      <c r="C101" s="942">
        <f>ROUND($G$39/1000,0)</f>
        <v>709</v>
      </c>
      <c r="D101" s="943">
        <v>0</v>
      </c>
      <c r="E101" s="943">
        <v>0</v>
      </c>
      <c r="F101" s="944">
        <f>$G$84</f>
        <v>708562.14127997798</v>
      </c>
      <c r="G101" s="938"/>
      <c r="H101" s="938"/>
      <c r="I101" s="938"/>
      <c r="J101" s="938"/>
      <c r="K101" s="938"/>
      <c r="L101" s="938"/>
      <c r="M101" s="938"/>
      <c r="N101" s="938"/>
      <c r="O101" s="938"/>
      <c r="P101" s="938"/>
      <c r="Q101" s="938"/>
      <c r="R101" s="948"/>
      <c r="S101" s="948"/>
      <c r="T101" s="948"/>
      <c r="U101" s="948"/>
      <c r="V101" s="948"/>
      <c r="W101" s="948"/>
      <c r="X101" s="948"/>
      <c r="Y101" s="948"/>
      <c r="Z101" s="948"/>
      <c r="AA101" s="948"/>
      <c r="AB101" s="948"/>
      <c r="AC101" s="948"/>
      <c r="AD101" s="948"/>
      <c r="AE101" s="948"/>
      <c r="AF101" s="948"/>
    </row>
    <row r="102" spans="1:32" ht="13.8">
      <c r="A102" s="938"/>
      <c r="B102" s="938" t="s">
        <v>1109</v>
      </c>
      <c r="C102" s="942">
        <f>-ROUND($G$40/1000,0)</f>
        <v>-251</v>
      </c>
      <c r="D102" s="943">
        <v>0</v>
      </c>
      <c r="E102" s="944">
        <f>$G$85</f>
        <v>250845.10871934201</v>
      </c>
      <c r="F102" s="943">
        <v>0</v>
      </c>
      <c r="G102" s="938"/>
      <c r="H102" s="938"/>
      <c r="I102" s="938"/>
      <c r="J102" s="938"/>
      <c r="K102" s="938"/>
      <c r="L102" s="938"/>
      <c r="M102" s="938"/>
      <c r="N102" s="938"/>
      <c r="O102" s="938"/>
      <c r="P102" s="938"/>
      <c r="Q102" s="938"/>
      <c r="R102" s="948"/>
      <c r="S102" s="948"/>
      <c r="T102" s="948"/>
      <c r="U102" s="948"/>
      <c r="V102" s="948"/>
      <c r="W102" s="948"/>
      <c r="X102" s="948"/>
      <c r="Y102" s="948"/>
      <c r="Z102" s="948"/>
      <c r="AA102" s="948"/>
      <c r="AB102" s="948"/>
      <c r="AC102" s="948"/>
      <c r="AD102" s="948"/>
      <c r="AE102" s="948"/>
      <c r="AF102" s="948"/>
    </row>
    <row r="103" spans="1:32" ht="13.8">
      <c r="A103" s="938"/>
      <c r="B103" s="938" t="s">
        <v>284</v>
      </c>
      <c r="C103" s="942">
        <f>-ROUND($G$41/1000,0)</f>
        <v>-265</v>
      </c>
      <c r="D103" s="943">
        <v>0</v>
      </c>
      <c r="E103" s="944">
        <f>$G$87</f>
        <v>191885.21511813399</v>
      </c>
      <c r="F103" s="943">
        <v>0</v>
      </c>
      <c r="G103" s="938"/>
      <c r="H103" s="938"/>
      <c r="I103" s="938"/>
      <c r="J103" s="938"/>
      <c r="K103" s="938"/>
      <c r="L103" s="938"/>
      <c r="M103" s="938"/>
      <c r="N103" s="938"/>
      <c r="O103" s="938"/>
      <c r="P103" s="938"/>
      <c r="Q103" s="938"/>
      <c r="R103" s="948"/>
      <c r="S103" s="948"/>
      <c r="T103" s="948"/>
      <c r="U103" s="948"/>
      <c r="V103" s="948"/>
      <c r="W103" s="948"/>
      <c r="X103" s="948"/>
      <c r="Y103" s="948"/>
      <c r="Z103" s="948"/>
      <c r="AA103" s="948"/>
      <c r="AB103" s="948"/>
      <c r="AC103" s="948"/>
      <c r="AD103" s="948"/>
      <c r="AE103" s="948"/>
      <c r="AF103" s="948"/>
    </row>
    <row r="104" spans="1:32" ht="13.8">
      <c r="A104" s="938"/>
      <c r="B104" s="938" t="s">
        <v>1087</v>
      </c>
      <c r="C104" s="942">
        <f>-ROUND($G$42/1000,0)</f>
        <v>-192</v>
      </c>
      <c r="D104" s="943">
        <v>0</v>
      </c>
      <c r="E104" s="945">
        <f>$G$88</f>
        <v>413.02072994425498</v>
      </c>
      <c r="F104" s="943">
        <v>0</v>
      </c>
      <c r="G104" s="938"/>
      <c r="H104" s="938"/>
      <c r="I104" s="938"/>
      <c r="J104" s="938"/>
      <c r="K104" s="938"/>
      <c r="L104" s="938"/>
      <c r="M104" s="938"/>
      <c r="N104" s="938"/>
      <c r="O104" s="938"/>
      <c r="P104" s="938"/>
      <c r="Q104" s="938"/>
      <c r="R104" s="948"/>
      <c r="S104" s="948"/>
      <c r="T104" s="948"/>
      <c r="U104" s="948"/>
      <c r="V104" s="948"/>
      <c r="W104" s="948"/>
      <c r="X104" s="948"/>
      <c r="Y104" s="948"/>
      <c r="Z104" s="948"/>
      <c r="AA104" s="948"/>
      <c r="AB104" s="948"/>
      <c r="AC104" s="948"/>
      <c r="AD104" s="948"/>
      <c r="AE104" s="948"/>
      <c r="AF104" s="948"/>
    </row>
    <row r="105" spans="1:32" ht="13.8">
      <c r="A105" s="938"/>
      <c r="B105" s="938" t="s">
        <v>1088</v>
      </c>
      <c r="C105" s="942">
        <f>ROUND($G$44/1000,0)</f>
        <v>3</v>
      </c>
      <c r="D105" s="943">
        <v>0</v>
      </c>
      <c r="E105" s="944">
        <f>$G$89</f>
        <v>2876.28079828411</v>
      </c>
      <c r="F105" s="943">
        <v>0</v>
      </c>
      <c r="G105" s="938"/>
      <c r="H105" s="938"/>
      <c r="I105" s="938"/>
      <c r="J105" s="938"/>
      <c r="K105" s="938"/>
      <c r="L105" s="938"/>
      <c r="M105" s="938"/>
      <c r="N105" s="938"/>
      <c r="O105" s="938"/>
      <c r="P105" s="938"/>
      <c r="Q105" s="938"/>
      <c r="R105" s="948"/>
      <c r="S105" s="948"/>
      <c r="T105" s="948"/>
      <c r="U105" s="948"/>
      <c r="V105" s="948"/>
      <c r="W105" s="948"/>
      <c r="X105" s="948"/>
      <c r="Y105" s="948"/>
      <c r="Z105" s="948"/>
      <c r="AA105" s="948"/>
      <c r="AB105" s="948"/>
      <c r="AC105" s="948"/>
      <c r="AD105" s="948"/>
      <c r="AE105" s="948"/>
      <c r="AF105" s="948"/>
    </row>
    <row r="106" spans="1:32" ht="13.8">
      <c r="A106" s="938"/>
      <c r="B106" s="938" t="s">
        <v>986</v>
      </c>
      <c r="C106" s="942">
        <f>-ROUND($G$45/1000,0)</f>
        <v>-10</v>
      </c>
      <c r="D106" s="944">
        <f>$G$91</f>
        <v>-7111.9576633216402</v>
      </c>
      <c r="E106" s="943">
        <v>0</v>
      </c>
      <c r="F106" s="943">
        <v>0</v>
      </c>
      <c r="G106" s="938"/>
      <c r="H106" s="938"/>
      <c r="I106" s="938"/>
      <c r="J106" s="938"/>
      <c r="K106" s="938"/>
      <c r="L106" s="938"/>
      <c r="M106" s="938"/>
      <c r="N106" s="938"/>
      <c r="O106" s="938"/>
      <c r="P106" s="938"/>
      <c r="Q106" s="938"/>
      <c r="R106" s="948"/>
      <c r="S106" s="948"/>
      <c r="T106" s="948"/>
      <c r="U106" s="948"/>
      <c r="V106" s="948"/>
      <c r="W106" s="948"/>
      <c r="X106" s="948"/>
      <c r="Y106" s="948"/>
      <c r="Z106" s="948"/>
      <c r="AA106" s="948"/>
      <c r="AB106" s="948"/>
      <c r="AC106" s="948"/>
      <c r="AD106" s="948"/>
      <c r="AE106" s="948"/>
      <c r="AF106" s="948"/>
    </row>
    <row r="107" spans="1:32" ht="13.8">
      <c r="A107" s="938"/>
      <c r="B107" s="938" t="s">
        <v>268</v>
      </c>
      <c r="C107" s="946">
        <f>ROUND($G$49/1000,0)</f>
        <v>-7</v>
      </c>
      <c r="D107" s="943">
        <v>0</v>
      </c>
      <c r="E107" s="944">
        <f>$G$92</f>
        <v>0</v>
      </c>
      <c r="F107" s="943">
        <v>0</v>
      </c>
      <c r="G107" s="938"/>
      <c r="H107" s="938"/>
      <c r="I107" s="938"/>
      <c r="J107" s="938"/>
      <c r="K107" s="938"/>
      <c r="L107" s="938"/>
      <c r="M107" s="938"/>
      <c r="N107" s="938"/>
      <c r="O107" s="938"/>
      <c r="P107" s="938"/>
      <c r="Q107" s="938"/>
      <c r="R107" s="948"/>
      <c r="S107" s="948"/>
      <c r="T107" s="948"/>
      <c r="U107" s="948"/>
      <c r="V107" s="948"/>
      <c r="W107" s="948"/>
      <c r="X107" s="948"/>
      <c r="Y107" s="948"/>
      <c r="Z107" s="948"/>
      <c r="AA107" s="948"/>
      <c r="AB107" s="948"/>
      <c r="AC107" s="948"/>
      <c r="AD107" s="948"/>
      <c r="AE107" s="948"/>
      <c r="AF107" s="948"/>
    </row>
    <row r="108" spans="1:32" ht="13.8">
      <c r="A108" s="938"/>
      <c r="B108" s="938" t="s">
        <v>268</v>
      </c>
      <c r="C108" s="943">
        <v>0</v>
      </c>
      <c r="D108" s="943">
        <v>0</v>
      </c>
      <c r="E108" s="943">
        <v>0</v>
      </c>
      <c r="F108" s="944">
        <f>$G$96</f>
        <v>0</v>
      </c>
      <c r="G108" s="938"/>
      <c r="H108" s="938"/>
      <c r="I108" s="938"/>
      <c r="J108" s="938"/>
      <c r="K108" s="938"/>
      <c r="L108" s="938"/>
      <c r="M108" s="938"/>
      <c r="N108" s="938"/>
      <c r="O108" s="938"/>
      <c r="P108" s="938"/>
      <c r="Q108" s="938"/>
      <c r="R108" s="948"/>
      <c r="S108" s="948"/>
      <c r="T108" s="948"/>
      <c r="U108" s="948"/>
      <c r="V108" s="948"/>
      <c r="W108" s="948"/>
      <c r="X108" s="948"/>
      <c r="Y108" s="948"/>
      <c r="Z108" s="948"/>
      <c r="AA108" s="948"/>
      <c r="AB108" s="948"/>
      <c r="AC108" s="948"/>
      <c r="AD108" s="948"/>
      <c r="AE108" s="948"/>
      <c r="AF108" s="948"/>
    </row>
    <row r="109" spans="1:32" ht="13.8">
      <c r="A109" s="938"/>
      <c r="B109" s="938"/>
      <c r="C109" s="938"/>
      <c r="D109" s="938"/>
      <c r="E109" s="938"/>
      <c r="F109" s="938"/>
      <c r="G109" s="938"/>
      <c r="H109" s="938"/>
      <c r="I109" s="938"/>
      <c r="J109" s="938"/>
      <c r="K109" s="938"/>
      <c r="L109" s="938"/>
      <c r="M109" s="938"/>
      <c r="N109" s="938"/>
      <c r="O109" s="938"/>
      <c r="P109" s="938"/>
      <c r="Q109" s="938"/>
      <c r="R109" s="948"/>
      <c r="S109" s="948"/>
      <c r="T109" s="948"/>
      <c r="U109" s="948"/>
      <c r="V109" s="948"/>
      <c r="W109" s="948"/>
      <c r="X109" s="948"/>
      <c r="Y109" s="948"/>
      <c r="Z109" s="948"/>
      <c r="AA109" s="948"/>
      <c r="AB109" s="948"/>
      <c r="AC109" s="948"/>
      <c r="AD109" s="948"/>
      <c r="AE109" s="948"/>
      <c r="AF109" s="948"/>
    </row>
    <row r="110" spans="1:32" ht="13.8">
      <c r="A110" s="938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4"/>
      <c r="P110" s="674"/>
      <c r="Q110" s="674"/>
      <c r="R110" s="948"/>
      <c r="S110" s="948"/>
      <c r="T110" s="948"/>
      <c r="U110" s="948"/>
      <c r="V110" s="948"/>
      <c r="W110" s="948"/>
      <c r="X110" s="948"/>
      <c r="Y110" s="948"/>
      <c r="Z110" s="948"/>
      <c r="AA110" s="948"/>
      <c r="AB110" s="948"/>
      <c r="AC110" s="948"/>
      <c r="AD110" s="948"/>
      <c r="AE110" s="948"/>
      <c r="AF110" s="948"/>
    </row>
    <row r="111" spans="1:32" ht="13.8">
      <c r="A111" s="938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4"/>
      <c r="P111" s="674"/>
      <c r="Q111" s="674"/>
      <c r="R111" s="948"/>
      <c r="S111" s="948"/>
      <c r="T111" s="948"/>
      <c r="U111" s="948"/>
      <c r="V111" s="948"/>
      <c r="W111" s="948"/>
      <c r="X111" s="948"/>
      <c r="Y111" s="948"/>
      <c r="Z111" s="948"/>
      <c r="AA111" s="948"/>
      <c r="AB111" s="948"/>
      <c r="AC111" s="948"/>
      <c r="AD111" s="948"/>
      <c r="AE111" s="948"/>
      <c r="AF111" s="948"/>
    </row>
    <row r="112" spans="1:32" ht="13.8">
      <c r="A112" s="938"/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292"/>
      <c r="R112" s="948"/>
      <c r="S112" s="948"/>
      <c r="T112" s="948"/>
      <c r="U112" s="948"/>
      <c r="V112" s="948"/>
      <c r="W112" s="948"/>
      <c r="X112" s="948"/>
      <c r="Y112" s="948"/>
      <c r="Z112" s="948"/>
      <c r="AA112" s="948"/>
      <c r="AB112" s="948"/>
      <c r="AC112" s="948"/>
      <c r="AD112" s="948"/>
      <c r="AE112" s="948"/>
      <c r="AF112" s="948"/>
    </row>
    <row r="113" spans="1:32" ht="13.8">
      <c r="A113" s="938"/>
      <c r="B113" s="674"/>
      <c r="C113" s="674"/>
      <c r="D113" s="674"/>
      <c r="E113" s="674"/>
      <c r="F113" s="674"/>
      <c r="G113" s="674"/>
      <c r="H113" s="674"/>
      <c r="I113" s="674"/>
      <c r="J113" s="674"/>
      <c r="K113" s="674"/>
      <c r="L113" s="674"/>
      <c r="M113" s="674"/>
      <c r="N113" s="674"/>
      <c r="O113" s="674"/>
      <c r="P113" s="674"/>
      <c r="Q113" s="292"/>
      <c r="R113" s="948"/>
      <c r="S113" s="948"/>
      <c r="T113" s="948"/>
      <c r="U113" s="948"/>
      <c r="V113" s="948"/>
      <c r="W113" s="948"/>
      <c r="X113" s="948"/>
      <c r="Y113" s="948"/>
      <c r="Z113" s="948"/>
      <c r="AA113" s="948"/>
      <c r="AB113" s="948"/>
      <c r="AC113" s="948"/>
      <c r="AD113" s="948"/>
      <c r="AE113" s="948"/>
      <c r="AF113" s="948"/>
    </row>
    <row r="114" spans="1:32" ht="13.8">
      <c r="A114" s="938"/>
      <c r="B114" s="674"/>
      <c r="C114" s="674"/>
      <c r="D114" s="674"/>
      <c r="E114" s="674"/>
      <c r="F114" s="674"/>
      <c r="G114" s="674"/>
      <c r="H114" s="674"/>
      <c r="I114" s="674"/>
      <c r="J114" s="674"/>
      <c r="K114" s="674"/>
      <c r="L114" s="674"/>
      <c r="M114" s="674"/>
      <c r="N114" s="674"/>
      <c r="O114" s="674"/>
      <c r="P114" s="674"/>
      <c r="Q114" s="292"/>
      <c r="R114" s="948"/>
      <c r="S114" s="948"/>
      <c r="T114" s="948"/>
      <c r="U114" s="948"/>
      <c r="V114" s="948"/>
      <c r="W114" s="948"/>
      <c r="X114" s="948"/>
      <c r="Y114" s="948"/>
      <c r="Z114" s="948"/>
      <c r="AA114" s="948"/>
      <c r="AB114" s="948"/>
      <c r="AC114" s="948"/>
      <c r="AD114" s="948"/>
      <c r="AE114" s="948"/>
      <c r="AF114" s="948"/>
    </row>
    <row r="115" spans="1:32" ht="13.8">
      <c r="A115" s="938"/>
      <c r="B115" s="674"/>
      <c r="C115" s="674"/>
      <c r="D115" s="674"/>
      <c r="E115" s="674"/>
      <c r="F115" s="674"/>
      <c r="G115" s="674"/>
      <c r="H115" s="674"/>
      <c r="I115" s="674"/>
      <c r="J115" s="674"/>
      <c r="K115" s="674"/>
      <c r="L115" s="674"/>
      <c r="M115" s="674"/>
      <c r="N115" s="674"/>
      <c r="O115" s="674"/>
      <c r="P115" s="674"/>
      <c r="Q115" s="292"/>
      <c r="R115" s="948"/>
      <c r="S115" s="948"/>
      <c r="T115" s="948"/>
      <c r="U115" s="948"/>
      <c r="V115" s="948"/>
      <c r="W115" s="948"/>
      <c r="X115" s="948"/>
      <c r="Y115" s="948"/>
      <c r="Z115" s="948"/>
      <c r="AA115" s="948"/>
      <c r="AB115" s="948"/>
      <c r="AC115" s="948"/>
      <c r="AD115" s="948"/>
      <c r="AE115" s="948"/>
      <c r="AF115" s="948"/>
    </row>
    <row r="116" spans="1:32" ht="13.8">
      <c r="A116" s="938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4"/>
      <c r="P116" s="674"/>
      <c r="Q116" s="292"/>
      <c r="R116" s="948"/>
      <c r="S116" s="948"/>
      <c r="T116" s="948"/>
      <c r="U116" s="948"/>
      <c r="V116" s="948"/>
      <c r="W116" s="948"/>
      <c r="X116" s="948"/>
      <c r="Y116" s="948"/>
      <c r="Z116" s="948"/>
      <c r="AA116" s="948"/>
      <c r="AB116" s="948"/>
      <c r="AC116" s="948"/>
      <c r="AD116" s="948"/>
      <c r="AE116" s="948"/>
      <c r="AF116" s="948"/>
    </row>
    <row r="117" spans="1:32" ht="13.8">
      <c r="A117" s="938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4"/>
      <c r="P117" s="674"/>
      <c r="Q117" s="292"/>
      <c r="R117" s="948"/>
      <c r="S117" s="948"/>
      <c r="T117" s="948"/>
      <c r="U117" s="948"/>
      <c r="V117" s="948"/>
      <c r="W117" s="948"/>
      <c r="X117" s="948"/>
      <c r="Y117" s="948"/>
      <c r="Z117" s="948"/>
      <c r="AA117" s="948"/>
      <c r="AB117" s="948"/>
      <c r="AC117" s="948"/>
      <c r="AD117" s="948"/>
      <c r="AE117" s="948"/>
      <c r="AF117" s="948"/>
    </row>
    <row r="118" spans="1:32" ht="13.8">
      <c r="A118" s="938"/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292"/>
      <c r="R118" s="948"/>
      <c r="S118" s="948"/>
      <c r="T118" s="948"/>
      <c r="U118" s="948"/>
      <c r="V118" s="948"/>
      <c r="W118" s="948"/>
      <c r="X118" s="948"/>
      <c r="Y118" s="948"/>
      <c r="Z118" s="948"/>
      <c r="AA118" s="948"/>
      <c r="AB118" s="948"/>
      <c r="AC118" s="948"/>
      <c r="AD118" s="948"/>
      <c r="AE118" s="948"/>
      <c r="AF118" s="948"/>
    </row>
    <row r="119" spans="1:32" ht="13.8">
      <c r="A119" s="938"/>
      <c r="B119" s="674"/>
      <c r="C119" s="674"/>
      <c r="D119" s="674"/>
      <c r="E119" s="674"/>
      <c r="F119" s="674"/>
      <c r="G119" s="674"/>
      <c r="H119" s="674"/>
      <c r="I119" s="674"/>
      <c r="J119" s="674"/>
      <c r="K119" s="674"/>
      <c r="L119" s="674"/>
      <c r="M119" s="674"/>
      <c r="N119" s="674"/>
      <c r="O119" s="674"/>
      <c r="P119" s="674"/>
      <c r="Q119" s="292"/>
      <c r="R119" s="948"/>
      <c r="S119" s="948"/>
      <c r="T119" s="948"/>
      <c r="U119" s="948"/>
      <c r="V119" s="948"/>
      <c r="W119" s="948"/>
      <c r="X119" s="948"/>
      <c r="Y119" s="948"/>
      <c r="Z119" s="948"/>
      <c r="AA119" s="948"/>
      <c r="AB119" s="948"/>
      <c r="AC119" s="948"/>
      <c r="AD119" s="948"/>
      <c r="AE119" s="948"/>
      <c r="AF119" s="948"/>
    </row>
    <row r="120" spans="1:32" ht="13.8">
      <c r="A120" s="938"/>
      <c r="B120" s="674"/>
      <c r="C120" s="674"/>
      <c r="D120" s="674"/>
      <c r="E120" s="674"/>
      <c r="F120" s="674"/>
      <c r="G120" s="674"/>
      <c r="H120" s="674"/>
      <c r="I120" s="674"/>
      <c r="J120" s="674"/>
      <c r="K120" s="674"/>
      <c r="L120" s="674"/>
      <c r="M120" s="674"/>
      <c r="N120" s="674"/>
      <c r="O120" s="674"/>
      <c r="P120" s="674"/>
      <c r="Q120" s="292"/>
      <c r="R120" s="948"/>
      <c r="S120" s="948"/>
      <c r="T120" s="948"/>
      <c r="U120" s="948"/>
      <c r="V120" s="948"/>
      <c r="W120" s="948"/>
      <c r="X120" s="948"/>
      <c r="Y120" s="948"/>
      <c r="Z120" s="948"/>
      <c r="AA120" s="948"/>
      <c r="AB120" s="948"/>
      <c r="AC120" s="948"/>
      <c r="AD120" s="948"/>
      <c r="AE120" s="948"/>
      <c r="AF120" s="948"/>
    </row>
    <row r="121" spans="1:32" ht="13.8">
      <c r="A121" s="938"/>
      <c r="B121" s="674"/>
      <c r="C121" s="674"/>
      <c r="D121" s="674"/>
      <c r="E121" s="674"/>
      <c r="F121" s="674"/>
      <c r="G121" s="674"/>
      <c r="H121" s="674"/>
      <c r="I121" s="674"/>
      <c r="J121" s="674"/>
      <c r="K121" s="674"/>
      <c r="L121" s="674"/>
      <c r="M121" s="674"/>
      <c r="N121" s="674"/>
      <c r="O121" s="674"/>
      <c r="P121" s="674"/>
      <c r="Q121" s="292"/>
      <c r="R121" s="948"/>
      <c r="S121" s="948"/>
      <c r="T121" s="948"/>
      <c r="U121" s="948"/>
      <c r="V121" s="948"/>
      <c r="W121" s="948"/>
      <c r="X121" s="948"/>
      <c r="Y121" s="948"/>
      <c r="Z121" s="948"/>
      <c r="AA121" s="948"/>
      <c r="AB121" s="948"/>
      <c r="AC121" s="948"/>
      <c r="AD121" s="948"/>
      <c r="AE121" s="948"/>
      <c r="AF121" s="948"/>
    </row>
    <row r="122" spans="1:32" ht="13.8">
      <c r="A122" s="938"/>
      <c r="B122" s="674"/>
      <c r="C122" s="674"/>
      <c r="D122" s="674"/>
      <c r="E122" s="674"/>
      <c r="F122" s="674"/>
      <c r="G122" s="674"/>
      <c r="H122" s="674"/>
      <c r="I122" s="674"/>
      <c r="J122" s="674"/>
      <c r="K122" s="674"/>
      <c r="L122" s="674"/>
      <c r="M122" s="674"/>
      <c r="N122" s="674"/>
      <c r="O122" s="674"/>
      <c r="P122" s="674"/>
      <c r="Q122" s="292"/>
      <c r="R122" s="948"/>
      <c r="S122" s="948"/>
      <c r="T122" s="948"/>
      <c r="U122" s="948"/>
      <c r="V122" s="948"/>
      <c r="W122" s="948"/>
      <c r="X122" s="948"/>
      <c r="Y122" s="948"/>
      <c r="Z122" s="948"/>
      <c r="AA122" s="948"/>
      <c r="AB122" s="948"/>
      <c r="AC122" s="948"/>
      <c r="AD122" s="948"/>
      <c r="AE122" s="948"/>
      <c r="AF122" s="948"/>
    </row>
    <row r="123" spans="1:32" ht="13.8">
      <c r="A123" s="938"/>
      <c r="B123" s="674"/>
      <c r="C123" s="674"/>
      <c r="D123" s="674"/>
      <c r="E123" s="674"/>
      <c r="F123" s="674"/>
      <c r="G123" s="674"/>
      <c r="H123" s="674"/>
      <c r="I123" s="674"/>
      <c r="J123" s="674"/>
      <c r="K123" s="674"/>
      <c r="L123" s="674"/>
      <c r="M123" s="674"/>
      <c r="N123" s="674"/>
      <c r="O123" s="674"/>
      <c r="P123" s="674"/>
      <c r="Q123" s="292"/>
      <c r="R123" s="948"/>
      <c r="S123" s="948"/>
      <c r="T123" s="948"/>
      <c r="U123" s="948"/>
      <c r="V123" s="948"/>
      <c r="W123" s="948"/>
      <c r="X123" s="948"/>
      <c r="Y123" s="948"/>
      <c r="Z123" s="948"/>
      <c r="AA123" s="948"/>
      <c r="AB123" s="948"/>
      <c r="AC123" s="948"/>
      <c r="AD123" s="948"/>
      <c r="AE123" s="948"/>
      <c r="AF123" s="948"/>
    </row>
    <row r="124" spans="1:32" ht="13.8">
      <c r="A124" s="938"/>
      <c r="B124" s="674"/>
      <c r="C124" s="674"/>
      <c r="D124" s="674"/>
      <c r="E124" s="674"/>
      <c r="F124" s="674"/>
      <c r="G124" s="674"/>
      <c r="H124" s="674"/>
      <c r="I124" s="674"/>
      <c r="J124" s="674"/>
      <c r="K124" s="674"/>
      <c r="L124" s="674"/>
      <c r="M124" s="674"/>
      <c r="N124" s="674"/>
      <c r="O124" s="674"/>
      <c r="P124" s="674"/>
      <c r="Q124" s="292"/>
      <c r="R124" s="948"/>
      <c r="S124" s="948"/>
      <c r="T124" s="948"/>
      <c r="U124" s="948"/>
      <c r="V124" s="948"/>
      <c r="W124" s="948"/>
      <c r="X124" s="948"/>
      <c r="Y124" s="948"/>
      <c r="Z124" s="948"/>
      <c r="AA124" s="948"/>
      <c r="AB124" s="948"/>
      <c r="AC124" s="948"/>
      <c r="AD124" s="948"/>
      <c r="AE124" s="948"/>
      <c r="AF124" s="948"/>
    </row>
    <row r="125" spans="1:32" ht="13.8">
      <c r="A125" s="938"/>
      <c r="B125" s="674"/>
      <c r="C125" s="674"/>
      <c r="D125" s="674"/>
      <c r="E125" s="674"/>
      <c r="F125" s="674"/>
      <c r="G125" s="674"/>
      <c r="H125" s="674"/>
      <c r="I125" s="674"/>
      <c r="J125" s="674"/>
      <c r="K125" s="674"/>
      <c r="L125" s="674"/>
      <c r="M125" s="674"/>
      <c r="N125" s="674"/>
      <c r="O125" s="674"/>
      <c r="P125" s="674"/>
      <c r="Q125" s="293"/>
      <c r="R125" s="948"/>
      <c r="S125" s="948"/>
      <c r="T125" s="948"/>
      <c r="U125" s="948"/>
      <c r="V125" s="948"/>
      <c r="W125" s="948"/>
      <c r="X125" s="948"/>
      <c r="Y125" s="948"/>
      <c r="Z125" s="948"/>
      <c r="AA125" s="948"/>
      <c r="AB125" s="948"/>
      <c r="AC125" s="948"/>
      <c r="AD125" s="948"/>
      <c r="AE125" s="948"/>
      <c r="AF125" s="948"/>
    </row>
    <row r="126" spans="1:32" ht="13.8">
      <c r="A126" s="938"/>
      <c r="B126" s="674"/>
      <c r="C126" s="674"/>
      <c r="D126" s="674"/>
      <c r="E126" s="674"/>
      <c r="F126" s="674"/>
      <c r="G126" s="674"/>
      <c r="H126" s="674"/>
      <c r="I126" s="674"/>
      <c r="J126" s="674"/>
      <c r="K126" s="674"/>
      <c r="L126" s="674"/>
      <c r="M126" s="674"/>
      <c r="N126" s="674"/>
      <c r="O126" s="674"/>
      <c r="P126" s="674"/>
      <c r="Q126" s="292"/>
      <c r="R126" s="948"/>
      <c r="S126" s="948"/>
      <c r="T126" s="948"/>
      <c r="U126" s="948"/>
      <c r="V126" s="948"/>
      <c r="W126" s="948"/>
      <c r="X126" s="948"/>
      <c r="Y126" s="948"/>
      <c r="Z126" s="948"/>
      <c r="AA126" s="948"/>
      <c r="AB126" s="948"/>
      <c r="AC126" s="948"/>
      <c r="AD126" s="948"/>
      <c r="AE126" s="948"/>
      <c r="AF126" s="948"/>
    </row>
    <row r="127" spans="1:32" ht="13.8">
      <c r="A127" s="938"/>
      <c r="B127" s="674"/>
      <c r="C127" s="674"/>
      <c r="D127" s="674"/>
      <c r="E127" s="674"/>
      <c r="F127" s="674"/>
      <c r="G127" s="674"/>
      <c r="H127" s="674"/>
      <c r="I127" s="674"/>
      <c r="J127" s="674"/>
      <c r="K127" s="674"/>
      <c r="L127" s="674"/>
      <c r="M127" s="674"/>
      <c r="N127" s="674"/>
      <c r="O127" s="674"/>
      <c r="P127" s="674"/>
      <c r="Q127" s="292"/>
      <c r="R127" s="948"/>
      <c r="S127" s="948"/>
      <c r="T127" s="948"/>
      <c r="U127" s="948"/>
      <c r="V127" s="948"/>
      <c r="W127" s="948"/>
      <c r="X127" s="948"/>
      <c r="Y127" s="948"/>
      <c r="Z127" s="948"/>
      <c r="AA127" s="948"/>
      <c r="AB127" s="948"/>
      <c r="AC127" s="948"/>
      <c r="AD127" s="948"/>
      <c r="AE127" s="948"/>
      <c r="AF127" s="948"/>
    </row>
    <row r="128" spans="1:32" ht="13.8">
      <c r="A128" s="938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4"/>
      <c r="P128" s="674"/>
      <c r="Q128" s="292"/>
      <c r="R128" s="948"/>
      <c r="S128" s="948"/>
      <c r="T128" s="948"/>
      <c r="U128" s="948"/>
      <c r="V128" s="948"/>
      <c r="W128" s="948"/>
      <c r="X128" s="948"/>
      <c r="Y128" s="948"/>
      <c r="Z128" s="948"/>
      <c r="AA128" s="948"/>
      <c r="AB128" s="948"/>
      <c r="AC128" s="948"/>
      <c r="AD128" s="948"/>
      <c r="AE128" s="948"/>
      <c r="AF128" s="948"/>
    </row>
    <row r="129" spans="1:32" ht="13.8">
      <c r="A129" s="938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4"/>
      <c r="P129" s="674"/>
      <c r="Q129" s="292"/>
      <c r="R129" s="948"/>
      <c r="S129" s="948"/>
      <c r="T129" s="948"/>
      <c r="U129" s="948"/>
      <c r="V129" s="948"/>
      <c r="W129" s="948"/>
      <c r="X129" s="948"/>
      <c r="Y129" s="948"/>
      <c r="Z129" s="948"/>
      <c r="AA129" s="948"/>
      <c r="AB129" s="948"/>
      <c r="AC129" s="948"/>
      <c r="AD129" s="948"/>
      <c r="AE129" s="948"/>
      <c r="AF129" s="948"/>
    </row>
    <row r="130" spans="1:32" ht="13.8">
      <c r="A130" s="938"/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292"/>
      <c r="R130" s="948"/>
      <c r="S130" s="948"/>
      <c r="T130" s="948"/>
      <c r="U130" s="948"/>
      <c r="V130" s="948"/>
      <c r="W130" s="948"/>
      <c r="X130" s="948"/>
      <c r="Y130" s="948"/>
      <c r="Z130" s="948"/>
      <c r="AA130" s="948"/>
      <c r="AB130" s="948"/>
      <c r="AC130" s="948"/>
      <c r="AD130" s="948"/>
      <c r="AE130" s="948"/>
      <c r="AF130" s="948"/>
    </row>
    <row r="131" spans="1:32" ht="13.8">
      <c r="A131" s="938"/>
      <c r="B131" s="674"/>
      <c r="C131" s="674"/>
      <c r="D131" s="674"/>
      <c r="E131" s="674"/>
      <c r="F131" s="674"/>
      <c r="G131" s="674"/>
      <c r="H131" s="674"/>
      <c r="I131" s="674"/>
      <c r="J131" s="674"/>
      <c r="K131" s="674"/>
      <c r="L131" s="674"/>
      <c r="M131" s="674"/>
      <c r="N131" s="674"/>
      <c r="O131" s="674"/>
      <c r="P131" s="674"/>
      <c r="Q131" s="292"/>
      <c r="R131" s="948"/>
      <c r="S131" s="948"/>
      <c r="T131" s="948"/>
      <c r="U131" s="948"/>
      <c r="V131" s="948"/>
      <c r="W131" s="948"/>
      <c r="X131" s="948"/>
      <c r="Y131" s="948"/>
      <c r="Z131" s="948"/>
      <c r="AA131" s="948"/>
      <c r="AB131" s="948"/>
      <c r="AC131" s="948"/>
      <c r="AD131" s="948"/>
      <c r="AE131" s="948"/>
      <c r="AF131" s="948"/>
    </row>
    <row r="132" spans="1:32" ht="13.8">
      <c r="A132" s="938"/>
      <c r="B132" s="674"/>
      <c r="C132" s="674"/>
      <c r="D132" s="674"/>
      <c r="E132" s="674"/>
      <c r="F132" s="674"/>
      <c r="G132" s="674"/>
      <c r="H132" s="674"/>
      <c r="I132" s="674"/>
      <c r="J132" s="674"/>
      <c r="K132" s="674"/>
      <c r="L132" s="674"/>
      <c r="M132" s="674"/>
      <c r="N132" s="674"/>
      <c r="O132" s="674"/>
      <c r="P132" s="674"/>
      <c r="Q132" s="292"/>
      <c r="R132" s="948"/>
      <c r="S132" s="948"/>
      <c r="T132" s="948"/>
      <c r="U132" s="948"/>
      <c r="V132" s="948"/>
      <c r="W132" s="948"/>
      <c r="X132" s="948"/>
      <c r="Y132" s="948"/>
      <c r="Z132" s="948"/>
      <c r="AA132" s="948"/>
      <c r="AB132" s="948"/>
      <c r="AC132" s="948"/>
      <c r="AD132" s="948"/>
      <c r="AE132" s="948"/>
      <c r="AF132" s="948"/>
    </row>
    <row r="133" spans="1:32" ht="13.8">
      <c r="A133" s="938"/>
      <c r="B133" s="938"/>
      <c r="C133" s="938"/>
      <c r="D133" s="938"/>
      <c r="E133" s="938"/>
      <c r="F133" s="938"/>
      <c r="G133" s="938"/>
      <c r="H133" s="938"/>
      <c r="I133" s="938"/>
      <c r="J133" s="938"/>
      <c r="K133" s="938"/>
      <c r="L133" s="938"/>
      <c r="M133" s="938"/>
      <c r="N133" s="938"/>
      <c r="O133" s="938"/>
      <c r="P133" s="938"/>
      <c r="Q133" s="938"/>
      <c r="R133" s="948"/>
      <c r="S133" s="948"/>
      <c r="T133" s="948"/>
      <c r="U133" s="948"/>
      <c r="V133" s="948"/>
      <c r="W133" s="948"/>
      <c r="X133" s="948"/>
      <c r="Y133" s="948"/>
      <c r="Z133" s="948"/>
      <c r="AA133" s="948"/>
      <c r="AB133" s="948"/>
      <c r="AC133" s="948"/>
      <c r="AD133" s="948"/>
      <c r="AE133" s="948"/>
      <c r="AF133" s="948"/>
    </row>
    <row r="134" spans="1:32" ht="13.8">
      <c r="A134" s="938"/>
      <c r="B134" s="938"/>
      <c r="C134" s="938"/>
      <c r="D134" s="938"/>
      <c r="E134" s="938"/>
      <c r="F134" s="938"/>
      <c r="G134" s="938"/>
      <c r="H134" s="938"/>
      <c r="I134" s="938"/>
      <c r="J134" s="938"/>
      <c r="K134" s="938"/>
      <c r="L134" s="938"/>
      <c r="M134" s="938"/>
      <c r="N134" s="938"/>
      <c r="O134" s="938"/>
      <c r="P134" s="938"/>
      <c r="Q134" s="938"/>
      <c r="R134" s="948"/>
      <c r="S134" s="948"/>
      <c r="T134" s="948"/>
      <c r="U134" s="948"/>
      <c r="V134" s="948"/>
      <c r="W134" s="948"/>
      <c r="X134" s="948"/>
      <c r="Y134" s="948"/>
      <c r="Z134" s="948"/>
      <c r="AA134" s="948"/>
      <c r="AB134" s="948"/>
      <c r="AC134" s="948"/>
      <c r="AD134" s="948"/>
      <c r="AE134" s="948"/>
      <c r="AF134" s="948"/>
    </row>
    <row r="135" spans="1:32" ht="13.8">
      <c r="A135" s="938"/>
      <c r="B135" s="938"/>
      <c r="C135" s="938"/>
      <c r="D135" s="938"/>
      <c r="E135" s="938"/>
      <c r="F135" s="938"/>
      <c r="G135" s="938"/>
      <c r="H135" s="938"/>
      <c r="I135" s="938"/>
      <c r="J135" s="938"/>
      <c r="K135" s="938"/>
      <c r="L135" s="938"/>
      <c r="M135" s="938"/>
      <c r="N135" s="938"/>
      <c r="O135" s="938"/>
      <c r="P135" s="938"/>
      <c r="Q135" s="938"/>
      <c r="R135" s="948"/>
      <c r="S135" s="948"/>
      <c r="T135" s="948"/>
      <c r="U135" s="948"/>
      <c r="V135" s="948"/>
      <c r="W135" s="948"/>
      <c r="X135" s="948"/>
      <c r="Y135" s="948"/>
      <c r="Z135" s="948"/>
      <c r="AA135" s="948"/>
      <c r="AB135" s="948"/>
      <c r="AC135" s="948"/>
      <c r="AD135" s="948"/>
      <c r="AE135" s="948"/>
      <c r="AF135" s="948"/>
    </row>
    <row r="136" spans="1:32" ht="13.8">
      <c r="A136" s="938"/>
      <c r="B136" s="938"/>
      <c r="C136" s="938"/>
      <c r="D136" s="938"/>
      <c r="E136" s="938"/>
      <c r="F136" s="938"/>
      <c r="G136" s="938"/>
      <c r="H136" s="938"/>
      <c r="I136" s="938"/>
      <c r="J136" s="938"/>
      <c r="K136" s="938"/>
      <c r="L136" s="938"/>
      <c r="M136" s="938"/>
      <c r="N136" s="938"/>
      <c r="O136" s="938"/>
      <c r="P136" s="938"/>
      <c r="Q136" s="938"/>
      <c r="R136" s="948"/>
      <c r="S136" s="948"/>
      <c r="T136" s="948"/>
      <c r="U136" s="948"/>
      <c r="V136" s="948"/>
      <c r="W136" s="948"/>
      <c r="X136" s="948"/>
      <c r="Y136" s="948"/>
      <c r="Z136" s="948"/>
      <c r="AA136" s="948"/>
      <c r="AB136" s="948"/>
      <c r="AC136" s="948"/>
      <c r="AD136" s="948"/>
      <c r="AE136" s="948"/>
      <c r="AF136" s="948"/>
    </row>
    <row r="137" spans="1:32" ht="13.8">
      <c r="A137" s="938"/>
      <c r="B137" s="938"/>
      <c r="C137" s="938"/>
      <c r="D137" s="938"/>
      <c r="E137" s="938"/>
      <c r="F137" s="938"/>
      <c r="G137" s="938"/>
      <c r="H137" s="938"/>
      <c r="I137" s="938"/>
      <c r="J137" s="938"/>
      <c r="K137" s="938"/>
      <c r="L137" s="938"/>
      <c r="M137" s="938"/>
      <c r="N137" s="938"/>
      <c r="O137" s="938"/>
      <c r="P137" s="938"/>
      <c r="Q137" s="938"/>
      <c r="R137" s="948"/>
      <c r="S137" s="948"/>
      <c r="T137" s="948"/>
      <c r="U137" s="948"/>
      <c r="V137" s="948"/>
      <c r="W137" s="948"/>
      <c r="X137" s="948"/>
      <c r="Y137" s="948"/>
      <c r="Z137" s="948"/>
      <c r="AA137" s="948"/>
      <c r="AB137" s="948"/>
      <c r="AC137" s="948"/>
      <c r="AD137" s="948"/>
      <c r="AE137" s="948"/>
      <c r="AF137" s="948"/>
    </row>
    <row r="138" spans="1:32" ht="13.8">
      <c r="A138" s="938"/>
      <c r="B138" s="938"/>
      <c r="C138" s="938"/>
      <c r="D138" s="938"/>
      <c r="E138" s="938"/>
      <c r="F138" s="938"/>
      <c r="G138" s="938"/>
      <c r="H138" s="938"/>
      <c r="I138" s="938"/>
      <c r="J138" s="938"/>
      <c r="K138" s="938"/>
      <c r="L138" s="938"/>
      <c r="M138" s="938"/>
      <c r="N138" s="938"/>
      <c r="O138" s="938"/>
      <c r="P138" s="938"/>
      <c r="Q138" s="938"/>
      <c r="R138" s="948"/>
      <c r="S138" s="948"/>
      <c r="T138" s="948"/>
      <c r="U138" s="948"/>
      <c r="V138" s="948"/>
      <c r="W138" s="948"/>
      <c r="X138" s="948"/>
      <c r="Y138" s="948"/>
      <c r="Z138" s="948"/>
      <c r="AA138" s="948"/>
      <c r="AB138" s="948"/>
      <c r="AC138" s="948"/>
      <c r="AD138" s="948"/>
      <c r="AE138" s="948"/>
      <c r="AF138" s="948"/>
    </row>
    <row r="139" spans="1:32" ht="13.8">
      <c r="A139" s="938"/>
      <c r="B139" s="938"/>
      <c r="C139" s="938"/>
      <c r="D139" s="938"/>
      <c r="E139" s="938"/>
      <c r="F139" s="938"/>
      <c r="G139" s="938"/>
      <c r="H139" s="938"/>
      <c r="I139" s="938"/>
      <c r="J139" s="938"/>
      <c r="K139" s="938"/>
      <c r="L139" s="938"/>
      <c r="M139" s="938"/>
      <c r="N139" s="938"/>
      <c r="O139" s="938"/>
      <c r="P139" s="938"/>
      <c r="Q139" s="938"/>
      <c r="R139" s="948"/>
      <c r="S139" s="948"/>
      <c r="T139" s="948"/>
      <c r="U139" s="948"/>
      <c r="V139" s="948"/>
      <c r="W139" s="948"/>
      <c r="X139" s="948"/>
      <c r="Y139" s="948"/>
      <c r="Z139" s="948"/>
      <c r="AA139" s="948"/>
      <c r="AB139" s="948"/>
      <c r="AC139" s="948"/>
      <c r="AD139" s="948"/>
      <c r="AE139" s="948"/>
      <c r="AF139" s="948"/>
    </row>
    <row r="140" spans="1:32" ht="14.4">
      <c r="A140" s="595"/>
      <c r="B140" s="570" t="s">
        <v>1089</v>
      </c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0"/>
      <c r="P140" s="570"/>
      <c r="Q140" s="595"/>
      <c r="R140" s="948"/>
      <c r="S140" s="948"/>
      <c r="T140" s="948"/>
      <c r="U140" s="948"/>
      <c r="V140" s="948"/>
      <c r="W140" s="948"/>
      <c r="X140" s="948"/>
      <c r="Y140" s="948"/>
      <c r="Z140" s="948"/>
      <c r="AA140" s="948"/>
      <c r="AB140" s="948"/>
      <c r="AC140" s="948"/>
      <c r="AD140" s="948"/>
      <c r="AE140" s="948"/>
      <c r="AF140" s="948"/>
    </row>
    <row r="141" spans="1:32">
      <c r="A141" s="939"/>
      <c r="B141" s="947" t="s">
        <v>1090</v>
      </c>
      <c r="C141" s="947"/>
      <c r="D141" s="947"/>
      <c r="E141" s="947"/>
      <c r="F141" s="947"/>
      <c r="G141" s="947"/>
      <c r="H141" s="947"/>
      <c r="I141" s="947"/>
      <c r="J141" s="947"/>
      <c r="K141" s="947"/>
      <c r="L141" s="947"/>
      <c r="M141" s="947"/>
      <c r="N141" s="947"/>
      <c r="O141" s="947"/>
      <c r="P141" s="947"/>
      <c r="Q141" s="939"/>
      <c r="R141" s="948"/>
      <c r="S141" s="948"/>
      <c r="T141" s="948"/>
      <c r="U141" s="948"/>
      <c r="V141" s="948"/>
      <c r="W141" s="948"/>
      <c r="X141" s="948"/>
      <c r="Y141" s="948"/>
      <c r="Z141" s="948"/>
      <c r="AA141" s="948"/>
      <c r="AB141" s="948"/>
      <c r="AC141" s="948"/>
      <c r="AD141" s="948"/>
      <c r="AE141" s="948"/>
      <c r="AF141" s="948"/>
    </row>
    <row r="142" spans="1:32" ht="13.8">
      <c r="A142" s="938"/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938"/>
      <c r="R142" s="948"/>
      <c r="S142" s="948"/>
      <c r="T142" s="948"/>
      <c r="U142" s="948"/>
      <c r="V142" s="948"/>
      <c r="W142" s="948"/>
      <c r="X142" s="948"/>
      <c r="Y142" s="948"/>
      <c r="Z142" s="948"/>
      <c r="AA142" s="948"/>
      <c r="AB142" s="948"/>
      <c r="AC142" s="948"/>
      <c r="AD142" s="948"/>
      <c r="AE142" s="948"/>
      <c r="AF142" s="948"/>
    </row>
    <row r="143" spans="1:32" ht="30" customHeight="1">
      <c r="A143" s="586"/>
      <c r="B143" s="461"/>
      <c r="C143" s="603" t="s">
        <v>1091</v>
      </c>
      <c r="D143" s="603"/>
      <c r="E143" s="603" t="s">
        <v>1093</v>
      </c>
      <c r="F143" s="603"/>
      <c r="G143" s="603" t="s">
        <v>1095</v>
      </c>
      <c r="H143" s="603"/>
      <c r="I143" s="603" t="s">
        <v>1097</v>
      </c>
      <c r="J143" s="603"/>
      <c r="K143" s="603" t="s">
        <v>1099</v>
      </c>
      <c r="L143" s="603"/>
      <c r="M143" s="603" t="s">
        <v>1101</v>
      </c>
      <c r="N143" s="603"/>
      <c r="O143" s="603" t="s">
        <v>1103</v>
      </c>
      <c r="P143" s="603"/>
      <c r="Q143" s="585"/>
      <c r="R143" s="948"/>
      <c r="S143" s="948"/>
      <c r="T143" s="948"/>
      <c r="U143" s="948"/>
      <c r="V143" s="948"/>
      <c r="W143" s="948"/>
      <c r="X143" s="948"/>
      <c r="Y143" s="948"/>
      <c r="Z143" s="948"/>
      <c r="AA143" s="948"/>
      <c r="AB143" s="948"/>
      <c r="AC143" s="948"/>
      <c r="AD143" s="948"/>
      <c r="AE143" s="948"/>
      <c r="AF143" s="948"/>
    </row>
    <row r="144" spans="1:32" ht="13.8">
      <c r="A144" s="938"/>
      <c r="B144" s="294"/>
      <c r="C144" s="297"/>
      <c r="D144" s="294"/>
      <c r="E144" s="298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938"/>
      <c r="R144" s="948"/>
      <c r="S144" s="948"/>
      <c r="T144" s="948"/>
      <c r="U144" s="948"/>
      <c r="V144" s="948"/>
      <c r="W144" s="948"/>
      <c r="X144" s="948"/>
      <c r="Y144" s="948"/>
      <c r="Z144" s="948"/>
      <c r="AA144" s="948"/>
      <c r="AB144" s="948"/>
      <c r="AC144" s="948"/>
      <c r="AD144" s="948"/>
      <c r="AE144" s="948"/>
      <c r="AF144" s="948"/>
    </row>
    <row r="145" spans="1:32" ht="13.8">
      <c r="A145" s="938"/>
      <c r="B145" s="294"/>
      <c r="C145" s="297"/>
      <c r="D145" s="294"/>
      <c r="E145" s="298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938"/>
      <c r="R145" s="948"/>
      <c r="S145" s="948"/>
      <c r="T145" s="948"/>
      <c r="U145" s="948"/>
      <c r="V145" s="948"/>
      <c r="W145" s="948"/>
      <c r="X145" s="948"/>
      <c r="Y145" s="948"/>
      <c r="Z145" s="948"/>
      <c r="AA145" s="948"/>
      <c r="AB145" s="948"/>
      <c r="AC145" s="948"/>
      <c r="AD145" s="948"/>
      <c r="AE145" s="948"/>
      <c r="AF145" s="948"/>
    </row>
    <row r="146" spans="1:32" ht="13.8">
      <c r="A146" s="938"/>
      <c r="B146" s="294"/>
      <c r="C146" s="297"/>
      <c r="D146" s="294"/>
      <c r="E146" s="298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938"/>
      <c r="R146" s="948"/>
      <c r="S146" s="948"/>
      <c r="T146" s="948"/>
      <c r="U146" s="948"/>
      <c r="V146" s="948"/>
      <c r="W146" s="948"/>
      <c r="X146" s="948"/>
      <c r="Y146" s="948"/>
      <c r="Z146" s="948"/>
      <c r="AA146" s="948"/>
      <c r="AB146" s="948"/>
      <c r="AC146" s="948"/>
      <c r="AD146" s="948"/>
      <c r="AE146" s="948"/>
      <c r="AF146" s="948"/>
    </row>
    <row r="147" spans="1:32" ht="13.8">
      <c r="A147" s="938"/>
      <c r="B147" s="294"/>
      <c r="C147" s="297"/>
      <c r="D147" s="294"/>
      <c r="E147" s="298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938"/>
      <c r="R147" s="948"/>
      <c r="S147" s="948"/>
      <c r="T147" s="948"/>
      <c r="U147" s="948"/>
      <c r="V147" s="948"/>
      <c r="W147" s="948"/>
      <c r="X147" s="948"/>
      <c r="Y147" s="948"/>
      <c r="Z147" s="948"/>
      <c r="AA147" s="948"/>
      <c r="AB147" s="948"/>
      <c r="AC147" s="948"/>
      <c r="AD147" s="948"/>
      <c r="AE147" s="948"/>
      <c r="AF147" s="948"/>
    </row>
    <row r="148" spans="1:32" ht="13.8">
      <c r="A148" s="938"/>
      <c r="B148" s="294"/>
      <c r="C148" s="297"/>
      <c r="D148" s="294"/>
      <c r="E148" s="294"/>
      <c r="F148" s="294"/>
      <c r="G148" s="298"/>
      <c r="H148" s="294"/>
      <c r="I148" s="294"/>
      <c r="J148" s="294"/>
      <c r="K148" s="294"/>
      <c r="L148" s="294"/>
      <c r="M148" s="294"/>
      <c r="N148" s="294"/>
      <c r="O148" s="294"/>
      <c r="P148" s="294"/>
      <c r="Q148" s="938"/>
      <c r="R148" s="948"/>
      <c r="S148" s="948"/>
      <c r="T148" s="948"/>
      <c r="U148" s="948"/>
      <c r="V148" s="948"/>
      <c r="W148" s="948"/>
      <c r="X148" s="948"/>
      <c r="Y148" s="948"/>
      <c r="Z148" s="948"/>
      <c r="AA148" s="948"/>
      <c r="AB148" s="948"/>
      <c r="AC148" s="948"/>
      <c r="AD148" s="948"/>
      <c r="AE148" s="948"/>
      <c r="AF148" s="948"/>
    </row>
    <row r="149" spans="1:32" ht="13.8">
      <c r="A149" s="938"/>
      <c r="B149" s="294"/>
      <c r="C149" s="297"/>
      <c r="D149" s="294"/>
      <c r="E149" s="294"/>
      <c r="F149" s="294"/>
      <c r="G149" s="298"/>
      <c r="H149" s="294"/>
      <c r="I149" s="294"/>
      <c r="J149" s="294"/>
      <c r="K149" s="294"/>
      <c r="L149" s="294"/>
      <c r="M149" s="294"/>
      <c r="N149" s="294"/>
      <c r="O149" s="294"/>
      <c r="P149" s="294"/>
      <c r="Q149" s="938"/>
      <c r="R149" s="948"/>
      <c r="S149" s="948"/>
      <c r="T149" s="948"/>
      <c r="U149" s="948"/>
      <c r="V149" s="948"/>
      <c r="W149" s="948"/>
      <c r="X149" s="948"/>
      <c r="Y149" s="948"/>
      <c r="Z149" s="948"/>
      <c r="AA149" s="948"/>
      <c r="AB149" s="948"/>
      <c r="AC149" s="948"/>
      <c r="AD149" s="948"/>
      <c r="AE149" s="948"/>
      <c r="AF149" s="948"/>
    </row>
    <row r="150" spans="1:32" ht="13.8">
      <c r="A150" s="938"/>
      <c r="B150" s="294"/>
      <c r="C150" s="297"/>
      <c r="D150" s="294"/>
      <c r="E150" s="294"/>
      <c r="F150" s="294"/>
      <c r="G150" s="298"/>
      <c r="H150" s="294"/>
      <c r="I150" s="294"/>
      <c r="J150" s="294"/>
      <c r="K150" s="294"/>
      <c r="L150" s="294"/>
      <c r="M150" s="294"/>
      <c r="N150" s="294"/>
      <c r="O150" s="294"/>
      <c r="P150" s="294"/>
      <c r="Q150" s="938"/>
      <c r="R150" s="948"/>
      <c r="S150" s="948"/>
      <c r="T150" s="948"/>
      <c r="U150" s="948"/>
      <c r="V150" s="948"/>
      <c r="W150" s="948"/>
      <c r="X150" s="948"/>
      <c r="Y150" s="948"/>
      <c r="Z150" s="948"/>
      <c r="AA150" s="948"/>
      <c r="AB150" s="948"/>
      <c r="AC150" s="948"/>
      <c r="AD150" s="948"/>
      <c r="AE150" s="948"/>
      <c r="AF150" s="948"/>
    </row>
    <row r="151" spans="1:32" ht="13.8">
      <c r="A151" s="938"/>
      <c r="B151" s="294"/>
      <c r="C151" s="297"/>
      <c r="D151" s="294"/>
      <c r="E151" s="294"/>
      <c r="F151" s="294"/>
      <c r="G151" s="298"/>
      <c r="H151" s="294"/>
      <c r="I151" s="294"/>
      <c r="J151" s="294"/>
      <c r="K151" s="294"/>
      <c r="L151" s="294"/>
      <c r="M151" s="294"/>
      <c r="N151" s="294"/>
      <c r="O151" s="294"/>
      <c r="P151" s="294"/>
      <c r="Q151" s="938"/>
      <c r="R151" s="948"/>
      <c r="S151" s="948"/>
      <c r="T151" s="948"/>
      <c r="U151" s="948"/>
      <c r="V151" s="948"/>
      <c r="W151" s="948"/>
      <c r="X151" s="948"/>
      <c r="Y151" s="948"/>
      <c r="Z151" s="948"/>
      <c r="AA151" s="948"/>
      <c r="AB151" s="948"/>
      <c r="AC151" s="948"/>
      <c r="AD151" s="948"/>
      <c r="AE151" s="948"/>
      <c r="AF151" s="948"/>
    </row>
    <row r="152" spans="1:32" ht="13.8">
      <c r="A152" s="938"/>
      <c r="B152" s="294"/>
      <c r="C152" s="297"/>
      <c r="D152" s="294"/>
      <c r="E152" s="294"/>
      <c r="F152" s="294"/>
      <c r="G152" s="294"/>
      <c r="H152" s="294"/>
      <c r="I152" s="298"/>
      <c r="J152" s="294"/>
      <c r="K152" s="294"/>
      <c r="L152" s="294"/>
      <c r="M152" s="294"/>
      <c r="N152" s="294"/>
      <c r="O152" s="294"/>
      <c r="P152" s="294"/>
      <c r="Q152" s="938"/>
      <c r="R152" s="948"/>
      <c r="S152" s="948"/>
      <c r="T152" s="948"/>
      <c r="U152" s="948"/>
      <c r="V152" s="948"/>
      <c r="W152" s="948"/>
      <c r="X152" s="948"/>
      <c r="Y152" s="948"/>
      <c r="Z152" s="948"/>
      <c r="AA152" s="948"/>
      <c r="AB152" s="948"/>
      <c r="AC152" s="948"/>
      <c r="AD152" s="948"/>
      <c r="AE152" s="948"/>
      <c r="AF152" s="948"/>
    </row>
    <row r="153" spans="1:32" ht="13.8">
      <c r="A153" s="938"/>
      <c r="B153" s="294"/>
      <c r="C153" s="297"/>
      <c r="D153" s="294"/>
      <c r="E153" s="294"/>
      <c r="F153" s="294"/>
      <c r="G153" s="294"/>
      <c r="H153" s="294"/>
      <c r="I153" s="298"/>
      <c r="J153" s="294"/>
      <c r="K153" s="294"/>
      <c r="L153" s="294"/>
      <c r="M153" s="294"/>
      <c r="N153" s="294"/>
      <c r="O153" s="294"/>
      <c r="P153" s="294"/>
      <c r="Q153" s="938"/>
      <c r="R153" s="948"/>
      <c r="S153" s="948"/>
      <c r="T153" s="948"/>
      <c r="U153" s="948"/>
      <c r="V153" s="948"/>
      <c r="W153" s="948"/>
      <c r="X153" s="948"/>
      <c r="Y153" s="948"/>
      <c r="Z153" s="948"/>
      <c r="AA153" s="948"/>
      <c r="AB153" s="948"/>
      <c r="AC153" s="948"/>
      <c r="AD153" s="948"/>
      <c r="AE153" s="948"/>
      <c r="AF153" s="948"/>
    </row>
    <row r="154" spans="1:32" ht="14.4" thickBot="1">
      <c r="A154" s="938"/>
      <c r="B154" s="294"/>
      <c r="C154" s="297"/>
      <c r="D154" s="294"/>
      <c r="E154" s="294"/>
      <c r="F154" s="294"/>
      <c r="G154" s="294"/>
      <c r="H154" s="294"/>
      <c r="I154" s="298"/>
      <c r="J154" s="294"/>
      <c r="K154" s="299"/>
      <c r="L154" s="294"/>
      <c r="M154" s="298"/>
      <c r="N154" s="294"/>
      <c r="O154" s="294"/>
      <c r="P154" s="294"/>
      <c r="Q154" s="938"/>
      <c r="R154" s="948"/>
      <c r="S154" s="948"/>
      <c r="T154" s="948"/>
      <c r="U154" s="948"/>
      <c r="V154" s="948"/>
      <c r="W154" s="948"/>
      <c r="X154" s="948"/>
      <c r="Y154" s="948"/>
      <c r="Z154" s="948"/>
      <c r="AA154" s="948"/>
      <c r="AB154" s="948"/>
      <c r="AC154" s="948"/>
      <c r="AD154" s="948"/>
      <c r="AE154" s="948"/>
      <c r="AF154" s="948"/>
    </row>
    <row r="155" spans="1:32" ht="13.8">
      <c r="A155" s="938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1"/>
      <c r="N155" s="300"/>
      <c r="O155" s="301"/>
      <c r="P155" s="300"/>
      <c r="Q155" s="938"/>
      <c r="R155" s="948"/>
      <c r="S155" s="948"/>
      <c r="T155" s="948"/>
      <c r="U155" s="948"/>
      <c r="V155" s="948"/>
      <c r="W155" s="948"/>
      <c r="X155" s="948"/>
      <c r="Y155" s="948"/>
      <c r="Z155" s="948"/>
      <c r="AA155" s="948"/>
      <c r="AB155" s="948"/>
      <c r="AC155" s="948"/>
      <c r="AD155" s="948"/>
      <c r="AE155" s="948"/>
      <c r="AF155" s="948"/>
    </row>
    <row r="156" spans="1:32" ht="13.8">
      <c r="A156" s="938"/>
      <c r="B156" s="294"/>
      <c r="C156" s="294"/>
      <c r="D156" s="294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8"/>
      <c r="P156" s="294"/>
      <c r="Q156" s="938"/>
      <c r="R156" s="948"/>
      <c r="S156" s="948"/>
      <c r="T156" s="948"/>
      <c r="U156" s="948"/>
      <c r="V156" s="948"/>
      <c r="W156" s="948"/>
      <c r="X156" s="948"/>
      <c r="Y156" s="948"/>
      <c r="Z156" s="948"/>
      <c r="AA156" s="948"/>
      <c r="AB156" s="948"/>
      <c r="AC156" s="948"/>
      <c r="AD156" s="948"/>
      <c r="AE156" s="948"/>
      <c r="AF156" s="948"/>
    </row>
    <row r="157" spans="1:32" ht="30" customHeight="1">
      <c r="A157" s="586"/>
      <c r="B157" s="461"/>
      <c r="C157" s="603" t="s">
        <v>1092</v>
      </c>
      <c r="D157" s="603"/>
      <c r="E157" s="603" t="s">
        <v>1094</v>
      </c>
      <c r="F157" s="603"/>
      <c r="G157" s="603" t="s">
        <v>1096</v>
      </c>
      <c r="H157" s="603"/>
      <c r="I157" s="603" t="s">
        <v>1098</v>
      </c>
      <c r="J157" s="603"/>
      <c r="K157" s="603" t="s">
        <v>1100</v>
      </c>
      <c r="L157" s="603"/>
      <c r="M157" s="603" t="s">
        <v>1102</v>
      </c>
      <c r="N157" s="603"/>
      <c r="O157" s="603" t="s">
        <v>1104</v>
      </c>
      <c r="P157" s="603"/>
      <c r="Q157" s="585"/>
      <c r="R157" s="948"/>
      <c r="S157" s="948"/>
      <c r="T157" s="948"/>
      <c r="U157" s="948"/>
      <c r="V157" s="948"/>
      <c r="W157" s="948"/>
      <c r="X157" s="948"/>
      <c r="Y157" s="948"/>
      <c r="Z157" s="948"/>
      <c r="AA157" s="948"/>
      <c r="AB157" s="948"/>
      <c r="AC157" s="948"/>
      <c r="AD157" s="948"/>
      <c r="AE157" s="948"/>
      <c r="AF157" s="948"/>
    </row>
    <row r="158" spans="1:32" ht="13.8">
      <c r="A158" s="938"/>
      <c r="B158" s="294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6"/>
      <c r="Q158" s="938"/>
      <c r="R158" s="948"/>
      <c r="S158" s="948"/>
      <c r="T158" s="948"/>
      <c r="U158" s="948"/>
      <c r="V158" s="948"/>
      <c r="W158" s="948"/>
      <c r="X158" s="948"/>
      <c r="Y158" s="948"/>
      <c r="Z158" s="948"/>
      <c r="AA158" s="948"/>
      <c r="AB158" s="948"/>
      <c r="AC158" s="948"/>
      <c r="AD158" s="948"/>
      <c r="AE158" s="948"/>
      <c r="AF158" s="948"/>
    </row>
    <row r="159" spans="1:32" ht="13.8">
      <c r="A159" s="938"/>
      <c r="B159" s="294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6"/>
      <c r="Q159" s="938"/>
      <c r="R159" s="948"/>
      <c r="S159" s="948"/>
      <c r="T159" s="948"/>
      <c r="U159" s="948"/>
      <c r="V159" s="948"/>
      <c r="W159" s="948"/>
      <c r="X159" s="948"/>
      <c r="Y159" s="948"/>
      <c r="Z159" s="948"/>
      <c r="AA159" s="948"/>
      <c r="AB159" s="948"/>
      <c r="AC159" s="948"/>
      <c r="AD159" s="948"/>
      <c r="AE159" s="948"/>
      <c r="AF159" s="948"/>
    </row>
    <row r="160" spans="1:32" ht="13.8">
      <c r="A160" s="938"/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938"/>
      <c r="R160" s="948"/>
      <c r="S160" s="948"/>
      <c r="T160" s="948"/>
      <c r="U160" s="948"/>
      <c r="V160" s="948"/>
      <c r="W160" s="948"/>
      <c r="X160" s="948"/>
      <c r="Y160" s="948"/>
      <c r="Z160" s="948"/>
      <c r="AA160" s="948"/>
      <c r="AB160" s="948"/>
      <c r="AC160" s="948"/>
      <c r="AD160" s="948"/>
      <c r="AE160" s="948"/>
      <c r="AF160" s="948"/>
    </row>
    <row r="161" spans="1:32" ht="13.8">
      <c r="A161" s="938"/>
      <c r="B161" s="294"/>
      <c r="C161" s="282" t="s">
        <v>1105</v>
      </c>
      <c r="D161" s="282"/>
      <c r="E161" s="282" t="s">
        <v>1106</v>
      </c>
      <c r="F161" s="282"/>
      <c r="G161" s="282"/>
      <c r="H161" s="282"/>
      <c r="I161" s="282" t="s">
        <v>1107</v>
      </c>
      <c r="J161" s="282"/>
      <c r="K161" s="282"/>
      <c r="L161" s="282"/>
      <c r="M161" s="282" t="s">
        <v>1108</v>
      </c>
      <c r="N161" s="282"/>
      <c r="O161" s="282"/>
      <c r="P161" s="294"/>
      <c r="Q161" s="938"/>
      <c r="R161" s="948"/>
      <c r="S161" s="948"/>
      <c r="T161" s="948"/>
      <c r="U161" s="948"/>
      <c r="V161" s="948"/>
      <c r="W161" s="948"/>
      <c r="X161" s="948"/>
      <c r="Y161" s="948"/>
      <c r="Z161" s="948"/>
      <c r="AA161" s="948"/>
      <c r="AB161" s="948"/>
      <c r="AC161" s="948"/>
      <c r="AD161" s="948"/>
      <c r="AE161" s="948"/>
      <c r="AF161" s="948"/>
    </row>
    <row r="162" spans="1:32">
      <c r="A162" s="948"/>
      <c r="B162" s="951"/>
      <c r="C162" s="951"/>
      <c r="D162" s="951"/>
      <c r="E162" s="951"/>
      <c r="F162" s="951"/>
      <c r="G162" s="951"/>
      <c r="H162" s="951"/>
      <c r="I162" s="951"/>
      <c r="J162" s="951"/>
      <c r="K162" s="951"/>
      <c r="L162" s="951"/>
      <c r="M162" s="951"/>
      <c r="N162" s="951"/>
      <c r="O162" s="951"/>
      <c r="P162" s="951"/>
      <c r="Q162" s="948"/>
      <c r="R162" s="948"/>
      <c r="S162" s="948"/>
      <c r="T162" s="948"/>
      <c r="U162" s="948"/>
      <c r="V162" s="948"/>
      <c r="W162" s="948"/>
      <c r="X162" s="948"/>
      <c r="Y162" s="948"/>
      <c r="Z162" s="948"/>
      <c r="AA162" s="948"/>
      <c r="AB162" s="948"/>
      <c r="AC162" s="948"/>
      <c r="AD162" s="948"/>
      <c r="AE162" s="948"/>
      <c r="AF162" s="948"/>
    </row>
    <row r="163" spans="1:32">
      <c r="A163" s="948"/>
      <c r="B163" s="948"/>
      <c r="C163" s="948"/>
      <c r="D163" s="948"/>
      <c r="E163" s="948"/>
      <c r="F163" s="948"/>
      <c r="G163" s="948"/>
      <c r="H163" s="948"/>
      <c r="I163" s="948"/>
      <c r="J163" s="948"/>
      <c r="K163" s="948"/>
      <c r="L163" s="948"/>
      <c r="M163" s="948"/>
      <c r="N163" s="948"/>
      <c r="O163" s="948"/>
      <c r="P163" s="948"/>
      <c r="Q163" s="948"/>
      <c r="R163" s="948"/>
      <c r="S163" s="948"/>
      <c r="T163" s="948"/>
      <c r="U163" s="948"/>
      <c r="V163" s="948"/>
      <c r="W163" s="948"/>
      <c r="X163" s="948"/>
      <c r="Y163" s="948"/>
      <c r="Z163" s="948"/>
      <c r="AA163" s="948"/>
      <c r="AB163" s="948"/>
      <c r="AC163" s="948"/>
      <c r="AD163" s="948"/>
      <c r="AE163" s="948"/>
      <c r="AF163" s="948"/>
    </row>
    <row r="164" spans="1:32">
      <c r="A164" s="948"/>
      <c r="B164" s="948"/>
      <c r="C164" s="948"/>
      <c r="D164" s="948"/>
      <c r="E164" s="948"/>
      <c r="F164" s="948"/>
      <c r="G164" s="948"/>
      <c r="H164" s="948"/>
      <c r="I164" s="948"/>
      <c r="J164" s="948"/>
      <c r="K164" s="948"/>
      <c r="L164" s="948"/>
      <c r="M164" s="948"/>
      <c r="N164" s="948"/>
      <c r="O164" s="948"/>
      <c r="P164" s="948"/>
      <c r="Q164" s="948"/>
      <c r="R164" s="948"/>
      <c r="S164" s="948"/>
      <c r="T164" s="948"/>
      <c r="U164" s="948"/>
      <c r="V164" s="948"/>
      <c r="W164" s="948"/>
      <c r="X164" s="948"/>
      <c r="Y164" s="948"/>
      <c r="Z164" s="948"/>
      <c r="AA164" s="948"/>
      <c r="AB164" s="948"/>
      <c r="AC164" s="948"/>
      <c r="AD164" s="948"/>
      <c r="AE164" s="948"/>
      <c r="AF164" s="948"/>
    </row>
    <row r="165" spans="1:32">
      <c r="A165" s="948"/>
      <c r="B165" s="948"/>
      <c r="C165" s="948"/>
      <c r="D165" s="948"/>
      <c r="E165" s="948"/>
      <c r="F165" s="948"/>
      <c r="G165" s="948"/>
      <c r="H165" s="948"/>
      <c r="I165" s="948"/>
      <c r="J165" s="948"/>
      <c r="K165" s="948"/>
      <c r="L165" s="948"/>
      <c r="M165" s="948"/>
      <c r="N165" s="948"/>
      <c r="O165" s="948"/>
      <c r="P165" s="948"/>
      <c r="Q165" s="948"/>
      <c r="R165" s="948"/>
      <c r="S165" s="948"/>
      <c r="T165" s="948"/>
      <c r="U165" s="948"/>
      <c r="V165" s="948"/>
      <c r="W165" s="948"/>
      <c r="X165" s="948"/>
      <c r="Y165" s="948"/>
      <c r="Z165" s="948"/>
      <c r="AA165" s="948"/>
      <c r="AB165" s="948"/>
      <c r="AC165" s="948"/>
      <c r="AD165" s="948"/>
      <c r="AE165" s="948"/>
      <c r="AF165" s="948"/>
    </row>
    <row r="166" spans="1:32">
      <c r="A166" s="948"/>
      <c r="B166" s="948"/>
      <c r="C166" s="948"/>
      <c r="D166" s="948"/>
      <c r="E166" s="948"/>
      <c r="F166" s="948"/>
      <c r="G166" s="948"/>
      <c r="H166" s="948"/>
      <c r="I166" s="948"/>
      <c r="J166" s="948"/>
      <c r="K166" s="948"/>
      <c r="L166" s="948"/>
      <c r="M166" s="948"/>
      <c r="N166" s="948"/>
      <c r="O166" s="948"/>
      <c r="P166" s="948"/>
      <c r="Q166" s="948"/>
      <c r="R166" s="948"/>
      <c r="S166" s="948"/>
      <c r="T166" s="948"/>
      <c r="U166" s="948"/>
      <c r="V166" s="948"/>
      <c r="W166" s="948"/>
      <c r="X166" s="948"/>
      <c r="Y166" s="948"/>
      <c r="Z166" s="948"/>
      <c r="AA166" s="948"/>
      <c r="AB166" s="948"/>
      <c r="AC166" s="948"/>
      <c r="AD166" s="948"/>
      <c r="AE166" s="948"/>
      <c r="AF166" s="948"/>
    </row>
    <row r="167" spans="1:32">
      <c r="A167" s="948"/>
      <c r="B167" s="948"/>
      <c r="C167" s="948"/>
      <c r="D167" s="948"/>
      <c r="E167" s="948"/>
      <c r="F167" s="948"/>
      <c r="G167" s="948"/>
      <c r="H167" s="948"/>
      <c r="I167" s="948"/>
      <c r="J167" s="948"/>
      <c r="K167" s="948"/>
      <c r="L167" s="948"/>
      <c r="M167" s="948"/>
      <c r="N167" s="948"/>
      <c r="O167" s="948"/>
      <c r="P167" s="948"/>
      <c r="Q167" s="948"/>
      <c r="R167" s="948"/>
      <c r="S167" s="948"/>
      <c r="T167" s="948"/>
      <c r="U167" s="948"/>
      <c r="V167" s="948"/>
      <c r="W167" s="948"/>
      <c r="X167" s="948"/>
      <c r="Y167" s="948"/>
      <c r="Z167" s="948"/>
      <c r="AA167" s="948"/>
      <c r="AB167" s="948"/>
      <c r="AC167" s="948"/>
      <c r="AD167" s="948"/>
      <c r="AE167" s="948"/>
      <c r="AF167" s="948"/>
    </row>
    <row r="168" spans="1:32">
      <c r="A168" s="948"/>
      <c r="B168" s="948"/>
      <c r="C168" s="948"/>
      <c r="D168" s="948"/>
      <c r="E168" s="948"/>
      <c r="F168" s="948"/>
      <c r="G168" s="948"/>
      <c r="H168" s="948"/>
      <c r="I168" s="948"/>
      <c r="J168" s="948"/>
      <c r="K168" s="948"/>
      <c r="L168" s="948"/>
      <c r="M168" s="948"/>
      <c r="N168" s="948"/>
      <c r="O168" s="948"/>
      <c r="P168" s="948"/>
      <c r="Q168" s="948"/>
      <c r="R168" s="948"/>
      <c r="S168" s="948"/>
      <c r="T168" s="948"/>
      <c r="U168" s="948"/>
      <c r="V168" s="948"/>
      <c r="W168" s="948"/>
      <c r="X168" s="948"/>
      <c r="Y168" s="948"/>
      <c r="Z168" s="948"/>
      <c r="AA168" s="948"/>
      <c r="AB168" s="948"/>
      <c r="AC168" s="948"/>
      <c r="AD168" s="948"/>
      <c r="AE168" s="948"/>
      <c r="AF168" s="948"/>
    </row>
    <row r="169" spans="1:32">
      <c r="A169" s="948"/>
      <c r="B169" s="948"/>
      <c r="C169" s="948"/>
      <c r="D169" s="948"/>
      <c r="E169" s="948"/>
      <c r="F169" s="948"/>
      <c r="G169" s="948"/>
      <c r="H169" s="948"/>
      <c r="I169" s="948"/>
      <c r="J169" s="948"/>
      <c r="K169" s="948"/>
      <c r="L169" s="948"/>
      <c r="M169" s="948"/>
      <c r="N169" s="948"/>
      <c r="O169" s="948"/>
      <c r="P169" s="948"/>
      <c r="Q169" s="948"/>
      <c r="R169" s="948"/>
      <c r="S169" s="948"/>
      <c r="T169" s="948"/>
      <c r="U169" s="948"/>
      <c r="V169" s="948"/>
      <c r="W169" s="948"/>
      <c r="X169" s="948"/>
      <c r="Y169" s="948"/>
      <c r="Z169" s="948"/>
      <c r="AA169" s="948"/>
      <c r="AB169" s="948"/>
      <c r="AC169" s="948"/>
      <c r="AD169" s="948"/>
      <c r="AE169" s="948"/>
      <c r="AF169" s="948"/>
    </row>
    <row r="170" spans="1:32">
      <c r="A170" s="948"/>
      <c r="B170" s="948"/>
      <c r="C170" s="948"/>
      <c r="D170" s="948"/>
      <c r="E170" s="948"/>
      <c r="F170" s="948"/>
      <c r="G170" s="948"/>
      <c r="H170" s="948"/>
      <c r="I170" s="948"/>
      <c r="J170" s="948"/>
      <c r="K170" s="948"/>
      <c r="L170" s="948"/>
      <c r="M170" s="948"/>
      <c r="N170" s="948"/>
      <c r="O170" s="948"/>
      <c r="P170" s="948"/>
      <c r="Q170" s="948"/>
      <c r="R170" s="948"/>
      <c r="S170" s="948"/>
      <c r="T170" s="948"/>
      <c r="U170" s="948"/>
      <c r="V170" s="948"/>
      <c r="W170" s="948"/>
      <c r="X170" s="948"/>
      <c r="Y170" s="948"/>
      <c r="Z170" s="948"/>
      <c r="AA170" s="948"/>
      <c r="AB170" s="948"/>
      <c r="AC170" s="948"/>
      <c r="AD170" s="948"/>
      <c r="AE170" s="948"/>
      <c r="AF170" s="948"/>
    </row>
    <row r="171" spans="1:32">
      <c r="A171" s="948"/>
      <c r="B171" s="948"/>
      <c r="C171" s="948"/>
      <c r="D171" s="948"/>
      <c r="E171" s="948"/>
      <c r="F171" s="948"/>
      <c r="G171" s="948"/>
      <c r="H171" s="948"/>
      <c r="I171" s="948"/>
      <c r="J171" s="948"/>
      <c r="K171" s="948"/>
      <c r="L171" s="948"/>
      <c r="M171" s="948"/>
      <c r="N171" s="948"/>
      <c r="O171" s="948"/>
      <c r="P171" s="948"/>
      <c r="Q171" s="948"/>
      <c r="R171" s="948"/>
      <c r="S171" s="948"/>
      <c r="T171" s="948"/>
      <c r="U171" s="948"/>
      <c r="V171" s="948"/>
      <c r="W171" s="948"/>
      <c r="X171" s="948"/>
      <c r="Y171" s="948"/>
      <c r="Z171" s="948"/>
      <c r="AA171" s="948"/>
      <c r="AB171" s="948"/>
      <c r="AC171" s="948"/>
      <c r="AD171" s="948"/>
      <c r="AE171" s="948"/>
      <c r="AF171" s="948"/>
    </row>
    <row r="172" spans="1:32">
      <c r="A172" s="948"/>
      <c r="B172" s="948"/>
      <c r="C172" s="948"/>
      <c r="D172" s="948"/>
      <c r="E172" s="948"/>
      <c r="F172" s="948"/>
      <c r="G172" s="948"/>
      <c r="H172" s="948"/>
      <c r="I172" s="948"/>
      <c r="J172" s="948"/>
      <c r="K172" s="948"/>
      <c r="L172" s="948"/>
      <c r="M172" s="948"/>
      <c r="N172" s="948"/>
      <c r="O172" s="948"/>
      <c r="P172" s="948"/>
      <c r="Q172" s="948"/>
      <c r="R172" s="948"/>
      <c r="S172" s="948"/>
      <c r="T172" s="948"/>
      <c r="U172" s="948"/>
      <c r="V172" s="948"/>
      <c r="W172" s="948"/>
      <c r="X172" s="948"/>
      <c r="Y172" s="948"/>
      <c r="Z172" s="948"/>
      <c r="AA172" s="948"/>
      <c r="AB172" s="948"/>
      <c r="AC172" s="948"/>
      <c r="AD172" s="948"/>
      <c r="AE172" s="948"/>
      <c r="AF172" s="948"/>
    </row>
    <row r="173" spans="1:32">
      <c r="A173" s="948"/>
      <c r="B173" s="948"/>
      <c r="C173" s="948"/>
      <c r="D173" s="948"/>
      <c r="E173" s="948"/>
      <c r="F173" s="948"/>
      <c r="G173" s="948"/>
      <c r="H173" s="948"/>
      <c r="I173" s="948"/>
      <c r="J173" s="948"/>
      <c r="K173" s="948"/>
      <c r="L173" s="948"/>
      <c r="M173" s="948"/>
      <c r="N173" s="948"/>
      <c r="O173" s="948"/>
      <c r="P173" s="948"/>
      <c r="Q173" s="948"/>
      <c r="R173" s="948"/>
      <c r="S173" s="948"/>
      <c r="T173" s="948"/>
      <c r="U173" s="948"/>
      <c r="V173" s="948"/>
      <c r="W173" s="948"/>
      <c r="X173" s="948"/>
      <c r="Y173" s="948"/>
      <c r="Z173" s="948"/>
      <c r="AA173" s="948"/>
      <c r="AB173" s="948"/>
      <c r="AC173" s="948"/>
      <c r="AD173" s="948"/>
      <c r="AE173" s="948"/>
      <c r="AF173" s="948"/>
    </row>
    <row r="174" spans="1:32">
      <c r="A174" s="948"/>
      <c r="B174" s="948"/>
      <c r="C174" s="948"/>
      <c r="D174" s="948"/>
      <c r="E174" s="948"/>
      <c r="F174" s="948"/>
      <c r="G174" s="948"/>
      <c r="H174" s="948"/>
      <c r="I174" s="948"/>
      <c r="J174" s="948"/>
      <c r="K174" s="948"/>
      <c r="L174" s="948"/>
      <c r="M174" s="948"/>
      <c r="N174" s="948"/>
      <c r="O174" s="948"/>
      <c r="P174" s="948"/>
      <c r="Q174" s="948"/>
      <c r="R174" s="948"/>
      <c r="S174" s="948"/>
      <c r="T174" s="948"/>
      <c r="U174" s="948"/>
      <c r="V174" s="948"/>
      <c r="W174" s="948"/>
      <c r="X174" s="948"/>
      <c r="Y174" s="948"/>
      <c r="Z174" s="948"/>
      <c r="AA174" s="948"/>
      <c r="AB174" s="948"/>
      <c r="AC174" s="948"/>
      <c r="AD174" s="948"/>
      <c r="AE174" s="948"/>
      <c r="AF174" s="948"/>
    </row>
    <row r="175" spans="1:32">
      <c r="A175" s="948"/>
      <c r="B175" s="948"/>
      <c r="C175" s="948"/>
      <c r="D175" s="948"/>
      <c r="E175" s="948"/>
      <c r="F175" s="948"/>
      <c r="G175" s="948"/>
      <c r="H175" s="948"/>
      <c r="I175" s="948"/>
      <c r="J175" s="948"/>
      <c r="K175" s="948"/>
      <c r="L175" s="948"/>
      <c r="M175" s="948"/>
      <c r="N175" s="948"/>
      <c r="O175" s="948"/>
      <c r="P175" s="948"/>
      <c r="Q175" s="948"/>
      <c r="R175" s="948"/>
      <c r="S175" s="948"/>
      <c r="T175" s="948"/>
      <c r="U175" s="948"/>
      <c r="V175" s="948"/>
      <c r="W175" s="948"/>
      <c r="X175" s="948"/>
      <c r="Y175" s="948"/>
      <c r="Z175" s="948"/>
      <c r="AA175" s="948"/>
      <c r="AB175" s="948"/>
      <c r="AC175" s="948"/>
      <c r="AD175" s="948"/>
      <c r="AE175" s="948"/>
      <c r="AF175" s="948"/>
    </row>
    <row r="176" spans="1:32">
      <c r="A176" s="948"/>
      <c r="B176" s="948"/>
      <c r="C176" s="948"/>
      <c r="D176" s="948"/>
      <c r="E176" s="948"/>
      <c r="F176" s="948"/>
      <c r="G176" s="948"/>
      <c r="H176" s="948"/>
      <c r="I176" s="948"/>
      <c r="J176" s="948"/>
      <c r="K176" s="948"/>
      <c r="L176" s="948"/>
      <c r="M176" s="948"/>
      <c r="N176" s="948"/>
      <c r="O176" s="948"/>
      <c r="P176" s="948"/>
      <c r="Q176" s="948"/>
      <c r="R176" s="948"/>
      <c r="S176" s="948"/>
      <c r="T176" s="948"/>
      <c r="U176" s="948"/>
      <c r="V176" s="948"/>
      <c r="W176" s="948"/>
      <c r="X176" s="948"/>
      <c r="Y176" s="948"/>
      <c r="Z176" s="948"/>
      <c r="AA176" s="948"/>
      <c r="AB176" s="948"/>
      <c r="AC176" s="948"/>
      <c r="AD176" s="948"/>
      <c r="AE176" s="948"/>
      <c r="AF176" s="948"/>
    </row>
    <row r="177" spans="1:32">
      <c r="A177" s="948"/>
      <c r="B177" s="948"/>
      <c r="C177" s="948"/>
      <c r="D177" s="948"/>
      <c r="E177" s="948"/>
      <c r="F177" s="948"/>
      <c r="G177" s="948"/>
      <c r="H177" s="948"/>
      <c r="I177" s="948"/>
      <c r="J177" s="948"/>
      <c r="K177" s="948"/>
      <c r="L177" s="948"/>
      <c r="M177" s="948"/>
      <c r="N177" s="948"/>
      <c r="O177" s="948"/>
      <c r="P177" s="948"/>
      <c r="Q177" s="948"/>
      <c r="R177" s="948"/>
      <c r="S177" s="948"/>
      <c r="T177" s="948"/>
      <c r="U177" s="948"/>
      <c r="V177" s="948"/>
      <c r="W177" s="948"/>
      <c r="X177" s="948"/>
      <c r="Y177" s="948"/>
      <c r="Z177" s="948"/>
      <c r="AA177" s="948"/>
      <c r="AB177" s="948"/>
      <c r="AC177" s="948"/>
      <c r="AD177" s="948"/>
      <c r="AE177" s="948"/>
      <c r="AF177" s="948"/>
    </row>
    <row r="178" spans="1:32">
      <c r="A178" s="948"/>
      <c r="B178" s="948"/>
      <c r="C178" s="948"/>
      <c r="D178" s="948"/>
      <c r="E178" s="948"/>
      <c r="F178" s="948"/>
      <c r="G178" s="948"/>
      <c r="H178" s="948"/>
      <c r="I178" s="948"/>
      <c r="J178" s="948"/>
      <c r="K178" s="948"/>
      <c r="L178" s="948"/>
      <c r="M178" s="948"/>
      <c r="N178" s="948"/>
      <c r="O178" s="948"/>
      <c r="P178" s="948"/>
      <c r="Q178" s="948"/>
      <c r="R178" s="948"/>
      <c r="S178" s="948"/>
      <c r="T178" s="948"/>
      <c r="U178" s="948"/>
      <c r="V178" s="948"/>
      <c r="W178" s="948"/>
      <c r="X178" s="948"/>
      <c r="Y178" s="948"/>
      <c r="Z178" s="948"/>
      <c r="AA178" s="948"/>
      <c r="AB178" s="948"/>
      <c r="AC178" s="948"/>
      <c r="AD178" s="948"/>
      <c r="AE178" s="948"/>
      <c r="AF178" s="948"/>
    </row>
    <row r="179" spans="1:32">
      <c r="A179" s="948"/>
      <c r="B179" s="948"/>
      <c r="C179" s="948"/>
      <c r="D179" s="948"/>
      <c r="E179" s="948"/>
      <c r="F179" s="948"/>
      <c r="G179" s="948"/>
      <c r="H179" s="948"/>
      <c r="I179" s="948"/>
      <c r="J179" s="948"/>
      <c r="K179" s="948"/>
      <c r="L179" s="948"/>
      <c r="M179" s="948"/>
      <c r="N179" s="948"/>
      <c r="O179" s="948"/>
      <c r="P179" s="948"/>
      <c r="Q179" s="948"/>
      <c r="R179" s="948"/>
      <c r="S179" s="948"/>
      <c r="T179" s="948"/>
      <c r="U179" s="948"/>
      <c r="V179" s="948"/>
      <c r="W179" s="948"/>
      <c r="X179" s="948"/>
      <c r="Y179" s="948"/>
      <c r="Z179" s="948"/>
      <c r="AA179" s="948"/>
      <c r="AB179" s="948"/>
      <c r="AC179" s="948"/>
      <c r="AD179" s="948"/>
      <c r="AE179" s="948"/>
      <c r="AF179" s="948"/>
    </row>
    <row r="180" spans="1:32">
      <c r="A180" s="948"/>
      <c r="B180" s="948"/>
      <c r="C180" s="948"/>
      <c r="D180" s="948"/>
      <c r="E180" s="948"/>
      <c r="F180" s="948"/>
      <c r="G180" s="948"/>
      <c r="H180" s="948"/>
      <c r="I180" s="948"/>
      <c r="J180" s="948"/>
      <c r="K180" s="948"/>
      <c r="L180" s="948"/>
      <c r="M180" s="948"/>
      <c r="N180" s="948"/>
      <c r="O180" s="948"/>
      <c r="P180" s="948"/>
      <c r="Q180" s="948"/>
      <c r="R180" s="948"/>
      <c r="S180" s="948"/>
      <c r="T180" s="948"/>
      <c r="U180" s="948"/>
      <c r="V180" s="948"/>
      <c r="W180" s="948"/>
      <c r="X180" s="948"/>
      <c r="Y180" s="948"/>
      <c r="Z180" s="948"/>
      <c r="AA180" s="948"/>
      <c r="AB180" s="948"/>
      <c r="AC180" s="948"/>
      <c r="AD180" s="948"/>
      <c r="AE180" s="948"/>
      <c r="AF180" s="948"/>
    </row>
    <row r="181" spans="1:32">
      <c r="A181" s="948"/>
      <c r="B181" s="948"/>
      <c r="C181" s="948"/>
      <c r="D181" s="948"/>
      <c r="E181" s="948"/>
      <c r="F181" s="948"/>
      <c r="G181" s="948"/>
      <c r="H181" s="948"/>
      <c r="I181" s="948"/>
      <c r="J181" s="948"/>
      <c r="K181" s="948"/>
      <c r="L181" s="948"/>
      <c r="M181" s="948"/>
      <c r="N181" s="948"/>
      <c r="O181" s="948"/>
      <c r="P181" s="948"/>
      <c r="Q181" s="948"/>
      <c r="R181" s="948"/>
      <c r="S181" s="948"/>
      <c r="T181" s="948"/>
      <c r="U181" s="948"/>
      <c r="V181" s="948"/>
      <c r="W181" s="948"/>
      <c r="X181" s="948"/>
      <c r="Y181" s="948"/>
      <c r="Z181" s="948"/>
      <c r="AA181" s="948"/>
      <c r="AB181" s="948"/>
      <c r="AC181" s="948"/>
      <c r="AD181" s="948"/>
      <c r="AE181" s="948"/>
      <c r="AF181" s="948"/>
    </row>
    <row r="182" spans="1:32">
      <c r="A182" s="948"/>
      <c r="B182" s="948"/>
      <c r="C182" s="948"/>
      <c r="D182" s="948"/>
      <c r="E182" s="948"/>
      <c r="F182" s="948"/>
      <c r="G182" s="948"/>
      <c r="H182" s="948"/>
      <c r="I182" s="948"/>
      <c r="J182" s="948"/>
      <c r="K182" s="948"/>
      <c r="L182" s="948"/>
      <c r="M182" s="948"/>
      <c r="N182" s="948"/>
      <c r="O182" s="948"/>
      <c r="P182" s="948"/>
      <c r="Q182" s="948"/>
      <c r="R182" s="948"/>
      <c r="S182" s="948"/>
      <c r="T182" s="948"/>
      <c r="U182" s="948"/>
      <c r="V182" s="948"/>
      <c r="W182" s="948"/>
      <c r="X182" s="948"/>
      <c r="Y182" s="948"/>
      <c r="Z182" s="948"/>
      <c r="AA182" s="948"/>
      <c r="AB182" s="948"/>
      <c r="AC182" s="948"/>
      <c r="AD182" s="948"/>
      <c r="AE182" s="948"/>
      <c r="AF182" s="948"/>
    </row>
    <row r="183" spans="1:32">
      <c r="A183" s="948"/>
      <c r="B183" s="948"/>
      <c r="C183" s="948"/>
      <c r="D183" s="948"/>
      <c r="E183" s="948"/>
      <c r="F183" s="948"/>
      <c r="G183" s="948"/>
      <c r="H183" s="948"/>
      <c r="I183" s="948"/>
      <c r="J183" s="948"/>
      <c r="K183" s="948"/>
      <c r="L183" s="948"/>
      <c r="M183" s="948"/>
      <c r="N183" s="948"/>
      <c r="O183" s="948"/>
      <c r="P183" s="948"/>
      <c r="Q183" s="948"/>
      <c r="R183" s="948"/>
      <c r="S183" s="948"/>
      <c r="T183" s="948"/>
      <c r="U183" s="948"/>
      <c r="V183" s="948"/>
      <c r="W183" s="948"/>
      <c r="X183" s="948"/>
      <c r="Y183" s="948"/>
      <c r="Z183" s="948"/>
      <c r="AA183" s="948"/>
      <c r="AB183" s="948"/>
      <c r="AC183" s="948"/>
      <c r="AD183" s="948"/>
      <c r="AE183" s="948"/>
      <c r="AF183" s="948"/>
    </row>
    <row r="184" spans="1:32">
      <c r="A184" s="948"/>
      <c r="B184" s="948"/>
      <c r="C184" s="948"/>
      <c r="D184" s="948"/>
      <c r="E184" s="948"/>
      <c r="F184" s="948"/>
      <c r="G184" s="948"/>
      <c r="H184" s="948"/>
      <c r="I184" s="948"/>
      <c r="J184" s="948"/>
      <c r="K184" s="948"/>
      <c r="L184" s="948"/>
      <c r="M184" s="948"/>
      <c r="N184" s="948"/>
      <c r="O184" s="948"/>
      <c r="P184" s="948"/>
      <c r="Q184" s="948"/>
      <c r="R184" s="948"/>
      <c r="S184" s="948"/>
      <c r="T184" s="948"/>
      <c r="U184" s="948"/>
      <c r="V184" s="948"/>
      <c r="W184" s="948"/>
      <c r="X184" s="948"/>
      <c r="Y184" s="948"/>
      <c r="Z184" s="948"/>
      <c r="AA184" s="948"/>
      <c r="AB184" s="948"/>
      <c r="AC184" s="948"/>
      <c r="AD184" s="948"/>
      <c r="AE184" s="948"/>
      <c r="AF184" s="948"/>
    </row>
    <row r="185" spans="1:32">
      <c r="A185" s="948"/>
      <c r="B185" s="948"/>
      <c r="C185" s="948"/>
      <c r="D185" s="948"/>
      <c r="E185" s="948"/>
      <c r="F185" s="948"/>
      <c r="G185" s="948"/>
      <c r="H185" s="948"/>
      <c r="I185" s="948"/>
      <c r="J185" s="948"/>
      <c r="K185" s="948"/>
      <c r="L185" s="948"/>
      <c r="M185" s="948"/>
      <c r="N185" s="948"/>
      <c r="O185" s="948"/>
      <c r="P185" s="948"/>
      <c r="Q185" s="948"/>
      <c r="R185" s="948"/>
      <c r="S185" s="948"/>
      <c r="T185" s="948"/>
      <c r="U185" s="948"/>
      <c r="V185" s="948"/>
      <c r="W185" s="948"/>
      <c r="X185" s="948"/>
      <c r="Y185" s="948"/>
      <c r="Z185" s="948"/>
      <c r="AA185" s="948"/>
      <c r="AB185" s="948"/>
      <c r="AC185" s="948"/>
      <c r="AD185" s="948"/>
      <c r="AE185" s="948"/>
      <c r="AF185" s="948"/>
    </row>
    <row r="186" spans="1:32">
      <c r="A186" s="948"/>
      <c r="B186" s="948"/>
      <c r="C186" s="948"/>
      <c r="D186" s="948"/>
      <c r="E186" s="948"/>
      <c r="F186" s="948"/>
      <c r="G186" s="948"/>
      <c r="H186" s="948"/>
      <c r="I186" s="948"/>
      <c r="J186" s="948"/>
      <c r="K186" s="948"/>
      <c r="L186" s="948"/>
      <c r="M186" s="948"/>
      <c r="N186" s="948"/>
      <c r="O186" s="948"/>
      <c r="P186" s="948"/>
      <c r="Q186" s="948"/>
      <c r="R186" s="948"/>
      <c r="S186" s="948"/>
      <c r="T186" s="948"/>
      <c r="U186" s="948"/>
      <c r="V186" s="948"/>
      <c r="W186" s="948"/>
      <c r="X186" s="948"/>
      <c r="Y186" s="948"/>
      <c r="Z186" s="948"/>
      <c r="AA186" s="948"/>
      <c r="AB186" s="948"/>
      <c r="AC186" s="948"/>
      <c r="AD186" s="948"/>
      <c r="AE186" s="948"/>
      <c r="AF186" s="948"/>
    </row>
    <row r="187" spans="1:32">
      <c r="A187" s="948"/>
      <c r="B187" s="948"/>
      <c r="C187" s="948"/>
      <c r="D187" s="948"/>
      <c r="E187" s="948"/>
      <c r="F187" s="948"/>
      <c r="G187" s="948"/>
      <c r="H187" s="948"/>
      <c r="I187" s="948"/>
      <c r="J187" s="948"/>
      <c r="K187" s="948"/>
      <c r="L187" s="948"/>
      <c r="M187" s="948"/>
      <c r="N187" s="948"/>
      <c r="O187" s="948"/>
      <c r="P187" s="948"/>
      <c r="Q187" s="948"/>
      <c r="R187" s="948"/>
      <c r="S187" s="948"/>
      <c r="T187" s="948"/>
      <c r="U187" s="948"/>
      <c r="V187" s="948"/>
      <c r="W187" s="948"/>
      <c r="X187" s="948"/>
      <c r="Y187" s="948"/>
      <c r="Z187" s="948"/>
      <c r="AA187" s="948"/>
      <c r="AB187" s="948"/>
      <c r="AC187" s="948"/>
      <c r="AD187" s="948"/>
      <c r="AE187" s="948"/>
      <c r="AF187" s="948"/>
    </row>
    <row r="188" spans="1:32">
      <c r="A188" s="948"/>
      <c r="B188" s="948"/>
      <c r="C188" s="948"/>
      <c r="D188" s="948"/>
      <c r="E188" s="948"/>
      <c r="F188" s="948"/>
      <c r="G188" s="948"/>
      <c r="H188" s="948"/>
      <c r="I188" s="948"/>
      <c r="J188" s="948"/>
      <c r="K188" s="948"/>
      <c r="L188" s="948"/>
      <c r="M188" s="948"/>
      <c r="N188" s="948"/>
      <c r="O188" s="948"/>
      <c r="P188" s="948"/>
      <c r="Q188" s="948"/>
      <c r="R188" s="948"/>
      <c r="S188" s="948"/>
      <c r="T188" s="948"/>
      <c r="U188" s="948"/>
      <c r="V188" s="948"/>
      <c r="W188" s="948"/>
      <c r="X188" s="948"/>
      <c r="Y188" s="948"/>
      <c r="Z188" s="948"/>
      <c r="AA188" s="948"/>
      <c r="AB188" s="948"/>
      <c r="AC188" s="948"/>
      <c r="AD188" s="948"/>
      <c r="AE188" s="948"/>
      <c r="AF188" s="948"/>
    </row>
    <row r="189" spans="1:32">
      <c r="A189" s="948"/>
      <c r="B189" s="948"/>
      <c r="C189" s="948"/>
      <c r="D189" s="948"/>
      <c r="E189" s="948"/>
      <c r="F189" s="948"/>
      <c r="G189" s="948"/>
      <c r="H189" s="948"/>
      <c r="I189" s="948"/>
      <c r="J189" s="948"/>
      <c r="K189" s="948"/>
      <c r="L189" s="948"/>
      <c r="M189" s="948"/>
      <c r="N189" s="948"/>
      <c r="O189" s="948"/>
      <c r="P189" s="948"/>
      <c r="Q189" s="948"/>
      <c r="R189" s="948"/>
      <c r="S189" s="948"/>
      <c r="T189" s="948"/>
      <c r="U189" s="948"/>
      <c r="V189" s="948"/>
      <c r="W189" s="948"/>
      <c r="X189" s="948"/>
      <c r="Y189" s="948"/>
      <c r="Z189" s="948"/>
      <c r="AA189" s="948"/>
      <c r="AB189" s="948"/>
      <c r="AC189" s="948"/>
      <c r="AD189" s="948"/>
      <c r="AE189" s="948"/>
      <c r="AF189" s="948"/>
    </row>
    <row r="190" spans="1:32">
      <c r="A190" s="948"/>
      <c r="B190" s="948"/>
      <c r="C190" s="948"/>
      <c r="D190" s="948"/>
      <c r="E190" s="948"/>
      <c r="F190" s="948"/>
      <c r="G190" s="948"/>
      <c r="H190" s="948"/>
      <c r="I190" s="948"/>
      <c r="J190" s="948"/>
      <c r="K190" s="948"/>
      <c r="L190" s="948"/>
      <c r="M190" s="948"/>
      <c r="N190" s="948"/>
      <c r="O190" s="948"/>
      <c r="P190" s="948"/>
      <c r="Q190" s="948"/>
      <c r="R190" s="948"/>
      <c r="S190" s="948"/>
      <c r="T190" s="948"/>
      <c r="U190" s="948"/>
      <c r="V190" s="948"/>
      <c r="W190" s="948"/>
      <c r="X190" s="948"/>
      <c r="Y190" s="948"/>
      <c r="Z190" s="948"/>
      <c r="AA190" s="948"/>
      <c r="AB190" s="948"/>
      <c r="AC190" s="948"/>
      <c r="AD190" s="948"/>
      <c r="AE190" s="948"/>
      <c r="AF190" s="948"/>
    </row>
    <row r="191" spans="1:32">
      <c r="A191" s="948"/>
      <c r="B191" s="948"/>
      <c r="C191" s="948"/>
      <c r="D191" s="948"/>
      <c r="E191" s="948"/>
      <c r="F191" s="948"/>
      <c r="G191" s="948"/>
      <c r="H191" s="948"/>
      <c r="I191" s="948"/>
      <c r="J191" s="948"/>
      <c r="K191" s="948"/>
      <c r="L191" s="948"/>
      <c r="M191" s="948"/>
      <c r="N191" s="948"/>
      <c r="O191" s="948"/>
      <c r="P191" s="948"/>
      <c r="Q191" s="948"/>
      <c r="R191" s="948"/>
      <c r="S191" s="948"/>
      <c r="T191" s="948"/>
      <c r="U191" s="948"/>
      <c r="V191" s="948"/>
      <c r="W191" s="948"/>
      <c r="X191" s="948"/>
      <c r="Y191" s="948"/>
      <c r="Z191" s="948"/>
      <c r="AA191" s="948"/>
      <c r="AB191" s="948"/>
      <c r="AC191" s="948"/>
      <c r="AD191" s="948"/>
      <c r="AE191" s="948"/>
      <c r="AF191" s="948"/>
    </row>
    <row r="192" spans="1:32">
      <c r="A192" s="948"/>
      <c r="B192" s="948"/>
      <c r="C192" s="948"/>
      <c r="D192" s="948"/>
      <c r="E192" s="948"/>
      <c r="F192" s="948"/>
      <c r="G192" s="948"/>
      <c r="H192" s="948"/>
      <c r="I192" s="948"/>
      <c r="J192" s="948"/>
      <c r="K192" s="948"/>
      <c r="L192" s="948"/>
      <c r="M192" s="948"/>
      <c r="N192" s="948"/>
      <c r="O192" s="948"/>
      <c r="P192" s="948"/>
      <c r="Q192" s="948"/>
      <c r="R192" s="948"/>
      <c r="S192" s="948"/>
      <c r="T192" s="948"/>
      <c r="U192" s="948"/>
      <c r="V192" s="948"/>
      <c r="W192" s="948"/>
      <c r="X192" s="948"/>
      <c r="Y192" s="948"/>
      <c r="Z192" s="948"/>
      <c r="AA192" s="948"/>
      <c r="AB192" s="948"/>
      <c r="AC192" s="948"/>
      <c r="AD192" s="948"/>
      <c r="AE192" s="948"/>
      <c r="AF192" s="948"/>
    </row>
    <row r="193" spans="1:32">
      <c r="A193" s="948"/>
      <c r="B193" s="948"/>
      <c r="C193" s="948"/>
      <c r="D193" s="948"/>
      <c r="E193" s="948"/>
      <c r="F193" s="948"/>
      <c r="G193" s="948"/>
      <c r="H193" s="948"/>
      <c r="I193" s="948"/>
      <c r="J193" s="948"/>
      <c r="K193" s="948"/>
      <c r="L193" s="948"/>
      <c r="M193" s="948"/>
      <c r="N193" s="948"/>
      <c r="O193" s="948"/>
      <c r="P193" s="948"/>
      <c r="Q193" s="948"/>
      <c r="R193" s="948"/>
      <c r="S193" s="948"/>
      <c r="T193" s="948"/>
      <c r="U193" s="948"/>
      <c r="V193" s="948"/>
      <c r="W193" s="948"/>
      <c r="X193" s="948"/>
      <c r="Y193" s="948"/>
      <c r="Z193" s="948"/>
      <c r="AA193" s="948"/>
      <c r="AB193" s="948"/>
      <c r="AC193" s="948"/>
      <c r="AD193" s="948"/>
      <c r="AE193" s="948"/>
      <c r="AF193" s="948"/>
    </row>
    <row r="194" spans="1:32">
      <c r="A194" s="948"/>
      <c r="B194" s="948"/>
      <c r="C194" s="948"/>
      <c r="D194" s="948"/>
      <c r="E194" s="948"/>
      <c r="F194" s="948"/>
      <c r="G194" s="948"/>
      <c r="H194" s="948"/>
      <c r="I194" s="948"/>
      <c r="J194" s="948"/>
      <c r="K194" s="948"/>
      <c r="L194" s="948"/>
      <c r="M194" s="948"/>
      <c r="N194" s="948"/>
      <c r="O194" s="948"/>
      <c r="P194" s="948"/>
      <c r="Q194" s="948"/>
      <c r="R194" s="948"/>
      <c r="S194" s="948"/>
      <c r="T194" s="948"/>
      <c r="U194" s="948"/>
      <c r="V194" s="948"/>
      <c r="W194" s="948"/>
      <c r="X194" s="948"/>
      <c r="Y194" s="948"/>
      <c r="Z194" s="948"/>
      <c r="AA194" s="948"/>
      <c r="AB194" s="948"/>
      <c r="AC194" s="948"/>
      <c r="AD194" s="948"/>
      <c r="AE194" s="948"/>
      <c r="AF194" s="948"/>
    </row>
    <row r="195" spans="1:32">
      <c r="A195" s="948"/>
      <c r="B195" s="948"/>
      <c r="C195" s="948"/>
      <c r="D195" s="948"/>
      <c r="E195" s="948"/>
      <c r="F195" s="948"/>
      <c r="G195" s="948"/>
      <c r="H195" s="948"/>
      <c r="I195" s="948"/>
      <c r="J195" s="948"/>
      <c r="K195" s="948"/>
      <c r="L195" s="948"/>
      <c r="M195" s="948"/>
      <c r="N195" s="948"/>
      <c r="O195" s="948"/>
      <c r="P195" s="948"/>
      <c r="Q195" s="948"/>
      <c r="R195" s="948"/>
      <c r="S195" s="948"/>
      <c r="T195" s="948"/>
      <c r="U195" s="948"/>
      <c r="V195" s="948"/>
      <c r="W195" s="948"/>
      <c r="X195" s="948"/>
      <c r="Y195" s="948"/>
      <c r="Z195" s="948"/>
      <c r="AA195" s="948"/>
      <c r="AB195" s="948"/>
      <c r="AC195" s="948"/>
      <c r="AD195" s="948"/>
      <c r="AE195" s="948"/>
      <c r="AF195" s="948"/>
    </row>
    <row r="196" spans="1:32">
      <c r="A196" s="948"/>
      <c r="B196" s="948"/>
      <c r="C196" s="948"/>
      <c r="D196" s="948"/>
      <c r="E196" s="948"/>
      <c r="F196" s="948"/>
      <c r="G196" s="948"/>
      <c r="H196" s="948"/>
      <c r="I196" s="948"/>
      <c r="J196" s="948"/>
      <c r="K196" s="948"/>
      <c r="L196" s="948"/>
      <c r="M196" s="948"/>
      <c r="N196" s="948"/>
      <c r="O196" s="948"/>
      <c r="P196" s="948"/>
      <c r="Q196" s="948"/>
      <c r="R196" s="948"/>
      <c r="S196" s="948"/>
      <c r="T196" s="948"/>
      <c r="U196" s="948"/>
      <c r="V196" s="948"/>
      <c r="W196" s="948"/>
      <c r="X196" s="948"/>
      <c r="Y196" s="948"/>
      <c r="Z196" s="948"/>
      <c r="AA196" s="948"/>
      <c r="AB196" s="948"/>
      <c r="AC196" s="948"/>
      <c r="AD196" s="948"/>
      <c r="AE196" s="948"/>
      <c r="AF196" s="948"/>
    </row>
    <row r="197" spans="1:32">
      <c r="A197" s="948"/>
      <c r="B197" s="948"/>
      <c r="C197" s="948"/>
      <c r="D197" s="948"/>
      <c r="E197" s="948"/>
      <c r="F197" s="948"/>
      <c r="G197" s="948"/>
      <c r="H197" s="948"/>
      <c r="I197" s="948"/>
      <c r="J197" s="948"/>
      <c r="K197" s="948"/>
      <c r="L197" s="948"/>
      <c r="M197" s="948"/>
      <c r="N197" s="948"/>
      <c r="O197" s="948"/>
      <c r="P197" s="948"/>
      <c r="Q197" s="948"/>
      <c r="R197" s="948"/>
      <c r="S197" s="948"/>
      <c r="T197" s="948"/>
      <c r="U197" s="948"/>
      <c r="V197" s="948"/>
      <c r="W197" s="948"/>
      <c r="X197" s="948"/>
      <c r="Y197" s="948"/>
      <c r="Z197" s="948"/>
      <c r="AA197" s="948"/>
      <c r="AB197" s="948"/>
      <c r="AC197" s="948"/>
      <c r="AD197" s="948"/>
      <c r="AE197" s="948"/>
      <c r="AF197" s="948"/>
    </row>
    <row r="198" spans="1:32">
      <c r="A198" s="948"/>
      <c r="B198" s="948"/>
      <c r="C198" s="948"/>
      <c r="D198" s="948"/>
      <c r="E198" s="948"/>
      <c r="F198" s="948"/>
      <c r="G198" s="948"/>
      <c r="H198" s="948"/>
      <c r="I198" s="948"/>
      <c r="J198" s="948"/>
      <c r="K198" s="948"/>
      <c r="L198" s="948"/>
      <c r="M198" s="948"/>
      <c r="N198" s="948"/>
      <c r="O198" s="948"/>
      <c r="P198" s="948"/>
      <c r="Q198" s="948"/>
      <c r="R198" s="948"/>
      <c r="S198" s="948"/>
      <c r="T198" s="948"/>
      <c r="U198" s="948"/>
      <c r="V198" s="948"/>
      <c r="W198" s="948"/>
      <c r="X198" s="948"/>
      <c r="Y198" s="948"/>
      <c r="Z198" s="948"/>
      <c r="AA198" s="948"/>
      <c r="AB198" s="948"/>
      <c r="AC198" s="948"/>
      <c r="AD198" s="948"/>
      <c r="AE198" s="948"/>
      <c r="AF198" s="948"/>
    </row>
    <row r="199" spans="1:32">
      <c r="A199" s="948"/>
      <c r="B199" s="948"/>
      <c r="C199" s="948"/>
      <c r="D199" s="948"/>
      <c r="E199" s="948"/>
      <c r="F199" s="948"/>
      <c r="G199" s="948"/>
      <c r="H199" s="948"/>
      <c r="I199" s="948"/>
      <c r="J199" s="948"/>
      <c r="K199" s="948"/>
      <c r="L199" s="948"/>
      <c r="M199" s="948"/>
      <c r="N199" s="948"/>
      <c r="O199" s="948"/>
      <c r="P199" s="948"/>
      <c r="Q199" s="948"/>
      <c r="R199" s="948"/>
      <c r="S199" s="948"/>
      <c r="T199" s="948"/>
      <c r="U199" s="948"/>
      <c r="V199" s="948"/>
      <c r="W199" s="948"/>
      <c r="X199" s="948"/>
      <c r="Y199" s="948"/>
      <c r="Z199" s="948"/>
      <c r="AA199" s="948"/>
      <c r="AB199" s="948"/>
      <c r="AC199" s="948"/>
      <c r="AD199" s="948"/>
      <c r="AE199" s="948"/>
      <c r="AF199" s="948"/>
    </row>
    <row r="200" spans="1:32">
      <c r="A200" s="948"/>
      <c r="B200" s="948"/>
      <c r="C200" s="948"/>
      <c r="D200" s="948"/>
      <c r="E200" s="948"/>
      <c r="F200" s="948"/>
      <c r="G200" s="948"/>
      <c r="H200" s="948"/>
      <c r="I200" s="948"/>
      <c r="J200" s="948"/>
      <c r="K200" s="948"/>
      <c r="L200" s="948"/>
      <c r="M200" s="948"/>
      <c r="N200" s="948"/>
      <c r="O200" s="948"/>
      <c r="P200" s="948"/>
      <c r="Q200" s="948"/>
      <c r="R200" s="948"/>
      <c r="S200" s="948"/>
      <c r="T200" s="948"/>
      <c r="U200" s="948"/>
      <c r="V200" s="948"/>
      <c r="W200" s="948"/>
      <c r="X200" s="948"/>
      <c r="Y200" s="948"/>
      <c r="Z200" s="948"/>
      <c r="AA200" s="948"/>
      <c r="AB200" s="948"/>
      <c r="AC200" s="948"/>
      <c r="AD200" s="948"/>
      <c r="AE200" s="948"/>
      <c r="AF200" s="948"/>
    </row>
    <row r="201" spans="1:32">
      <c r="A201" s="948"/>
      <c r="B201" s="948"/>
      <c r="C201" s="948"/>
      <c r="D201" s="948"/>
      <c r="E201" s="948"/>
      <c r="F201" s="948"/>
      <c r="G201" s="948"/>
      <c r="H201" s="948"/>
      <c r="I201" s="948"/>
      <c r="J201" s="948"/>
      <c r="K201" s="948"/>
      <c r="L201" s="948"/>
      <c r="M201" s="948"/>
      <c r="N201" s="948"/>
      <c r="O201" s="948"/>
      <c r="P201" s="948"/>
      <c r="Q201" s="948"/>
      <c r="R201" s="948"/>
      <c r="S201" s="948"/>
      <c r="T201" s="948"/>
      <c r="U201" s="948"/>
      <c r="V201" s="948"/>
      <c r="W201" s="948"/>
      <c r="X201" s="948"/>
      <c r="Y201" s="948"/>
      <c r="Z201" s="948"/>
      <c r="AA201" s="948"/>
      <c r="AB201" s="948"/>
      <c r="AC201" s="948"/>
      <c r="AD201" s="948"/>
      <c r="AE201" s="948"/>
      <c r="AF201" s="948"/>
    </row>
    <row r="202" spans="1:32">
      <c r="A202" s="948"/>
      <c r="B202" s="948"/>
      <c r="C202" s="948"/>
      <c r="D202" s="948"/>
      <c r="E202" s="948"/>
      <c r="F202" s="948"/>
      <c r="G202" s="948"/>
      <c r="H202" s="948"/>
      <c r="I202" s="948"/>
      <c r="J202" s="948"/>
      <c r="K202" s="948"/>
      <c r="L202" s="948"/>
      <c r="M202" s="948"/>
      <c r="N202" s="948"/>
      <c r="O202" s="948"/>
      <c r="P202" s="948"/>
      <c r="Q202" s="948"/>
      <c r="R202" s="948"/>
      <c r="S202" s="948"/>
      <c r="T202" s="948"/>
      <c r="U202" s="948"/>
      <c r="V202" s="948"/>
      <c r="W202" s="948"/>
      <c r="X202" s="948"/>
      <c r="Y202" s="948"/>
      <c r="Z202" s="948"/>
      <c r="AA202" s="948"/>
      <c r="AB202" s="948"/>
      <c r="AC202" s="948"/>
      <c r="AD202" s="948"/>
      <c r="AE202" s="948"/>
      <c r="AF202" s="948"/>
    </row>
    <row r="203" spans="1:32">
      <c r="A203" s="948"/>
      <c r="B203" s="948"/>
      <c r="C203" s="948"/>
      <c r="D203" s="948"/>
      <c r="E203" s="948"/>
      <c r="F203" s="948"/>
      <c r="G203" s="948"/>
      <c r="H203" s="948"/>
      <c r="I203" s="948"/>
      <c r="J203" s="948"/>
      <c r="K203" s="948"/>
      <c r="L203" s="948"/>
      <c r="M203" s="948"/>
      <c r="N203" s="948"/>
      <c r="O203" s="948"/>
      <c r="P203" s="948"/>
      <c r="Q203" s="948"/>
      <c r="R203" s="948"/>
      <c r="S203" s="948"/>
      <c r="T203" s="948"/>
      <c r="U203" s="948"/>
      <c r="V203" s="948"/>
      <c r="W203" s="948"/>
      <c r="X203" s="948"/>
      <c r="Y203" s="948"/>
      <c r="Z203" s="948"/>
      <c r="AA203" s="948"/>
      <c r="AB203" s="948"/>
      <c r="AC203" s="948"/>
      <c r="AD203" s="948"/>
      <c r="AE203" s="948"/>
      <c r="AF203" s="948"/>
    </row>
    <row r="204" spans="1:32">
      <c r="A204" s="948"/>
      <c r="B204" s="948"/>
      <c r="C204" s="948"/>
      <c r="D204" s="948"/>
      <c r="E204" s="948"/>
      <c r="F204" s="948"/>
      <c r="G204" s="948"/>
      <c r="H204" s="948"/>
      <c r="I204" s="948"/>
      <c r="J204" s="948"/>
      <c r="K204" s="948"/>
      <c r="L204" s="948"/>
      <c r="M204" s="948"/>
      <c r="N204" s="948"/>
      <c r="O204" s="948"/>
      <c r="P204" s="948"/>
      <c r="Q204" s="948"/>
      <c r="R204" s="948"/>
      <c r="S204" s="948"/>
      <c r="T204" s="948"/>
      <c r="U204" s="948"/>
      <c r="V204" s="948"/>
      <c r="W204" s="948"/>
      <c r="X204" s="948"/>
      <c r="Y204" s="948"/>
      <c r="Z204" s="948"/>
      <c r="AA204" s="948"/>
      <c r="AB204" s="948"/>
      <c r="AC204" s="948"/>
      <c r="AD204" s="948"/>
      <c r="AE204" s="948"/>
      <c r="AF204" s="948"/>
    </row>
    <row r="205" spans="1:32">
      <c r="A205" s="948"/>
      <c r="B205" s="948"/>
      <c r="C205" s="948"/>
      <c r="D205" s="948"/>
      <c r="E205" s="948"/>
      <c r="F205" s="948"/>
      <c r="G205" s="948"/>
      <c r="H205" s="948"/>
      <c r="I205" s="948"/>
      <c r="J205" s="948"/>
      <c r="K205" s="948"/>
      <c r="L205" s="948"/>
      <c r="M205" s="948"/>
      <c r="N205" s="948"/>
      <c r="O205" s="948"/>
      <c r="P205" s="948"/>
      <c r="Q205" s="948"/>
      <c r="R205" s="948"/>
      <c r="S205" s="948"/>
      <c r="T205" s="948"/>
      <c r="U205" s="948"/>
      <c r="V205" s="948"/>
      <c r="W205" s="948"/>
      <c r="X205" s="948"/>
      <c r="Y205" s="948"/>
      <c r="Z205" s="948"/>
      <c r="AA205" s="948"/>
      <c r="AB205" s="948"/>
      <c r="AC205" s="948"/>
      <c r="AD205" s="948"/>
      <c r="AE205" s="948"/>
      <c r="AF205" s="948"/>
    </row>
    <row r="206" spans="1:32">
      <c r="A206" s="948"/>
      <c r="B206" s="948"/>
      <c r="C206" s="948"/>
      <c r="D206" s="948"/>
      <c r="E206" s="948"/>
      <c r="F206" s="948"/>
      <c r="G206" s="948"/>
      <c r="H206" s="948"/>
      <c r="I206" s="948"/>
      <c r="J206" s="948"/>
      <c r="K206" s="948"/>
      <c r="L206" s="948"/>
      <c r="M206" s="948"/>
      <c r="N206" s="948"/>
      <c r="O206" s="948"/>
      <c r="P206" s="948"/>
      <c r="Q206" s="948"/>
      <c r="R206" s="948"/>
      <c r="S206" s="948"/>
      <c r="T206" s="948"/>
      <c r="U206" s="948"/>
      <c r="V206" s="948"/>
      <c r="W206" s="948"/>
      <c r="X206" s="948"/>
      <c r="Y206" s="948"/>
      <c r="Z206" s="948"/>
      <c r="AA206" s="948"/>
      <c r="AB206" s="948"/>
      <c r="AC206" s="948"/>
      <c r="AD206" s="948"/>
      <c r="AE206" s="948"/>
      <c r="AF206" s="948"/>
    </row>
    <row r="207" spans="1:32">
      <c r="A207" s="948"/>
      <c r="B207" s="948"/>
      <c r="C207" s="948"/>
      <c r="D207" s="948"/>
      <c r="E207" s="948"/>
      <c r="F207" s="948"/>
      <c r="G207" s="948"/>
      <c r="H207" s="948"/>
      <c r="I207" s="948"/>
      <c r="J207" s="948"/>
      <c r="K207" s="948"/>
      <c r="L207" s="948"/>
      <c r="M207" s="948"/>
      <c r="N207" s="948"/>
      <c r="O207" s="948"/>
      <c r="P207" s="948"/>
      <c r="Q207" s="948"/>
      <c r="R207" s="948"/>
      <c r="S207" s="948"/>
      <c r="T207" s="948"/>
      <c r="U207" s="948"/>
      <c r="V207" s="948"/>
      <c r="W207" s="948"/>
      <c r="X207" s="948"/>
      <c r="Y207" s="948"/>
      <c r="Z207" s="948"/>
      <c r="AA207" s="948"/>
      <c r="AB207" s="948"/>
      <c r="AC207" s="948"/>
      <c r="AD207" s="948"/>
      <c r="AE207" s="948"/>
      <c r="AF207" s="948"/>
    </row>
    <row r="208" spans="1:32">
      <c r="A208" s="948"/>
      <c r="B208" s="948"/>
      <c r="C208" s="948"/>
      <c r="D208" s="948"/>
      <c r="E208" s="948"/>
      <c r="F208" s="948"/>
      <c r="G208" s="948"/>
      <c r="H208" s="948"/>
      <c r="I208" s="948"/>
      <c r="J208" s="948"/>
      <c r="K208" s="948"/>
      <c r="L208" s="948"/>
      <c r="M208" s="948"/>
      <c r="N208" s="948"/>
      <c r="O208" s="948"/>
      <c r="P208" s="948"/>
      <c r="Q208" s="948"/>
      <c r="R208" s="948"/>
      <c r="S208" s="948"/>
      <c r="T208" s="948"/>
      <c r="U208" s="948"/>
      <c r="V208" s="948"/>
      <c r="W208" s="948"/>
      <c r="X208" s="948"/>
      <c r="Y208" s="948"/>
      <c r="Z208" s="948"/>
      <c r="AA208" s="948"/>
      <c r="AB208" s="948"/>
      <c r="AC208" s="948"/>
      <c r="AD208" s="948"/>
      <c r="AE208" s="948"/>
      <c r="AF208" s="948"/>
    </row>
    <row r="209" spans="1:32">
      <c r="A209" s="948"/>
      <c r="B209" s="948"/>
      <c r="C209" s="948"/>
      <c r="D209" s="948"/>
      <c r="E209" s="948"/>
      <c r="F209" s="948"/>
      <c r="G209" s="948"/>
      <c r="H209" s="948"/>
      <c r="I209" s="948"/>
      <c r="J209" s="948"/>
      <c r="K209" s="948"/>
      <c r="L209" s="948"/>
      <c r="M209" s="948"/>
      <c r="N209" s="948"/>
      <c r="O209" s="948"/>
      <c r="P209" s="948"/>
      <c r="Q209" s="948"/>
      <c r="R209" s="948"/>
      <c r="S209" s="948"/>
      <c r="T209" s="948"/>
      <c r="U209" s="948"/>
      <c r="V209" s="948"/>
      <c r="W209" s="948"/>
      <c r="X209" s="948"/>
      <c r="Y209" s="948"/>
      <c r="Z209" s="948"/>
      <c r="AA209" s="948"/>
      <c r="AB209" s="948"/>
      <c r="AC209" s="948"/>
      <c r="AD209" s="948"/>
      <c r="AE209" s="948"/>
      <c r="AF209" s="948"/>
    </row>
    <row r="210" spans="1:32">
      <c r="A210" s="948"/>
      <c r="B210" s="948"/>
      <c r="C210" s="948"/>
      <c r="D210" s="948"/>
      <c r="E210" s="948"/>
      <c r="F210" s="948"/>
      <c r="G210" s="948"/>
      <c r="H210" s="948"/>
      <c r="I210" s="948"/>
      <c r="J210" s="948"/>
      <c r="K210" s="948"/>
      <c r="L210" s="948"/>
      <c r="M210" s="948"/>
      <c r="N210" s="948"/>
      <c r="O210" s="948"/>
      <c r="P210" s="948"/>
      <c r="Q210" s="948"/>
      <c r="R210" s="948"/>
      <c r="S210" s="948"/>
      <c r="T210" s="948"/>
      <c r="U210" s="948"/>
      <c r="V210" s="948"/>
      <c r="W210" s="948"/>
      <c r="X210" s="948"/>
      <c r="Y210" s="948"/>
      <c r="Z210" s="948"/>
      <c r="AA210" s="948"/>
      <c r="AB210" s="948"/>
      <c r="AC210" s="948"/>
      <c r="AD210" s="948"/>
      <c r="AE210" s="948"/>
      <c r="AF210" s="948"/>
    </row>
    <row r="211" spans="1:32">
      <c r="A211" s="948"/>
      <c r="B211" s="948"/>
      <c r="C211" s="948"/>
      <c r="D211" s="948"/>
      <c r="E211" s="948"/>
      <c r="F211" s="948"/>
      <c r="G211" s="948"/>
      <c r="H211" s="948"/>
      <c r="I211" s="948"/>
      <c r="J211" s="948"/>
      <c r="K211" s="948"/>
      <c r="L211" s="948"/>
      <c r="M211" s="948"/>
      <c r="N211" s="948"/>
      <c r="O211" s="948"/>
      <c r="P211" s="948"/>
      <c r="Q211" s="948"/>
      <c r="R211" s="948"/>
      <c r="S211" s="948"/>
      <c r="T211" s="948"/>
      <c r="U211" s="948"/>
      <c r="V211" s="948"/>
      <c r="W211" s="948"/>
      <c r="X211" s="948"/>
      <c r="Y211" s="948"/>
      <c r="Z211" s="948"/>
      <c r="AA211" s="948"/>
      <c r="AB211" s="948"/>
      <c r="AC211" s="948"/>
      <c r="AD211" s="948"/>
      <c r="AE211" s="948"/>
      <c r="AF211" s="948"/>
    </row>
    <row r="212" spans="1:32">
      <c r="A212" s="948"/>
      <c r="B212" s="948"/>
      <c r="C212" s="948"/>
      <c r="D212" s="948"/>
      <c r="E212" s="948"/>
      <c r="F212" s="948"/>
      <c r="G212" s="948"/>
      <c r="H212" s="948"/>
      <c r="I212" s="948"/>
      <c r="J212" s="948"/>
      <c r="K212" s="948"/>
      <c r="L212" s="948"/>
      <c r="M212" s="948"/>
      <c r="N212" s="948"/>
      <c r="O212" s="948"/>
      <c r="P212" s="948"/>
      <c r="Q212" s="948"/>
      <c r="R212" s="948"/>
      <c r="S212" s="948"/>
      <c r="T212" s="948"/>
      <c r="U212" s="948"/>
      <c r="V212" s="948"/>
      <c r="W212" s="948"/>
      <c r="X212" s="948"/>
      <c r="Y212" s="948"/>
      <c r="Z212" s="948"/>
      <c r="AA212" s="948"/>
      <c r="AB212" s="948"/>
      <c r="AC212" s="948"/>
      <c r="AD212" s="948"/>
      <c r="AE212" s="948"/>
      <c r="AF212" s="948"/>
    </row>
    <row r="213" spans="1:32">
      <c r="A213" s="948"/>
      <c r="B213" s="948"/>
      <c r="C213" s="948"/>
      <c r="D213" s="948"/>
      <c r="E213" s="948"/>
      <c r="F213" s="948"/>
      <c r="G213" s="948"/>
      <c r="H213" s="948"/>
      <c r="I213" s="948"/>
      <c r="J213" s="948"/>
      <c r="K213" s="948"/>
      <c r="L213" s="948"/>
      <c r="M213" s="948"/>
      <c r="N213" s="948"/>
      <c r="O213" s="948"/>
      <c r="P213" s="948"/>
      <c r="Q213" s="948"/>
      <c r="R213" s="948"/>
      <c r="S213" s="948"/>
      <c r="T213" s="948"/>
      <c r="U213" s="948"/>
      <c r="V213" s="948"/>
      <c r="W213" s="948"/>
      <c r="X213" s="948"/>
      <c r="Y213" s="948"/>
      <c r="Z213" s="948"/>
      <c r="AA213" s="948"/>
      <c r="AB213" s="948"/>
      <c r="AC213" s="948"/>
      <c r="AD213" s="948"/>
      <c r="AE213" s="948"/>
      <c r="AF213" s="948"/>
    </row>
    <row r="214" spans="1:32">
      <c r="A214" s="948"/>
      <c r="B214" s="948"/>
      <c r="C214" s="948"/>
      <c r="D214" s="948"/>
      <c r="E214" s="948"/>
      <c r="F214" s="948"/>
      <c r="G214" s="948"/>
      <c r="H214" s="948"/>
      <c r="I214" s="948"/>
      <c r="J214" s="948"/>
      <c r="K214" s="948"/>
      <c r="L214" s="948"/>
      <c r="M214" s="948"/>
      <c r="N214" s="948"/>
      <c r="O214" s="948"/>
      <c r="P214" s="948"/>
      <c r="Q214" s="948"/>
      <c r="R214" s="948"/>
      <c r="S214" s="948"/>
      <c r="T214" s="948"/>
      <c r="U214" s="948"/>
      <c r="V214" s="948"/>
      <c r="W214" s="948"/>
      <c r="X214" s="948"/>
      <c r="Y214" s="948"/>
      <c r="Z214" s="948"/>
      <c r="AA214" s="948"/>
      <c r="AB214" s="948"/>
      <c r="AC214" s="948"/>
      <c r="AD214" s="948"/>
      <c r="AE214" s="948"/>
      <c r="AF214" s="948"/>
    </row>
    <row r="215" spans="1:32">
      <c r="A215" s="948"/>
      <c r="B215" s="948"/>
      <c r="C215" s="948"/>
      <c r="D215" s="948"/>
      <c r="E215" s="948"/>
      <c r="F215" s="948"/>
      <c r="G215" s="948"/>
      <c r="H215" s="948"/>
      <c r="I215" s="948"/>
      <c r="J215" s="948"/>
      <c r="K215" s="948"/>
      <c r="L215" s="948"/>
      <c r="M215" s="948"/>
      <c r="N215" s="948"/>
      <c r="O215" s="948"/>
      <c r="P215" s="948"/>
      <c r="Q215" s="948"/>
      <c r="R215" s="948"/>
      <c r="S215" s="948"/>
      <c r="T215" s="948"/>
      <c r="U215" s="948"/>
      <c r="V215" s="948"/>
      <c r="W215" s="948"/>
      <c r="X215" s="948"/>
      <c r="Y215" s="948"/>
      <c r="Z215" s="948"/>
      <c r="AA215" s="948"/>
      <c r="AB215" s="948"/>
      <c r="AC215" s="948"/>
      <c r="AD215" s="948"/>
      <c r="AE215" s="948"/>
      <c r="AF215" s="948"/>
    </row>
    <row r="216" spans="1:32">
      <c r="A216" s="948"/>
      <c r="B216" s="948"/>
      <c r="C216" s="948"/>
      <c r="D216" s="948"/>
      <c r="E216" s="948"/>
      <c r="F216" s="948"/>
      <c r="G216" s="948"/>
      <c r="H216" s="948"/>
      <c r="I216" s="948"/>
      <c r="J216" s="948"/>
      <c r="K216" s="948"/>
      <c r="L216" s="948"/>
      <c r="M216" s="948"/>
      <c r="N216" s="948"/>
      <c r="O216" s="948"/>
      <c r="P216" s="948"/>
      <c r="Q216" s="948"/>
      <c r="R216" s="948"/>
      <c r="S216" s="948"/>
      <c r="T216" s="948"/>
      <c r="U216" s="948"/>
      <c r="V216" s="948"/>
      <c r="W216" s="948"/>
      <c r="X216" s="948"/>
      <c r="Y216" s="948"/>
      <c r="Z216" s="948"/>
      <c r="AA216" s="948"/>
      <c r="AB216" s="948"/>
      <c r="AC216" s="948"/>
      <c r="AD216" s="948"/>
      <c r="AE216" s="948"/>
      <c r="AF216" s="948"/>
    </row>
    <row r="217" spans="1:32">
      <c r="A217" s="948"/>
      <c r="B217" s="948"/>
      <c r="C217" s="948"/>
      <c r="D217" s="948"/>
      <c r="E217" s="948"/>
      <c r="F217" s="948"/>
      <c r="G217" s="948"/>
      <c r="H217" s="948"/>
      <c r="I217" s="948"/>
      <c r="J217" s="948"/>
      <c r="K217" s="948"/>
      <c r="L217" s="948"/>
      <c r="M217" s="948"/>
      <c r="N217" s="948"/>
      <c r="O217" s="948"/>
      <c r="P217" s="948"/>
      <c r="Q217" s="948"/>
      <c r="R217" s="948"/>
      <c r="S217" s="948"/>
      <c r="T217" s="948"/>
      <c r="U217" s="948"/>
      <c r="V217" s="948"/>
      <c r="W217" s="948"/>
      <c r="X217" s="948"/>
      <c r="Y217" s="948"/>
      <c r="Z217" s="948"/>
      <c r="AA217" s="948"/>
      <c r="AB217" s="948"/>
      <c r="AC217" s="948"/>
      <c r="AD217" s="948"/>
      <c r="AE217" s="948"/>
      <c r="AF217" s="948"/>
    </row>
    <row r="218" spans="1:32">
      <c r="A218" s="948"/>
      <c r="B218" s="948"/>
      <c r="C218" s="948"/>
      <c r="D218" s="948"/>
      <c r="E218" s="948"/>
      <c r="F218" s="948"/>
      <c r="G218" s="948"/>
      <c r="H218" s="948"/>
      <c r="I218" s="948"/>
      <c r="J218" s="948"/>
      <c r="K218" s="948"/>
      <c r="L218" s="948"/>
      <c r="M218" s="948"/>
      <c r="N218" s="948"/>
      <c r="O218" s="948"/>
      <c r="P218" s="948"/>
      <c r="Q218" s="948"/>
      <c r="R218" s="948"/>
      <c r="S218" s="948"/>
      <c r="T218" s="948"/>
      <c r="U218" s="948"/>
      <c r="V218" s="948"/>
      <c r="W218" s="948"/>
      <c r="X218" s="948"/>
      <c r="Y218" s="948"/>
      <c r="Z218" s="948"/>
      <c r="AA218" s="948"/>
      <c r="AB218" s="948"/>
      <c r="AC218" s="948"/>
      <c r="AD218" s="948"/>
      <c r="AE218" s="948"/>
      <c r="AF218" s="948"/>
    </row>
    <row r="219" spans="1:32">
      <c r="A219" s="948"/>
      <c r="B219" s="948"/>
      <c r="C219" s="948"/>
      <c r="D219" s="948"/>
      <c r="E219" s="948"/>
      <c r="F219" s="948"/>
      <c r="G219" s="948"/>
      <c r="H219" s="948"/>
      <c r="I219" s="948"/>
      <c r="J219" s="948"/>
      <c r="K219" s="948"/>
      <c r="L219" s="948"/>
      <c r="M219" s="948"/>
      <c r="N219" s="948"/>
      <c r="O219" s="948"/>
      <c r="P219" s="948"/>
      <c r="Q219" s="948"/>
      <c r="R219" s="948"/>
      <c r="S219" s="948"/>
      <c r="T219" s="948"/>
      <c r="U219" s="948"/>
      <c r="V219" s="948"/>
      <c r="W219" s="948"/>
      <c r="X219" s="948"/>
      <c r="Y219" s="948"/>
      <c r="Z219" s="948"/>
      <c r="AA219" s="948"/>
      <c r="AB219" s="948"/>
      <c r="AC219" s="948"/>
      <c r="AD219" s="948"/>
      <c r="AE219" s="948"/>
      <c r="AF219" s="948"/>
    </row>
    <row r="220" spans="1:32">
      <c r="A220" s="948"/>
      <c r="B220" s="948"/>
      <c r="C220" s="948"/>
      <c r="D220" s="948"/>
      <c r="E220" s="948"/>
      <c r="F220" s="948"/>
      <c r="G220" s="948"/>
      <c r="H220" s="948"/>
      <c r="I220" s="948"/>
      <c r="J220" s="948"/>
      <c r="K220" s="948"/>
      <c r="L220" s="948"/>
      <c r="M220" s="948"/>
      <c r="N220" s="948"/>
      <c r="O220" s="948"/>
      <c r="P220" s="948"/>
      <c r="Q220" s="948"/>
      <c r="R220" s="948"/>
      <c r="S220" s="948"/>
      <c r="T220" s="948"/>
      <c r="U220" s="948"/>
      <c r="V220" s="948"/>
      <c r="W220" s="948"/>
      <c r="X220" s="948"/>
      <c r="Y220" s="948"/>
      <c r="Z220" s="948"/>
      <c r="AA220" s="948"/>
      <c r="AB220" s="948"/>
      <c r="AC220" s="948"/>
      <c r="AD220" s="948"/>
      <c r="AE220" s="948"/>
      <c r="AF220" s="948"/>
    </row>
    <row r="221" spans="1:32">
      <c r="A221" s="948"/>
      <c r="B221" s="948"/>
      <c r="C221" s="948"/>
      <c r="D221" s="948"/>
      <c r="E221" s="948"/>
      <c r="F221" s="948"/>
      <c r="G221" s="948"/>
      <c r="H221" s="948"/>
      <c r="I221" s="948"/>
      <c r="J221" s="948"/>
      <c r="K221" s="948"/>
      <c r="L221" s="948"/>
      <c r="M221" s="948"/>
      <c r="N221" s="948"/>
      <c r="O221" s="948"/>
      <c r="P221" s="948"/>
      <c r="Q221" s="948"/>
      <c r="R221" s="948"/>
      <c r="S221" s="948"/>
      <c r="T221" s="948"/>
      <c r="U221" s="948"/>
      <c r="V221" s="948"/>
      <c r="W221" s="948"/>
      <c r="X221" s="948"/>
      <c r="Y221" s="948"/>
      <c r="Z221" s="948"/>
      <c r="AA221" s="948"/>
      <c r="AB221" s="948"/>
      <c r="AC221" s="948"/>
      <c r="AD221" s="948"/>
      <c r="AE221" s="948"/>
      <c r="AF221" s="948"/>
    </row>
    <row r="222" spans="1:32">
      <c r="A222" s="948"/>
      <c r="B222" s="948"/>
      <c r="C222" s="948"/>
      <c r="D222" s="948"/>
      <c r="E222" s="948"/>
      <c r="F222" s="948"/>
      <c r="G222" s="948"/>
      <c r="H222" s="948"/>
      <c r="I222" s="948"/>
      <c r="J222" s="948"/>
      <c r="K222" s="948"/>
      <c r="L222" s="948"/>
      <c r="M222" s="948"/>
      <c r="N222" s="948"/>
      <c r="O222" s="948"/>
      <c r="P222" s="948"/>
      <c r="Q222" s="948"/>
      <c r="R222" s="948"/>
      <c r="S222" s="948"/>
      <c r="T222" s="948"/>
      <c r="U222" s="948"/>
      <c r="V222" s="948"/>
      <c r="W222" s="948"/>
      <c r="X222" s="948"/>
      <c r="Y222" s="948"/>
      <c r="Z222" s="948"/>
      <c r="AA222" s="948"/>
      <c r="AB222" s="948"/>
      <c r="AC222" s="948"/>
      <c r="AD222" s="948"/>
      <c r="AE222" s="948"/>
      <c r="AF222" s="948"/>
    </row>
    <row r="223" spans="1:32">
      <c r="A223" s="948"/>
      <c r="B223" s="948"/>
      <c r="C223" s="948"/>
      <c r="D223" s="948"/>
      <c r="E223" s="948"/>
      <c r="F223" s="948"/>
      <c r="G223" s="948"/>
      <c r="H223" s="948"/>
      <c r="I223" s="948"/>
      <c r="J223" s="948"/>
      <c r="K223" s="948"/>
      <c r="L223" s="948"/>
      <c r="M223" s="948"/>
      <c r="N223" s="948"/>
      <c r="O223" s="948"/>
      <c r="P223" s="948"/>
      <c r="Q223" s="948"/>
      <c r="R223" s="948"/>
      <c r="S223" s="948"/>
      <c r="T223" s="948"/>
      <c r="U223" s="948"/>
      <c r="V223" s="948"/>
      <c r="W223" s="948"/>
      <c r="X223" s="948"/>
      <c r="Y223" s="948"/>
      <c r="Z223" s="948"/>
      <c r="AA223" s="948"/>
      <c r="AB223" s="948"/>
      <c r="AC223" s="948"/>
      <c r="AD223" s="948"/>
      <c r="AE223" s="948"/>
      <c r="AF223" s="948"/>
    </row>
    <row r="224" spans="1:32">
      <c r="A224" s="948"/>
      <c r="B224" s="948"/>
      <c r="C224" s="948"/>
      <c r="D224" s="948"/>
      <c r="E224" s="948"/>
      <c r="F224" s="948"/>
      <c r="G224" s="948"/>
      <c r="H224" s="948"/>
      <c r="I224" s="948"/>
      <c r="J224" s="948"/>
      <c r="K224" s="948"/>
      <c r="L224" s="948"/>
      <c r="M224" s="948"/>
      <c r="N224" s="948"/>
      <c r="O224" s="948"/>
      <c r="P224" s="948"/>
      <c r="Q224" s="948"/>
      <c r="R224" s="948"/>
      <c r="S224" s="948"/>
      <c r="T224" s="948"/>
      <c r="U224" s="948"/>
      <c r="V224" s="948"/>
      <c r="W224" s="948"/>
      <c r="X224" s="948"/>
      <c r="Y224" s="948"/>
      <c r="Z224" s="948"/>
      <c r="AA224" s="948"/>
      <c r="AB224" s="948"/>
      <c r="AC224" s="948"/>
      <c r="AD224" s="948"/>
      <c r="AE224" s="948"/>
      <c r="AF224" s="948"/>
    </row>
    <row r="225" spans="1:32">
      <c r="A225" s="948"/>
      <c r="B225" s="948"/>
      <c r="C225" s="948"/>
      <c r="D225" s="948"/>
      <c r="E225" s="948"/>
      <c r="F225" s="948"/>
      <c r="G225" s="948"/>
      <c r="H225" s="948"/>
      <c r="I225" s="948"/>
      <c r="J225" s="948"/>
      <c r="K225" s="948"/>
      <c r="L225" s="948"/>
      <c r="M225" s="948"/>
      <c r="N225" s="948"/>
      <c r="O225" s="948"/>
      <c r="P225" s="948"/>
      <c r="Q225" s="948"/>
      <c r="R225" s="948"/>
      <c r="S225" s="948"/>
      <c r="T225" s="948"/>
      <c r="U225" s="948"/>
      <c r="V225" s="948"/>
      <c r="W225" s="948"/>
      <c r="X225" s="948"/>
      <c r="Y225" s="948"/>
      <c r="Z225" s="948"/>
      <c r="AA225" s="948"/>
      <c r="AB225" s="948"/>
      <c r="AC225" s="948"/>
      <c r="AD225" s="948"/>
      <c r="AE225" s="948"/>
      <c r="AF225" s="948"/>
    </row>
    <row r="226" spans="1:32">
      <c r="A226" s="948"/>
      <c r="B226" s="948"/>
      <c r="C226" s="948"/>
      <c r="D226" s="948"/>
      <c r="E226" s="948"/>
      <c r="F226" s="948"/>
      <c r="G226" s="948"/>
      <c r="H226" s="948"/>
      <c r="I226" s="948"/>
      <c r="J226" s="948"/>
      <c r="K226" s="948"/>
      <c r="L226" s="948"/>
      <c r="M226" s="948"/>
      <c r="N226" s="948"/>
      <c r="O226" s="948"/>
      <c r="P226" s="948"/>
      <c r="Q226" s="948"/>
      <c r="R226" s="948"/>
      <c r="S226" s="948"/>
      <c r="T226" s="948"/>
      <c r="U226" s="948"/>
      <c r="V226" s="948"/>
      <c r="W226" s="948"/>
      <c r="X226" s="948"/>
      <c r="Y226" s="948"/>
      <c r="Z226" s="948"/>
      <c r="AA226" s="948"/>
      <c r="AB226" s="948"/>
      <c r="AC226" s="948"/>
      <c r="AD226" s="948"/>
      <c r="AE226" s="948"/>
      <c r="AF226" s="948"/>
    </row>
    <row r="227" spans="1:32">
      <c r="A227" s="948"/>
      <c r="B227" s="948"/>
      <c r="C227" s="948"/>
      <c r="D227" s="948"/>
      <c r="E227" s="948"/>
      <c r="F227" s="948"/>
      <c r="G227" s="948"/>
      <c r="H227" s="948"/>
      <c r="I227" s="948"/>
      <c r="J227" s="948"/>
      <c r="K227" s="948"/>
      <c r="L227" s="948"/>
      <c r="M227" s="948"/>
      <c r="N227" s="948"/>
      <c r="O227" s="948"/>
      <c r="P227" s="948"/>
      <c r="Q227" s="948"/>
      <c r="R227" s="948"/>
      <c r="S227" s="948"/>
      <c r="T227" s="948"/>
      <c r="U227" s="948"/>
      <c r="V227" s="948"/>
      <c r="W227" s="948"/>
      <c r="X227" s="948"/>
      <c r="Y227" s="948"/>
      <c r="Z227" s="948"/>
      <c r="AA227" s="948"/>
      <c r="AB227" s="948"/>
      <c r="AC227" s="948"/>
      <c r="AD227" s="948"/>
      <c r="AE227" s="948"/>
      <c r="AF227" s="948"/>
    </row>
    <row r="228" spans="1:32">
      <c r="A228" s="948"/>
      <c r="B228" s="948"/>
      <c r="C228" s="948"/>
      <c r="D228" s="948"/>
      <c r="E228" s="948"/>
      <c r="F228" s="948"/>
      <c r="G228" s="948"/>
      <c r="H228" s="948"/>
      <c r="I228" s="948"/>
      <c r="J228" s="948"/>
      <c r="K228" s="948"/>
      <c r="L228" s="948"/>
      <c r="M228" s="948"/>
      <c r="N228" s="948"/>
      <c r="O228" s="948"/>
      <c r="P228" s="948"/>
      <c r="Q228" s="948"/>
      <c r="R228" s="948"/>
      <c r="S228" s="948"/>
      <c r="T228" s="948"/>
      <c r="U228" s="948"/>
      <c r="V228" s="948"/>
      <c r="W228" s="948"/>
      <c r="X228" s="948"/>
      <c r="Y228" s="948"/>
      <c r="Z228" s="948"/>
      <c r="AA228" s="948"/>
      <c r="AB228" s="948"/>
      <c r="AC228" s="948"/>
      <c r="AD228" s="948"/>
      <c r="AE228" s="948"/>
      <c r="AF228" s="948"/>
    </row>
    <row r="229" spans="1:32">
      <c r="A229" s="948"/>
      <c r="B229" s="948"/>
      <c r="C229" s="948"/>
      <c r="D229" s="948"/>
      <c r="E229" s="948"/>
      <c r="F229" s="948"/>
      <c r="G229" s="948"/>
      <c r="H229" s="948"/>
      <c r="I229" s="948"/>
      <c r="J229" s="948"/>
      <c r="K229" s="948"/>
      <c r="L229" s="948"/>
      <c r="M229" s="948"/>
      <c r="N229" s="948"/>
      <c r="O229" s="948"/>
      <c r="P229" s="948"/>
      <c r="Q229" s="948"/>
      <c r="R229" s="948"/>
      <c r="S229" s="948"/>
      <c r="T229" s="948"/>
      <c r="U229" s="948"/>
      <c r="V229" s="948"/>
      <c r="W229" s="948"/>
      <c r="X229" s="948"/>
      <c r="Y229" s="948"/>
      <c r="Z229" s="948"/>
      <c r="AA229" s="948"/>
      <c r="AB229" s="948"/>
      <c r="AC229" s="948"/>
      <c r="AD229" s="948"/>
      <c r="AE229" s="948"/>
      <c r="AF229" s="948"/>
    </row>
    <row r="230" spans="1:32">
      <c r="A230" s="948"/>
      <c r="B230" s="948"/>
      <c r="C230" s="948"/>
      <c r="D230" s="948"/>
      <c r="E230" s="948"/>
      <c r="F230" s="948"/>
      <c r="G230" s="948"/>
      <c r="H230" s="948"/>
      <c r="I230" s="948"/>
      <c r="J230" s="948"/>
      <c r="K230" s="948"/>
      <c r="L230" s="948"/>
      <c r="M230" s="948"/>
      <c r="N230" s="948"/>
      <c r="O230" s="948"/>
      <c r="P230" s="948"/>
      <c r="Q230" s="948"/>
      <c r="R230" s="948"/>
      <c r="S230" s="948"/>
      <c r="T230" s="948"/>
      <c r="U230" s="948"/>
      <c r="V230" s="948"/>
      <c r="W230" s="948"/>
      <c r="X230" s="948"/>
      <c r="Y230" s="948"/>
      <c r="Z230" s="948"/>
      <c r="AA230" s="948"/>
      <c r="AB230" s="948"/>
      <c r="AC230" s="948"/>
      <c r="AD230" s="948"/>
      <c r="AE230" s="948"/>
      <c r="AF230" s="948"/>
    </row>
    <row r="231" spans="1:32">
      <c r="A231" s="948"/>
      <c r="B231" s="948"/>
      <c r="C231" s="948"/>
      <c r="D231" s="948"/>
      <c r="E231" s="948"/>
      <c r="F231" s="948"/>
      <c r="G231" s="948"/>
      <c r="H231" s="948"/>
      <c r="I231" s="948"/>
      <c r="J231" s="948"/>
      <c r="K231" s="948"/>
      <c r="L231" s="948"/>
      <c r="M231" s="948"/>
      <c r="N231" s="948"/>
      <c r="O231" s="948"/>
      <c r="P231" s="948"/>
      <c r="Q231" s="948"/>
      <c r="R231" s="948"/>
      <c r="S231" s="948"/>
      <c r="T231" s="948"/>
      <c r="U231" s="948"/>
      <c r="V231" s="948"/>
      <c r="W231" s="948"/>
      <c r="X231" s="948"/>
      <c r="Y231" s="948"/>
      <c r="Z231" s="948"/>
      <c r="AA231" s="948"/>
      <c r="AB231" s="948"/>
      <c r="AC231" s="948"/>
      <c r="AD231" s="948"/>
      <c r="AE231" s="948"/>
      <c r="AF231" s="948"/>
    </row>
    <row r="232" spans="1:32">
      <c r="A232" s="948"/>
      <c r="B232" s="948"/>
      <c r="C232" s="948"/>
      <c r="D232" s="948"/>
      <c r="E232" s="948"/>
      <c r="F232" s="948"/>
      <c r="G232" s="948"/>
      <c r="H232" s="948"/>
      <c r="I232" s="948"/>
      <c r="J232" s="948"/>
      <c r="K232" s="948"/>
      <c r="L232" s="948"/>
      <c r="M232" s="948"/>
      <c r="N232" s="948"/>
      <c r="O232" s="948"/>
      <c r="P232" s="948"/>
      <c r="Q232" s="948"/>
      <c r="R232" s="948"/>
      <c r="S232" s="948"/>
      <c r="T232" s="948"/>
      <c r="U232" s="948"/>
      <c r="V232" s="948"/>
      <c r="W232" s="948"/>
      <c r="X232" s="948"/>
      <c r="Y232" s="948"/>
      <c r="Z232" s="948"/>
      <c r="AA232" s="948"/>
      <c r="AB232" s="948"/>
      <c r="AC232" s="948"/>
      <c r="AD232" s="948"/>
      <c r="AE232" s="948"/>
      <c r="AF232" s="948"/>
    </row>
    <row r="233" spans="1:32">
      <c r="A233" s="948"/>
      <c r="B233" s="948"/>
      <c r="C233" s="948"/>
      <c r="D233" s="948"/>
      <c r="E233" s="948"/>
      <c r="F233" s="948"/>
      <c r="G233" s="948"/>
      <c r="H233" s="948"/>
      <c r="I233" s="948"/>
      <c r="J233" s="948"/>
      <c r="K233" s="948"/>
      <c r="L233" s="948"/>
      <c r="M233" s="948"/>
      <c r="N233" s="948"/>
      <c r="O233" s="948"/>
      <c r="P233" s="948"/>
      <c r="Q233" s="948"/>
      <c r="R233" s="948"/>
      <c r="S233" s="948"/>
      <c r="T233" s="948"/>
      <c r="U233" s="948"/>
      <c r="V233" s="948"/>
      <c r="W233" s="948"/>
      <c r="X233" s="948"/>
      <c r="Y233" s="948"/>
      <c r="Z233" s="948"/>
      <c r="AA233" s="948"/>
      <c r="AB233" s="948"/>
      <c r="AC233" s="948"/>
      <c r="AD233" s="948"/>
      <c r="AE233" s="948"/>
      <c r="AF233" s="948"/>
    </row>
    <row r="234" spans="1:32">
      <c r="A234" s="948"/>
      <c r="B234" s="948"/>
      <c r="C234" s="948"/>
      <c r="D234" s="948"/>
      <c r="E234" s="948"/>
      <c r="F234" s="948"/>
      <c r="G234" s="948"/>
      <c r="H234" s="948"/>
      <c r="I234" s="948"/>
      <c r="J234" s="948"/>
      <c r="K234" s="948"/>
      <c r="L234" s="948"/>
      <c r="M234" s="948"/>
      <c r="N234" s="948"/>
      <c r="O234" s="948"/>
      <c r="P234" s="948"/>
      <c r="Q234" s="948"/>
      <c r="R234" s="948"/>
      <c r="S234" s="948"/>
      <c r="T234" s="948"/>
      <c r="U234" s="948"/>
      <c r="V234" s="948"/>
      <c r="W234" s="948"/>
      <c r="X234" s="948"/>
      <c r="Y234" s="948"/>
      <c r="Z234" s="948"/>
      <c r="AA234" s="948"/>
      <c r="AB234" s="948"/>
      <c r="AC234" s="948"/>
      <c r="AD234" s="948"/>
      <c r="AE234" s="948"/>
      <c r="AF234" s="948"/>
    </row>
    <row r="235" spans="1:32">
      <c r="A235" s="948"/>
      <c r="B235" s="948"/>
      <c r="C235" s="948"/>
      <c r="D235" s="948"/>
      <c r="E235" s="948"/>
      <c r="F235" s="948"/>
      <c r="G235" s="948"/>
      <c r="H235" s="948"/>
      <c r="I235" s="948"/>
      <c r="J235" s="948"/>
      <c r="K235" s="948"/>
      <c r="L235" s="948"/>
      <c r="M235" s="948"/>
      <c r="N235" s="948"/>
      <c r="O235" s="948"/>
      <c r="P235" s="948"/>
      <c r="Q235" s="948"/>
      <c r="R235" s="948"/>
      <c r="S235" s="948"/>
      <c r="T235" s="948"/>
      <c r="U235" s="948"/>
      <c r="V235" s="948"/>
      <c r="W235" s="948"/>
      <c r="X235" s="948"/>
      <c r="Y235" s="948"/>
      <c r="Z235" s="948"/>
      <c r="AA235" s="948"/>
      <c r="AB235" s="948"/>
      <c r="AC235" s="948"/>
      <c r="AD235" s="948"/>
      <c r="AE235" s="948"/>
      <c r="AF235" s="948"/>
    </row>
    <row r="236" spans="1:32">
      <c r="A236" s="948"/>
      <c r="B236" s="948"/>
      <c r="C236" s="948"/>
      <c r="D236" s="948"/>
      <c r="E236" s="948"/>
      <c r="F236" s="948"/>
      <c r="G236" s="948"/>
      <c r="H236" s="948"/>
      <c r="I236" s="948"/>
      <c r="J236" s="948"/>
      <c r="K236" s="948"/>
      <c r="L236" s="948"/>
      <c r="M236" s="948"/>
      <c r="N236" s="948"/>
      <c r="O236" s="948"/>
      <c r="P236" s="948"/>
      <c r="Q236" s="948"/>
      <c r="R236" s="948"/>
      <c r="S236" s="948"/>
      <c r="T236" s="948"/>
      <c r="U236" s="948"/>
      <c r="V236" s="948"/>
      <c r="W236" s="948"/>
      <c r="X236" s="948"/>
      <c r="Y236" s="948"/>
      <c r="Z236" s="948"/>
      <c r="AA236" s="948"/>
      <c r="AB236" s="948"/>
      <c r="AC236" s="948"/>
      <c r="AD236" s="948"/>
      <c r="AE236" s="948"/>
      <c r="AF236" s="948"/>
    </row>
    <row r="237" spans="1:32">
      <c r="A237" s="948"/>
      <c r="B237" s="948"/>
      <c r="C237" s="948"/>
      <c r="D237" s="948"/>
      <c r="E237" s="948"/>
      <c r="F237" s="948"/>
      <c r="G237" s="948"/>
      <c r="H237" s="948"/>
      <c r="I237" s="948"/>
      <c r="J237" s="948"/>
      <c r="K237" s="948"/>
      <c r="L237" s="948"/>
      <c r="M237" s="948"/>
      <c r="N237" s="948"/>
      <c r="O237" s="948"/>
      <c r="P237" s="948"/>
      <c r="Q237" s="948"/>
      <c r="R237" s="948"/>
      <c r="S237" s="948"/>
      <c r="T237" s="948"/>
      <c r="U237" s="948"/>
      <c r="V237" s="948"/>
      <c r="W237" s="948"/>
      <c r="X237" s="948"/>
      <c r="Y237" s="948"/>
      <c r="Z237" s="948"/>
      <c r="AA237" s="948"/>
      <c r="AB237" s="948"/>
      <c r="AC237" s="948"/>
      <c r="AD237" s="948"/>
      <c r="AE237" s="948"/>
      <c r="AF237" s="948"/>
    </row>
    <row r="238" spans="1:32">
      <c r="A238" s="948"/>
      <c r="B238" s="948"/>
      <c r="C238" s="948"/>
      <c r="D238" s="948"/>
      <c r="E238" s="948"/>
      <c r="F238" s="948"/>
      <c r="G238" s="948"/>
      <c r="H238" s="948"/>
      <c r="I238" s="948"/>
      <c r="J238" s="948"/>
      <c r="K238" s="948"/>
      <c r="L238" s="948"/>
      <c r="M238" s="948"/>
      <c r="N238" s="948"/>
      <c r="O238" s="948"/>
      <c r="P238" s="948"/>
      <c r="Q238" s="948"/>
      <c r="R238" s="948"/>
      <c r="S238" s="948"/>
      <c r="T238" s="948"/>
      <c r="U238" s="948"/>
      <c r="V238" s="948"/>
      <c r="W238" s="948"/>
      <c r="X238" s="948"/>
      <c r="Y238" s="948"/>
      <c r="Z238" s="948"/>
      <c r="AA238" s="948"/>
      <c r="AB238" s="948"/>
      <c r="AC238" s="948"/>
      <c r="AD238" s="948"/>
      <c r="AE238" s="948"/>
      <c r="AF238" s="948"/>
    </row>
    <row r="239" spans="1:32">
      <c r="A239" s="948"/>
      <c r="B239" s="948"/>
      <c r="C239" s="948"/>
      <c r="D239" s="948"/>
      <c r="E239" s="948"/>
      <c r="F239" s="948"/>
      <c r="G239" s="948"/>
      <c r="H239" s="948"/>
      <c r="I239" s="948"/>
      <c r="J239" s="948"/>
      <c r="K239" s="948"/>
      <c r="L239" s="948"/>
      <c r="M239" s="948"/>
      <c r="N239" s="948"/>
      <c r="O239" s="948"/>
      <c r="P239" s="948"/>
      <c r="Q239" s="948"/>
      <c r="R239" s="948"/>
      <c r="S239" s="948"/>
      <c r="T239" s="948"/>
      <c r="U239" s="948"/>
      <c r="V239" s="948"/>
      <c r="W239" s="948"/>
      <c r="X239" s="948"/>
      <c r="Y239" s="948"/>
      <c r="Z239" s="948"/>
      <c r="AA239" s="948"/>
      <c r="AB239" s="948"/>
      <c r="AC239" s="948"/>
      <c r="AD239" s="948"/>
      <c r="AE239" s="948"/>
      <c r="AF239" s="948"/>
    </row>
    <row r="240" spans="1:32">
      <c r="A240" s="948"/>
      <c r="B240" s="948"/>
      <c r="C240" s="948"/>
      <c r="D240" s="948"/>
      <c r="E240" s="948"/>
      <c r="F240" s="948"/>
      <c r="G240" s="948"/>
      <c r="H240" s="948"/>
      <c r="I240" s="948"/>
      <c r="J240" s="948"/>
      <c r="K240" s="948"/>
      <c r="L240" s="948"/>
      <c r="M240" s="948"/>
      <c r="N240" s="948"/>
      <c r="O240" s="948"/>
      <c r="P240" s="948"/>
      <c r="Q240" s="948"/>
      <c r="R240" s="948"/>
      <c r="S240" s="948"/>
      <c r="T240" s="948"/>
      <c r="U240" s="948"/>
      <c r="V240" s="948"/>
      <c r="W240" s="948"/>
      <c r="X240" s="948"/>
      <c r="Y240" s="948"/>
      <c r="Z240" s="948"/>
      <c r="AA240" s="948"/>
      <c r="AB240" s="948"/>
      <c r="AC240" s="948"/>
      <c r="AD240" s="948"/>
      <c r="AE240" s="948"/>
      <c r="AF240" s="948"/>
    </row>
    <row r="241" spans="1:32">
      <c r="A241" s="948"/>
      <c r="B241" s="948"/>
      <c r="C241" s="948"/>
      <c r="D241" s="948"/>
      <c r="E241" s="948"/>
      <c r="F241" s="948"/>
      <c r="G241" s="948"/>
      <c r="H241" s="948"/>
      <c r="I241" s="948"/>
      <c r="J241" s="948"/>
      <c r="K241" s="948"/>
      <c r="L241" s="948"/>
      <c r="M241" s="948"/>
      <c r="N241" s="948"/>
      <c r="O241" s="948"/>
      <c r="P241" s="948"/>
      <c r="Q241" s="948"/>
      <c r="R241" s="948"/>
      <c r="S241" s="948"/>
      <c r="T241" s="948"/>
      <c r="U241" s="948"/>
      <c r="V241" s="948"/>
      <c r="W241" s="948"/>
      <c r="X241" s="948"/>
      <c r="Y241" s="948"/>
      <c r="Z241" s="948"/>
      <c r="AA241" s="948"/>
      <c r="AB241" s="948"/>
      <c r="AC241" s="948"/>
      <c r="AD241" s="948"/>
      <c r="AE241" s="948"/>
      <c r="AF241" s="948"/>
    </row>
    <row r="242" spans="1:32">
      <c r="A242" s="948"/>
      <c r="B242" s="948"/>
      <c r="C242" s="948"/>
      <c r="D242" s="948"/>
      <c r="E242" s="948"/>
      <c r="F242" s="948"/>
      <c r="G242" s="948"/>
      <c r="H242" s="948"/>
      <c r="I242" s="948"/>
      <c r="J242" s="948"/>
      <c r="K242" s="948"/>
      <c r="L242" s="948"/>
      <c r="M242" s="948"/>
      <c r="N242" s="948"/>
      <c r="O242" s="948"/>
      <c r="P242" s="948"/>
      <c r="Q242" s="948"/>
      <c r="R242" s="948"/>
      <c r="S242" s="948"/>
      <c r="T242" s="948"/>
      <c r="U242" s="948"/>
      <c r="V242" s="948"/>
      <c r="W242" s="948"/>
      <c r="X242" s="948"/>
      <c r="Y242" s="948"/>
      <c r="Z242" s="948"/>
      <c r="AA242" s="948"/>
      <c r="AB242" s="948"/>
      <c r="AC242" s="948"/>
      <c r="AD242" s="948"/>
      <c r="AE242" s="948"/>
      <c r="AF242" s="948"/>
    </row>
    <row r="243" spans="1:32">
      <c r="A243" s="948"/>
      <c r="B243" s="948"/>
      <c r="C243" s="948"/>
      <c r="D243" s="948"/>
      <c r="E243" s="948"/>
      <c r="F243" s="948"/>
      <c r="G243" s="948"/>
      <c r="H243" s="948"/>
      <c r="I243" s="948"/>
      <c r="J243" s="948"/>
      <c r="K243" s="948"/>
      <c r="L243" s="948"/>
      <c r="M243" s="948"/>
      <c r="N243" s="948"/>
      <c r="O243" s="948"/>
      <c r="P243" s="948"/>
      <c r="Q243" s="948"/>
      <c r="R243" s="948"/>
      <c r="S243" s="948"/>
      <c r="T243" s="948"/>
      <c r="U243" s="948"/>
      <c r="V243" s="948"/>
      <c r="W243" s="948"/>
      <c r="X243" s="948"/>
      <c r="Y243" s="948"/>
      <c r="Z243" s="948"/>
      <c r="AA243" s="948"/>
      <c r="AB243" s="948"/>
      <c r="AC243" s="948"/>
      <c r="AD243" s="948"/>
      <c r="AE243" s="948"/>
      <c r="AF243" s="948"/>
    </row>
    <row r="244" spans="1:32">
      <c r="A244" s="948"/>
      <c r="B244" s="948"/>
      <c r="C244" s="948"/>
      <c r="D244" s="948"/>
      <c r="E244" s="948"/>
      <c r="F244" s="948"/>
      <c r="G244" s="948"/>
      <c r="H244" s="948"/>
      <c r="I244" s="948"/>
      <c r="J244" s="948"/>
      <c r="K244" s="948"/>
      <c r="L244" s="948"/>
      <c r="M244" s="948"/>
      <c r="N244" s="948"/>
      <c r="O244" s="948"/>
      <c r="P244" s="948"/>
      <c r="Q244" s="948"/>
      <c r="R244" s="948"/>
      <c r="S244" s="948"/>
      <c r="T244" s="948"/>
      <c r="U244" s="948"/>
      <c r="V244" s="948"/>
      <c r="W244" s="948"/>
      <c r="X244" s="948"/>
      <c r="Y244" s="948"/>
      <c r="Z244" s="948"/>
      <c r="AA244" s="948"/>
      <c r="AB244" s="948"/>
      <c r="AC244" s="948"/>
      <c r="AD244" s="948"/>
      <c r="AE244" s="948"/>
      <c r="AF244" s="948"/>
    </row>
    <row r="245" spans="1:32">
      <c r="A245" s="948"/>
      <c r="B245" s="948"/>
      <c r="C245" s="948"/>
      <c r="D245" s="948"/>
      <c r="E245" s="948"/>
      <c r="F245" s="948"/>
      <c r="G245" s="948"/>
      <c r="H245" s="948"/>
      <c r="I245" s="948"/>
      <c r="J245" s="948"/>
      <c r="K245" s="948"/>
      <c r="L245" s="948"/>
      <c r="M245" s="948"/>
      <c r="N245" s="948"/>
      <c r="O245" s="948"/>
      <c r="P245" s="948"/>
      <c r="Q245" s="948"/>
      <c r="R245" s="948"/>
      <c r="S245" s="948"/>
      <c r="T245" s="948"/>
      <c r="U245" s="948"/>
      <c r="V245" s="948"/>
      <c r="W245" s="948"/>
      <c r="X245" s="948"/>
      <c r="Y245" s="948"/>
      <c r="Z245" s="948"/>
      <c r="AA245" s="948"/>
      <c r="AB245" s="948"/>
      <c r="AC245" s="948"/>
      <c r="AD245" s="948"/>
      <c r="AE245" s="948"/>
      <c r="AF245" s="948"/>
    </row>
    <row r="246" spans="1:32">
      <c r="A246" s="948"/>
      <c r="B246" s="948"/>
      <c r="C246" s="948"/>
      <c r="D246" s="948"/>
      <c r="E246" s="948"/>
      <c r="F246" s="948"/>
      <c r="G246" s="948"/>
      <c r="H246" s="948"/>
      <c r="I246" s="948"/>
      <c r="J246" s="948"/>
      <c r="K246" s="948"/>
      <c r="L246" s="948"/>
      <c r="M246" s="948"/>
      <c r="N246" s="948"/>
      <c r="O246" s="948"/>
      <c r="P246" s="948"/>
      <c r="Q246" s="948"/>
      <c r="R246" s="948"/>
      <c r="S246" s="948"/>
      <c r="T246" s="948"/>
      <c r="U246" s="948"/>
      <c r="V246" s="948"/>
      <c r="W246" s="948"/>
      <c r="X246" s="948"/>
      <c r="Y246" s="948"/>
      <c r="Z246" s="948"/>
      <c r="AA246" s="948"/>
      <c r="AB246" s="948"/>
      <c r="AC246" s="948"/>
      <c r="AD246" s="948"/>
      <c r="AE246" s="948"/>
      <c r="AF246" s="948"/>
    </row>
    <row r="247" spans="1:32">
      <c r="A247" s="948"/>
      <c r="B247" s="948"/>
      <c r="C247" s="948"/>
      <c r="D247" s="948"/>
      <c r="E247" s="948"/>
      <c r="F247" s="948"/>
      <c r="G247" s="948"/>
      <c r="H247" s="948"/>
      <c r="I247" s="948"/>
      <c r="J247" s="948"/>
      <c r="K247" s="948"/>
      <c r="L247" s="948"/>
      <c r="M247" s="948"/>
      <c r="N247" s="948"/>
      <c r="O247" s="948"/>
      <c r="P247" s="948"/>
      <c r="Q247" s="948"/>
      <c r="R247" s="948"/>
      <c r="S247" s="948"/>
      <c r="T247" s="948"/>
      <c r="U247" s="948"/>
      <c r="V247" s="948"/>
      <c r="W247" s="948"/>
      <c r="X247" s="948"/>
      <c r="Y247" s="948"/>
      <c r="Z247" s="948"/>
      <c r="AA247" s="948"/>
      <c r="AB247" s="948"/>
      <c r="AC247" s="948"/>
      <c r="AD247" s="948"/>
      <c r="AE247" s="948"/>
      <c r="AF247" s="948"/>
    </row>
    <row r="248" spans="1:32">
      <c r="A248" s="948"/>
      <c r="B248" s="948"/>
      <c r="C248" s="948"/>
      <c r="D248" s="948"/>
      <c r="E248" s="948"/>
      <c r="F248" s="948"/>
      <c r="G248" s="948"/>
      <c r="H248" s="948"/>
      <c r="I248" s="948"/>
      <c r="J248" s="948"/>
      <c r="K248" s="948"/>
      <c r="L248" s="948"/>
      <c r="M248" s="948"/>
      <c r="N248" s="948"/>
      <c r="O248" s="948"/>
      <c r="P248" s="948"/>
      <c r="Q248" s="948"/>
      <c r="R248" s="948"/>
      <c r="S248" s="948"/>
      <c r="T248" s="948"/>
      <c r="U248" s="948"/>
      <c r="V248" s="948"/>
      <c r="W248" s="948"/>
      <c r="X248" s="948"/>
      <c r="Y248" s="948"/>
      <c r="Z248" s="948"/>
      <c r="AA248" s="948"/>
      <c r="AB248" s="948"/>
      <c r="AC248" s="948"/>
      <c r="AD248" s="948"/>
      <c r="AE248" s="948"/>
      <c r="AF248" s="948"/>
    </row>
    <row r="249" spans="1:32">
      <c r="A249" s="948"/>
      <c r="B249" s="948"/>
      <c r="C249" s="948"/>
      <c r="D249" s="948"/>
      <c r="E249" s="948"/>
      <c r="F249" s="948"/>
      <c r="G249" s="948"/>
      <c r="H249" s="948"/>
      <c r="I249" s="948"/>
      <c r="J249" s="948"/>
      <c r="K249" s="948"/>
      <c r="L249" s="948"/>
      <c r="M249" s="948"/>
      <c r="N249" s="948"/>
      <c r="O249" s="948"/>
      <c r="P249" s="948"/>
      <c r="Q249" s="948"/>
      <c r="R249" s="948"/>
      <c r="S249" s="948"/>
      <c r="T249" s="948"/>
      <c r="U249" s="948"/>
      <c r="V249" s="948"/>
      <c r="W249" s="948"/>
      <c r="X249" s="948"/>
      <c r="Y249" s="948"/>
      <c r="Z249" s="948"/>
      <c r="AA249" s="948"/>
      <c r="AB249" s="948"/>
      <c r="AC249" s="948"/>
      <c r="AD249" s="948"/>
      <c r="AE249" s="948"/>
      <c r="AF249" s="948"/>
    </row>
    <row r="250" spans="1:32">
      <c r="A250" s="948"/>
      <c r="B250" s="948"/>
      <c r="C250" s="948"/>
      <c r="D250" s="948"/>
      <c r="E250" s="948"/>
      <c r="F250" s="948"/>
      <c r="G250" s="948"/>
      <c r="H250" s="948"/>
      <c r="I250" s="948"/>
      <c r="J250" s="948"/>
      <c r="K250" s="948"/>
      <c r="L250" s="948"/>
      <c r="M250" s="948"/>
      <c r="N250" s="948"/>
      <c r="O250" s="948"/>
      <c r="P250" s="948"/>
      <c r="Q250" s="948"/>
      <c r="R250" s="948"/>
      <c r="S250" s="948"/>
      <c r="T250" s="948"/>
      <c r="U250" s="948"/>
      <c r="V250" s="948"/>
      <c r="W250" s="948"/>
      <c r="X250" s="948"/>
      <c r="Y250" s="948"/>
      <c r="Z250" s="948"/>
      <c r="AA250" s="948"/>
      <c r="AB250" s="948"/>
      <c r="AC250" s="948"/>
      <c r="AD250" s="948"/>
      <c r="AE250" s="948"/>
      <c r="AF250" s="948"/>
    </row>
    <row r="251" spans="1:32">
      <c r="A251" s="948"/>
      <c r="B251" s="948"/>
      <c r="C251" s="948"/>
      <c r="D251" s="948"/>
      <c r="E251" s="948"/>
      <c r="F251" s="948"/>
      <c r="G251" s="948"/>
      <c r="H251" s="948"/>
      <c r="I251" s="948"/>
      <c r="J251" s="948"/>
      <c r="K251" s="948"/>
      <c r="L251" s="948"/>
      <c r="M251" s="948"/>
      <c r="N251" s="948"/>
      <c r="O251" s="948"/>
      <c r="P251" s="948"/>
      <c r="Q251" s="948"/>
      <c r="R251" s="948"/>
      <c r="S251" s="948"/>
      <c r="T251" s="948"/>
      <c r="U251" s="948"/>
      <c r="V251" s="948"/>
      <c r="W251" s="948"/>
      <c r="X251" s="948"/>
      <c r="Y251" s="948"/>
      <c r="Z251" s="948"/>
      <c r="AA251" s="948"/>
      <c r="AB251" s="948"/>
      <c r="AC251" s="948"/>
      <c r="AD251" s="948"/>
      <c r="AE251" s="948"/>
      <c r="AF251" s="948"/>
    </row>
    <row r="252" spans="1:32">
      <c r="A252" s="948"/>
      <c r="B252" s="948"/>
      <c r="C252" s="948"/>
      <c r="D252" s="948"/>
      <c r="E252" s="948"/>
      <c r="F252" s="948"/>
      <c r="G252" s="948"/>
      <c r="H252" s="948"/>
      <c r="I252" s="948"/>
      <c r="J252" s="948"/>
      <c r="K252" s="948"/>
      <c r="L252" s="948"/>
      <c r="M252" s="948"/>
      <c r="N252" s="948"/>
      <c r="O252" s="948"/>
      <c r="P252" s="948"/>
      <c r="Q252" s="948"/>
      <c r="R252" s="948"/>
      <c r="S252" s="948"/>
      <c r="T252" s="948"/>
      <c r="U252" s="948"/>
      <c r="V252" s="948"/>
      <c r="W252" s="948"/>
      <c r="X252" s="948"/>
      <c r="Y252" s="948"/>
      <c r="Z252" s="948"/>
      <c r="AA252" s="948"/>
      <c r="AB252" s="948"/>
      <c r="AC252" s="948"/>
      <c r="AD252" s="948"/>
      <c r="AE252" s="948"/>
      <c r="AF252" s="948"/>
    </row>
    <row r="253" spans="1:32">
      <c r="A253" s="948"/>
      <c r="B253" s="948"/>
      <c r="C253" s="948"/>
      <c r="D253" s="948"/>
      <c r="E253" s="948"/>
      <c r="F253" s="948"/>
      <c r="G253" s="948"/>
      <c r="H253" s="948"/>
      <c r="I253" s="948"/>
      <c r="J253" s="948"/>
      <c r="K253" s="948"/>
      <c r="L253" s="948"/>
      <c r="M253" s="948"/>
      <c r="N253" s="948"/>
      <c r="O253" s="948"/>
      <c r="P253" s="948"/>
      <c r="Q253" s="948"/>
      <c r="R253" s="948"/>
      <c r="S253" s="948"/>
      <c r="T253" s="948"/>
      <c r="U253" s="948"/>
      <c r="V253" s="948"/>
      <c r="W253" s="948"/>
      <c r="X253" s="948"/>
      <c r="Y253" s="948"/>
      <c r="Z253" s="948"/>
      <c r="AA253" s="948"/>
      <c r="AB253" s="948"/>
      <c r="AC253" s="948"/>
      <c r="AD253" s="948"/>
      <c r="AE253" s="948"/>
      <c r="AF253" s="948"/>
    </row>
    <row r="254" spans="1:32">
      <c r="A254" s="948"/>
      <c r="B254" s="948"/>
      <c r="C254" s="948"/>
      <c r="D254" s="948"/>
      <c r="E254" s="948"/>
      <c r="F254" s="948"/>
      <c r="G254" s="948"/>
      <c r="H254" s="948"/>
      <c r="I254" s="948"/>
      <c r="J254" s="948"/>
      <c r="K254" s="948"/>
      <c r="L254" s="948"/>
      <c r="M254" s="948"/>
      <c r="N254" s="948"/>
      <c r="O254" s="948"/>
      <c r="P254" s="948"/>
      <c r="Q254" s="948"/>
      <c r="R254" s="948"/>
      <c r="S254" s="948"/>
      <c r="T254" s="948"/>
      <c r="U254" s="948"/>
      <c r="V254" s="948"/>
      <c r="W254" s="948"/>
      <c r="X254" s="948"/>
      <c r="Y254" s="948"/>
      <c r="Z254" s="948"/>
      <c r="AA254" s="948"/>
      <c r="AB254" s="948"/>
      <c r="AC254" s="948"/>
      <c r="AD254" s="948"/>
      <c r="AE254" s="948"/>
      <c r="AF254" s="948"/>
    </row>
    <row r="255" spans="1:32">
      <c r="A255" s="948"/>
      <c r="B255" s="948"/>
      <c r="C255" s="948"/>
      <c r="D255" s="948"/>
      <c r="E255" s="948"/>
      <c r="F255" s="948"/>
      <c r="G255" s="948"/>
      <c r="H255" s="948"/>
      <c r="I255" s="948"/>
      <c r="J255" s="948"/>
      <c r="K255" s="948"/>
      <c r="L255" s="948"/>
      <c r="M255" s="948"/>
      <c r="N255" s="948"/>
      <c r="O255" s="948"/>
      <c r="P255" s="948"/>
      <c r="Q255" s="948"/>
      <c r="R255" s="948"/>
      <c r="S255" s="948"/>
      <c r="T255" s="948"/>
      <c r="U255" s="948"/>
      <c r="V255" s="948"/>
      <c r="W255" s="948"/>
      <c r="X255" s="948"/>
      <c r="Y255" s="948"/>
      <c r="Z255" s="948"/>
      <c r="AA255" s="948"/>
      <c r="AB255" s="948"/>
      <c r="AC255" s="948"/>
      <c r="AD255" s="948"/>
      <c r="AE255" s="948"/>
      <c r="AF255" s="948"/>
    </row>
    <row r="256" spans="1:32">
      <c r="A256" s="948"/>
      <c r="B256" s="948"/>
      <c r="C256" s="948"/>
      <c r="D256" s="948"/>
      <c r="E256" s="948"/>
      <c r="F256" s="948"/>
      <c r="G256" s="948"/>
      <c r="H256" s="948"/>
      <c r="I256" s="948"/>
      <c r="J256" s="948"/>
      <c r="K256" s="948"/>
      <c r="L256" s="948"/>
      <c r="M256" s="948"/>
      <c r="N256" s="948"/>
      <c r="O256" s="948"/>
      <c r="P256" s="948"/>
      <c r="Q256" s="948"/>
      <c r="R256" s="948"/>
      <c r="S256" s="948"/>
      <c r="T256" s="948"/>
      <c r="U256" s="948"/>
      <c r="V256" s="948"/>
      <c r="W256" s="948"/>
      <c r="X256" s="948"/>
      <c r="Y256" s="948"/>
      <c r="Z256" s="948"/>
      <c r="AA256" s="948"/>
      <c r="AB256" s="948"/>
      <c r="AC256" s="948"/>
      <c r="AD256" s="948"/>
      <c r="AE256" s="948"/>
      <c r="AF256" s="948"/>
    </row>
    <row r="257" spans="1:32">
      <c r="A257" s="948"/>
      <c r="B257" s="948"/>
      <c r="C257" s="948"/>
      <c r="D257" s="948"/>
      <c r="E257" s="948"/>
      <c r="F257" s="948"/>
      <c r="G257" s="948"/>
      <c r="H257" s="948"/>
      <c r="I257" s="948"/>
      <c r="J257" s="948"/>
      <c r="K257" s="948"/>
      <c r="L257" s="948"/>
      <c r="M257" s="948"/>
      <c r="N257" s="948"/>
      <c r="O257" s="948"/>
      <c r="P257" s="948"/>
      <c r="Q257" s="948"/>
      <c r="R257" s="948"/>
      <c r="S257" s="948"/>
      <c r="T257" s="948"/>
      <c r="U257" s="948"/>
      <c r="V257" s="948"/>
      <c r="W257" s="948"/>
      <c r="X257" s="948"/>
      <c r="Y257" s="948"/>
      <c r="Z257" s="948"/>
      <c r="AA257" s="948"/>
      <c r="AB257" s="948"/>
      <c r="AC257" s="948"/>
      <c r="AD257" s="948"/>
      <c r="AE257" s="948"/>
      <c r="AF257" s="948"/>
    </row>
    <row r="258" spans="1:32">
      <c r="A258" s="948"/>
      <c r="B258" s="948"/>
      <c r="C258" s="948"/>
      <c r="D258" s="948"/>
      <c r="E258" s="948"/>
      <c r="F258" s="948"/>
      <c r="G258" s="948"/>
      <c r="H258" s="948"/>
      <c r="I258" s="948"/>
      <c r="J258" s="948"/>
      <c r="K258" s="948"/>
      <c r="L258" s="948"/>
      <c r="M258" s="948"/>
      <c r="N258" s="948"/>
      <c r="O258" s="948"/>
      <c r="P258" s="948"/>
      <c r="Q258" s="948"/>
      <c r="R258" s="948"/>
      <c r="S258" s="948"/>
      <c r="T258" s="948"/>
      <c r="U258" s="948"/>
      <c r="V258" s="948"/>
      <c r="W258" s="948"/>
      <c r="X258" s="948"/>
      <c r="Y258" s="948"/>
      <c r="Z258" s="948"/>
      <c r="AA258" s="948"/>
      <c r="AB258" s="948"/>
      <c r="AC258" s="948"/>
      <c r="AD258" s="948"/>
      <c r="AE258" s="948"/>
      <c r="AF258" s="948"/>
    </row>
    <row r="259" spans="1:32">
      <c r="A259" s="948"/>
      <c r="B259" s="948"/>
      <c r="C259" s="948"/>
      <c r="D259" s="948"/>
      <c r="E259" s="948"/>
      <c r="F259" s="948"/>
      <c r="G259" s="948"/>
      <c r="H259" s="948"/>
      <c r="I259" s="948"/>
      <c r="J259" s="948"/>
      <c r="K259" s="948"/>
      <c r="L259" s="948"/>
      <c r="M259" s="948"/>
      <c r="N259" s="948"/>
      <c r="O259" s="948"/>
      <c r="P259" s="948"/>
      <c r="Q259" s="948"/>
      <c r="R259" s="948"/>
      <c r="S259" s="948"/>
      <c r="T259" s="948"/>
      <c r="U259" s="948"/>
      <c r="V259" s="948"/>
      <c r="W259" s="948"/>
      <c r="X259" s="948"/>
      <c r="Y259" s="948"/>
      <c r="Z259" s="948"/>
      <c r="AA259" s="948"/>
      <c r="AB259" s="948"/>
      <c r="AC259" s="948"/>
      <c r="AD259" s="948"/>
      <c r="AE259" s="948"/>
      <c r="AF259" s="948"/>
    </row>
    <row r="260" spans="1:32">
      <c r="A260" s="948"/>
      <c r="B260" s="948"/>
      <c r="C260" s="948"/>
      <c r="D260" s="948"/>
      <c r="E260" s="948"/>
      <c r="F260" s="948"/>
      <c r="G260" s="948"/>
      <c r="H260" s="948"/>
      <c r="I260" s="948"/>
      <c r="J260" s="948"/>
      <c r="K260" s="948"/>
      <c r="L260" s="948"/>
      <c r="M260" s="948"/>
      <c r="N260" s="948"/>
      <c r="O260" s="948"/>
      <c r="P260" s="948"/>
      <c r="Q260" s="948"/>
      <c r="R260" s="948"/>
      <c r="S260" s="948"/>
      <c r="T260" s="948"/>
      <c r="U260" s="948"/>
      <c r="V260" s="948"/>
      <c r="W260" s="948"/>
      <c r="X260" s="948"/>
      <c r="Y260" s="948"/>
      <c r="Z260" s="948"/>
      <c r="AA260" s="948"/>
      <c r="AB260" s="948"/>
      <c r="AC260" s="948"/>
      <c r="AD260" s="948"/>
      <c r="AE260" s="948"/>
      <c r="AF260" s="948"/>
    </row>
    <row r="261" spans="1:32">
      <c r="A261" s="948"/>
      <c r="B261" s="948"/>
      <c r="C261" s="948"/>
      <c r="D261" s="948"/>
      <c r="E261" s="948"/>
      <c r="F261" s="948"/>
      <c r="G261" s="948"/>
      <c r="H261" s="948"/>
      <c r="I261" s="948"/>
      <c r="J261" s="948"/>
      <c r="K261" s="948"/>
      <c r="L261" s="948"/>
      <c r="M261" s="948"/>
      <c r="N261" s="948"/>
      <c r="O261" s="948"/>
      <c r="P261" s="948"/>
      <c r="Q261" s="948"/>
      <c r="R261" s="948"/>
      <c r="S261" s="948"/>
      <c r="T261" s="948"/>
      <c r="U261" s="948"/>
      <c r="V261" s="948"/>
      <c r="W261" s="948"/>
      <c r="X261" s="948"/>
      <c r="Y261" s="948"/>
      <c r="Z261" s="948"/>
      <c r="AA261" s="948"/>
      <c r="AB261" s="948"/>
      <c r="AC261" s="948"/>
      <c r="AD261" s="948"/>
      <c r="AE261" s="948"/>
      <c r="AF261" s="948"/>
    </row>
    <row r="262" spans="1:32">
      <c r="A262" s="948"/>
      <c r="B262" s="948"/>
      <c r="C262" s="948"/>
      <c r="D262" s="948"/>
      <c r="E262" s="948"/>
      <c r="F262" s="948"/>
      <c r="G262" s="948"/>
      <c r="H262" s="948"/>
      <c r="I262" s="948"/>
      <c r="J262" s="948"/>
      <c r="K262" s="948"/>
      <c r="L262" s="948"/>
      <c r="M262" s="948"/>
      <c r="N262" s="948"/>
      <c r="O262" s="948"/>
      <c r="P262" s="948"/>
      <c r="Q262" s="948"/>
      <c r="R262" s="948"/>
      <c r="S262" s="948"/>
      <c r="T262" s="948"/>
      <c r="U262" s="948"/>
      <c r="V262" s="948"/>
      <c r="W262" s="948"/>
      <c r="X262" s="948"/>
      <c r="Y262" s="948"/>
      <c r="Z262" s="948"/>
      <c r="AA262" s="948"/>
      <c r="AB262" s="948"/>
      <c r="AC262" s="948"/>
      <c r="AD262" s="948"/>
      <c r="AE262" s="948"/>
      <c r="AF262" s="948"/>
    </row>
    <row r="263" spans="1:32">
      <c r="A263" s="948"/>
      <c r="B263" s="948"/>
      <c r="C263" s="948"/>
      <c r="D263" s="948"/>
      <c r="E263" s="948"/>
      <c r="F263" s="948"/>
      <c r="G263" s="948"/>
      <c r="H263" s="948"/>
      <c r="I263" s="948"/>
      <c r="J263" s="948"/>
      <c r="K263" s="948"/>
      <c r="L263" s="948"/>
      <c r="M263" s="948"/>
      <c r="N263" s="948"/>
      <c r="O263" s="948"/>
      <c r="P263" s="948"/>
      <c r="Q263" s="948"/>
      <c r="R263" s="948"/>
      <c r="S263" s="948"/>
      <c r="T263" s="948"/>
      <c r="U263" s="948"/>
      <c r="V263" s="948"/>
      <c r="W263" s="948"/>
      <c r="X263" s="948"/>
      <c r="Y263" s="948"/>
      <c r="Z263" s="948"/>
      <c r="AA263" s="948"/>
      <c r="AB263" s="948"/>
      <c r="AC263" s="948"/>
      <c r="AD263" s="948"/>
      <c r="AE263" s="948"/>
      <c r="AF263" s="948"/>
    </row>
    <row r="264" spans="1:32">
      <c r="A264" s="948"/>
      <c r="B264" s="948"/>
      <c r="C264" s="948"/>
      <c r="D264" s="948"/>
      <c r="E264" s="948"/>
      <c r="F264" s="948"/>
      <c r="G264" s="948"/>
      <c r="H264" s="948"/>
      <c r="I264" s="948"/>
      <c r="J264" s="948"/>
      <c r="K264" s="948"/>
      <c r="L264" s="948"/>
      <c r="M264" s="948"/>
      <c r="N264" s="948"/>
      <c r="O264" s="948"/>
      <c r="P264" s="948"/>
      <c r="Q264" s="948"/>
      <c r="R264" s="948"/>
      <c r="S264" s="948"/>
      <c r="T264" s="948"/>
      <c r="U264" s="948"/>
      <c r="V264" s="948"/>
      <c r="W264" s="948"/>
      <c r="X264" s="948"/>
      <c r="Y264" s="948"/>
      <c r="Z264" s="948"/>
      <c r="AA264" s="948"/>
      <c r="AB264" s="948"/>
      <c r="AC264" s="948"/>
      <c r="AD264" s="948"/>
      <c r="AE264" s="948"/>
      <c r="AF264" s="948"/>
    </row>
    <row r="265" spans="1:32">
      <c r="A265" s="948"/>
      <c r="B265" s="948"/>
      <c r="C265" s="948"/>
      <c r="D265" s="948"/>
      <c r="E265" s="948"/>
      <c r="F265" s="948"/>
      <c r="G265" s="948"/>
      <c r="H265" s="948"/>
      <c r="I265" s="948"/>
      <c r="J265" s="948"/>
      <c r="K265" s="948"/>
      <c r="L265" s="948"/>
      <c r="M265" s="948"/>
      <c r="N265" s="948"/>
      <c r="O265" s="948"/>
      <c r="P265" s="948"/>
      <c r="Q265" s="948"/>
      <c r="R265" s="948"/>
      <c r="S265" s="948"/>
      <c r="T265" s="948"/>
      <c r="U265" s="948"/>
      <c r="V265" s="948"/>
      <c r="W265" s="948"/>
      <c r="X265" s="948"/>
      <c r="Y265" s="948"/>
      <c r="Z265" s="948"/>
      <c r="AA265" s="948"/>
      <c r="AB265" s="948"/>
      <c r="AC265" s="948"/>
      <c r="AD265" s="948"/>
      <c r="AE265" s="948"/>
      <c r="AF265" s="948"/>
    </row>
    <row r="266" spans="1:32">
      <c r="A266" s="948"/>
      <c r="B266" s="948"/>
      <c r="C266" s="948"/>
      <c r="D266" s="948"/>
      <c r="E266" s="948"/>
      <c r="F266" s="948"/>
      <c r="G266" s="948"/>
      <c r="H266" s="948"/>
      <c r="I266" s="948"/>
      <c r="J266" s="948"/>
      <c r="K266" s="948"/>
      <c r="L266" s="948"/>
      <c r="M266" s="948"/>
      <c r="N266" s="948"/>
      <c r="O266" s="948"/>
      <c r="P266" s="948"/>
      <c r="Q266" s="948"/>
      <c r="R266" s="948"/>
      <c r="S266" s="948"/>
      <c r="T266" s="948"/>
      <c r="U266" s="948"/>
      <c r="V266" s="948"/>
      <c r="W266" s="948"/>
      <c r="X266" s="948"/>
      <c r="Y266" s="948"/>
      <c r="Z266" s="948"/>
      <c r="AA266" s="948"/>
      <c r="AB266" s="948"/>
      <c r="AC266" s="948"/>
      <c r="AD266" s="948"/>
      <c r="AE266" s="948"/>
      <c r="AF266" s="948"/>
    </row>
    <row r="267" spans="1:32">
      <c r="A267" s="948"/>
      <c r="B267" s="948"/>
      <c r="C267" s="948"/>
      <c r="D267" s="948"/>
      <c r="E267" s="948"/>
      <c r="F267" s="948"/>
      <c r="G267" s="948"/>
      <c r="H267" s="948"/>
      <c r="I267" s="948"/>
      <c r="J267" s="948"/>
      <c r="K267" s="948"/>
      <c r="L267" s="948"/>
      <c r="M267" s="948"/>
      <c r="N267" s="948"/>
      <c r="O267" s="948"/>
      <c r="P267" s="948"/>
      <c r="Q267" s="948"/>
      <c r="R267" s="948"/>
      <c r="S267" s="948"/>
      <c r="T267" s="948"/>
      <c r="U267" s="948"/>
      <c r="V267" s="948"/>
      <c r="W267" s="948"/>
      <c r="X267" s="948"/>
      <c r="Y267" s="948"/>
      <c r="Z267" s="948"/>
      <c r="AA267" s="948"/>
      <c r="AB267" s="948"/>
      <c r="AC267" s="948"/>
      <c r="AD267" s="948"/>
      <c r="AE267" s="948"/>
      <c r="AF267" s="948"/>
    </row>
    <row r="268" spans="1:32">
      <c r="A268" s="948"/>
      <c r="B268" s="948"/>
      <c r="C268" s="948"/>
      <c r="D268" s="948"/>
      <c r="E268" s="948"/>
      <c r="F268" s="948"/>
      <c r="G268" s="948"/>
      <c r="H268" s="948"/>
      <c r="I268" s="948"/>
      <c r="J268" s="948"/>
      <c r="K268" s="948"/>
      <c r="L268" s="948"/>
      <c r="M268" s="948"/>
      <c r="N268" s="948"/>
      <c r="O268" s="948"/>
      <c r="P268" s="948"/>
      <c r="Q268" s="948"/>
      <c r="R268" s="948"/>
      <c r="S268" s="948"/>
      <c r="T268" s="948"/>
      <c r="U268" s="948"/>
      <c r="V268" s="948"/>
      <c r="W268" s="948"/>
      <c r="X268" s="948"/>
      <c r="Y268" s="948"/>
      <c r="Z268" s="948"/>
      <c r="AA268" s="948"/>
      <c r="AB268" s="948"/>
      <c r="AC268" s="948"/>
      <c r="AD268" s="948"/>
      <c r="AE268" s="948"/>
      <c r="AF268" s="948"/>
    </row>
    <row r="269" spans="1:32">
      <c r="A269" s="948"/>
      <c r="B269" s="948"/>
      <c r="C269" s="948"/>
      <c r="D269" s="948"/>
      <c r="E269" s="948"/>
      <c r="F269" s="948"/>
      <c r="G269" s="948"/>
      <c r="H269" s="948"/>
      <c r="I269" s="948"/>
      <c r="J269" s="948"/>
      <c r="K269" s="948"/>
      <c r="L269" s="948"/>
      <c r="M269" s="948"/>
      <c r="N269" s="948"/>
      <c r="O269" s="948"/>
      <c r="P269" s="948"/>
      <c r="Q269" s="948"/>
      <c r="R269" s="948"/>
      <c r="S269" s="948"/>
      <c r="T269" s="948"/>
      <c r="U269" s="948"/>
      <c r="V269" s="948"/>
      <c r="W269" s="948"/>
      <c r="X269" s="948"/>
      <c r="Y269" s="948"/>
      <c r="Z269" s="948"/>
      <c r="AA269" s="948"/>
      <c r="AB269" s="948"/>
      <c r="AC269" s="948"/>
      <c r="AD269" s="948"/>
      <c r="AE269" s="948"/>
      <c r="AF269" s="948"/>
    </row>
    <row r="270" spans="1:32">
      <c r="A270" s="948"/>
      <c r="B270" s="948"/>
      <c r="C270" s="948"/>
      <c r="D270" s="948"/>
      <c r="E270" s="948"/>
      <c r="F270" s="948"/>
      <c r="G270" s="948"/>
      <c r="H270" s="948"/>
      <c r="I270" s="948"/>
      <c r="J270" s="948"/>
      <c r="K270" s="948"/>
      <c r="L270" s="948"/>
      <c r="M270" s="948"/>
      <c r="N270" s="948"/>
      <c r="O270" s="948"/>
      <c r="P270" s="948"/>
      <c r="Q270" s="948"/>
      <c r="R270" s="948"/>
      <c r="S270" s="948"/>
      <c r="T270" s="948"/>
      <c r="U270" s="948"/>
      <c r="V270" s="948"/>
      <c r="W270" s="948"/>
      <c r="X270" s="948"/>
      <c r="Y270" s="948"/>
      <c r="Z270" s="948"/>
      <c r="AA270" s="948"/>
      <c r="AB270" s="948"/>
      <c r="AC270" s="948"/>
      <c r="AD270" s="948"/>
      <c r="AE270" s="948"/>
      <c r="AF270" s="948"/>
    </row>
    <row r="271" spans="1:32">
      <c r="A271" s="948"/>
      <c r="B271" s="948"/>
      <c r="C271" s="948"/>
      <c r="D271" s="948"/>
      <c r="E271" s="948"/>
      <c r="F271" s="948"/>
      <c r="G271" s="948"/>
      <c r="H271" s="948"/>
      <c r="I271" s="948"/>
      <c r="J271" s="948"/>
      <c r="K271" s="948"/>
      <c r="L271" s="948"/>
      <c r="M271" s="948"/>
      <c r="N271" s="948"/>
      <c r="O271" s="948"/>
      <c r="P271" s="948"/>
      <c r="Q271" s="948"/>
      <c r="R271" s="948"/>
      <c r="S271" s="948"/>
      <c r="T271" s="948"/>
      <c r="U271" s="948"/>
      <c r="V271" s="948"/>
      <c r="W271" s="948"/>
      <c r="X271" s="948"/>
      <c r="Y271" s="948"/>
      <c r="Z271" s="948"/>
      <c r="AA271" s="948"/>
      <c r="AB271" s="948"/>
      <c r="AC271" s="948"/>
      <c r="AD271" s="948"/>
      <c r="AE271" s="948"/>
      <c r="AF271" s="948"/>
    </row>
    <row r="272" spans="1:32">
      <c r="A272" s="948"/>
      <c r="B272" s="948"/>
      <c r="C272" s="948"/>
      <c r="D272" s="948"/>
      <c r="E272" s="948"/>
      <c r="F272" s="948"/>
      <c r="G272" s="948"/>
      <c r="H272" s="948"/>
      <c r="I272" s="948"/>
      <c r="J272" s="948"/>
      <c r="K272" s="948"/>
      <c r="L272" s="948"/>
      <c r="M272" s="948"/>
      <c r="N272" s="948"/>
      <c r="O272" s="948"/>
      <c r="P272" s="948"/>
      <c r="Q272" s="948"/>
      <c r="R272" s="948"/>
      <c r="S272" s="948"/>
      <c r="T272" s="948"/>
      <c r="U272" s="948"/>
      <c r="V272" s="948"/>
      <c r="W272" s="948"/>
      <c r="X272" s="948"/>
      <c r="Y272" s="948"/>
      <c r="Z272" s="948"/>
      <c r="AA272" s="948"/>
      <c r="AB272" s="948"/>
      <c r="AC272" s="948"/>
      <c r="AD272" s="948"/>
      <c r="AE272" s="948"/>
      <c r="AF272" s="948"/>
    </row>
    <row r="273" spans="1:32">
      <c r="A273" s="948"/>
      <c r="B273" s="948"/>
      <c r="C273" s="948"/>
      <c r="D273" s="948"/>
      <c r="E273" s="948"/>
      <c r="F273" s="948"/>
      <c r="G273" s="948"/>
      <c r="H273" s="948"/>
      <c r="I273" s="948"/>
      <c r="J273" s="948"/>
      <c r="K273" s="948"/>
      <c r="L273" s="948"/>
      <c r="M273" s="948"/>
      <c r="N273" s="948"/>
      <c r="O273" s="948"/>
      <c r="P273" s="948"/>
      <c r="Q273" s="948"/>
      <c r="R273" s="948"/>
      <c r="S273" s="948"/>
      <c r="T273" s="948"/>
      <c r="U273" s="948"/>
      <c r="V273" s="948"/>
      <c r="W273" s="948"/>
      <c r="X273" s="948"/>
      <c r="Y273" s="948"/>
      <c r="Z273" s="948"/>
      <c r="AA273" s="948"/>
      <c r="AB273" s="948"/>
      <c r="AC273" s="948"/>
      <c r="AD273" s="948"/>
      <c r="AE273" s="948"/>
      <c r="AF273" s="948"/>
    </row>
    <row r="274" spans="1:32">
      <c r="A274" s="948"/>
      <c r="B274" s="948"/>
      <c r="C274" s="948"/>
      <c r="D274" s="948"/>
      <c r="E274" s="948"/>
      <c r="F274" s="948"/>
      <c r="G274" s="948"/>
      <c r="H274" s="948"/>
      <c r="I274" s="948"/>
      <c r="J274" s="948"/>
      <c r="K274" s="948"/>
      <c r="L274" s="948"/>
      <c r="M274" s="948"/>
      <c r="N274" s="948"/>
      <c r="O274" s="948"/>
      <c r="P274" s="948"/>
      <c r="Q274" s="948"/>
      <c r="R274" s="948"/>
      <c r="S274" s="948"/>
      <c r="T274" s="948"/>
      <c r="U274" s="948"/>
      <c r="V274" s="948"/>
      <c r="W274" s="948"/>
      <c r="X274" s="948"/>
      <c r="Y274" s="948"/>
      <c r="Z274" s="948"/>
      <c r="AA274" s="948"/>
      <c r="AB274" s="948"/>
      <c r="AC274" s="948"/>
      <c r="AD274" s="948"/>
      <c r="AE274" s="948"/>
      <c r="AF274" s="948"/>
    </row>
    <row r="275" spans="1:32">
      <c r="A275" s="948"/>
      <c r="B275" s="948"/>
      <c r="C275" s="948"/>
      <c r="D275" s="948"/>
      <c r="E275" s="948"/>
      <c r="F275" s="948"/>
      <c r="G275" s="948"/>
      <c r="H275" s="948"/>
      <c r="I275" s="948"/>
      <c r="J275" s="948"/>
      <c r="K275" s="948"/>
      <c r="L275" s="948"/>
      <c r="M275" s="948"/>
      <c r="N275" s="948"/>
      <c r="O275" s="948"/>
      <c r="P275" s="948"/>
      <c r="Q275" s="948"/>
      <c r="R275" s="948"/>
      <c r="S275" s="948"/>
      <c r="T275" s="948"/>
      <c r="U275" s="948"/>
      <c r="V275" s="948"/>
      <c r="W275" s="948"/>
      <c r="X275" s="948"/>
      <c r="Y275" s="948"/>
      <c r="Z275" s="948"/>
      <c r="AA275" s="948"/>
      <c r="AB275" s="948"/>
      <c r="AC275" s="948"/>
      <c r="AD275" s="948"/>
      <c r="AE275" s="948"/>
      <c r="AF275" s="948"/>
    </row>
    <row r="276" spans="1:32">
      <c r="A276" s="948"/>
      <c r="B276" s="948"/>
      <c r="C276" s="948"/>
      <c r="D276" s="948"/>
      <c r="E276" s="948"/>
      <c r="F276" s="948"/>
      <c r="G276" s="948"/>
      <c r="H276" s="948"/>
      <c r="I276" s="948"/>
      <c r="J276" s="948"/>
      <c r="K276" s="948"/>
      <c r="L276" s="948"/>
      <c r="M276" s="948"/>
      <c r="N276" s="948"/>
      <c r="O276" s="948"/>
      <c r="P276" s="948"/>
      <c r="Q276" s="948"/>
      <c r="R276" s="948"/>
      <c r="S276" s="948"/>
      <c r="T276" s="948"/>
      <c r="U276" s="948"/>
      <c r="V276" s="948"/>
      <c r="W276" s="948"/>
      <c r="X276" s="948"/>
      <c r="Y276" s="948"/>
      <c r="Z276" s="948"/>
      <c r="AA276" s="948"/>
      <c r="AB276" s="948"/>
      <c r="AC276" s="948"/>
      <c r="AD276" s="948"/>
      <c r="AE276" s="948"/>
      <c r="AF276" s="948"/>
    </row>
    <row r="277" spans="1:32">
      <c r="A277" s="948"/>
      <c r="B277" s="948"/>
      <c r="C277" s="948"/>
      <c r="D277" s="948"/>
      <c r="E277" s="948"/>
      <c r="F277" s="948"/>
      <c r="G277" s="948"/>
      <c r="H277" s="948"/>
      <c r="I277" s="948"/>
      <c r="J277" s="948"/>
      <c r="K277" s="948"/>
      <c r="L277" s="948"/>
      <c r="M277" s="948"/>
      <c r="N277" s="948"/>
      <c r="O277" s="948"/>
      <c r="P277" s="948"/>
      <c r="Q277" s="948"/>
      <c r="R277" s="948"/>
      <c r="S277" s="948"/>
      <c r="T277" s="948"/>
      <c r="U277" s="948"/>
      <c r="V277" s="948"/>
      <c r="W277" s="948"/>
      <c r="X277" s="948"/>
      <c r="Y277" s="948"/>
      <c r="Z277" s="948"/>
      <c r="AA277" s="948"/>
      <c r="AB277" s="948"/>
      <c r="AC277" s="948"/>
      <c r="AD277" s="948"/>
      <c r="AE277" s="948"/>
      <c r="AF277" s="948"/>
    </row>
    <row r="278" spans="1:32">
      <c r="A278" s="948"/>
      <c r="B278" s="948"/>
      <c r="C278" s="948"/>
      <c r="D278" s="948"/>
      <c r="E278" s="948"/>
      <c r="F278" s="948"/>
      <c r="G278" s="948"/>
      <c r="H278" s="948"/>
      <c r="I278" s="948"/>
      <c r="J278" s="948"/>
      <c r="K278" s="948"/>
      <c r="L278" s="948"/>
      <c r="M278" s="948"/>
      <c r="N278" s="948"/>
      <c r="O278" s="948"/>
      <c r="P278" s="948"/>
      <c r="Q278" s="948"/>
      <c r="R278" s="948"/>
      <c r="S278" s="948"/>
      <c r="T278" s="948"/>
      <c r="U278" s="948"/>
      <c r="V278" s="948"/>
      <c r="W278" s="948"/>
      <c r="X278" s="948"/>
      <c r="Y278" s="948"/>
      <c r="Z278" s="948"/>
      <c r="AA278" s="948"/>
      <c r="AB278" s="948"/>
      <c r="AC278" s="948"/>
      <c r="AD278" s="948"/>
      <c r="AE278" s="948"/>
      <c r="AF278" s="948"/>
    </row>
    <row r="279" spans="1:32">
      <c r="A279" s="948"/>
      <c r="B279" s="948"/>
      <c r="C279" s="948"/>
      <c r="D279" s="948"/>
      <c r="E279" s="948"/>
      <c r="F279" s="948"/>
      <c r="G279" s="948"/>
      <c r="H279" s="948"/>
      <c r="I279" s="948"/>
      <c r="J279" s="948"/>
      <c r="K279" s="948"/>
      <c r="L279" s="948"/>
      <c r="M279" s="948"/>
      <c r="N279" s="948"/>
      <c r="O279" s="948"/>
      <c r="P279" s="948"/>
      <c r="Q279" s="948"/>
      <c r="R279" s="948"/>
      <c r="S279" s="948"/>
      <c r="T279" s="948"/>
      <c r="U279" s="948"/>
      <c r="V279" s="948"/>
      <c r="W279" s="948"/>
      <c r="X279" s="948"/>
      <c r="Y279" s="948"/>
      <c r="Z279" s="948"/>
      <c r="AA279" s="948"/>
      <c r="AB279" s="948"/>
      <c r="AC279" s="948"/>
      <c r="AD279" s="948"/>
      <c r="AE279" s="948"/>
      <c r="AF279" s="948"/>
    </row>
    <row r="280" spans="1:32">
      <c r="A280" s="948"/>
      <c r="B280" s="948"/>
      <c r="C280" s="948"/>
      <c r="D280" s="948"/>
      <c r="E280" s="948"/>
      <c r="F280" s="948"/>
      <c r="G280" s="948"/>
      <c r="H280" s="948"/>
      <c r="I280" s="948"/>
      <c r="J280" s="948"/>
      <c r="K280" s="948"/>
      <c r="L280" s="948"/>
      <c r="M280" s="948"/>
      <c r="N280" s="948"/>
      <c r="O280" s="948"/>
      <c r="P280" s="948"/>
      <c r="Q280" s="948"/>
      <c r="R280" s="948"/>
      <c r="S280" s="948"/>
      <c r="T280" s="948"/>
      <c r="U280" s="948"/>
      <c r="V280" s="948"/>
      <c r="W280" s="948"/>
      <c r="X280" s="948"/>
      <c r="Y280" s="948"/>
      <c r="Z280" s="948"/>
      <c r="AA280" s="948"/>
      <c r="AB280" s="948"/>
      <c r="AC280" s="948"/>
      <c r="AD280" s="948"/>
      <c r="AE280" s="948"/>
      <c r="AF280" s="948"/>
    </row>
    <row r="281" spans="1:32">
      <c r="A281" s="948"/>
      <c r="B281" s="948"/>
      <c r="C281" s="948"/>
      <c r="D281" s="948"/>
      <c r="E281" s="948"/>
      <c r="F281" s="948"/>
      <c r="G281" s="948"/>
      <c r="H281" s="948"/>
      <c r="I281" s="948"/>
      <c r="J281" s="948"/>
      <c r="K281" s="948"/>
      <c r="L281" s="948"/>
      <c r="M281" s="948"/>
      <c r="N281" s="948"/>
      <c r="O281" s="948"/>
      <c r="P281" s="948"/>
      <c r="Q281" s="948"/>
      <c r="R281" s="948"/>
      <c r="S281" s="948"/>
      <c r="T281" s="948"/>
      <c r="U281" s="948"/>
      <c r="V281" s="948"/>
      <c r="W281" s="948"/>
      <c r="X281" s="948"/>
      <c r="Y281" s="948"/>
      <c r="Z281" s="948"/>
      <c r="AA281" s="948"/>
      <c r="AB281" s="948"/>
      <c r="AC281" s="948"/>
      <c r="AD281" s="948"/>
      <c r="AE281" s="948"/>
      <c r="AF281" s="948"/>
    </row>
  </sheetData>
  <mergeCells count="19">
    <mergeCell ref="M143:N143"/>
    <mergeCell ref="O143:P143"/>
    <mergeCell ref="M157:N159"/>
    <mergeCell ref="O157:P159"/>
    <mergeCell ref="C157:D159"/>
    <mergeCell ref="E157:F159"/>
    <mergeCell ref="G157:H159"/>
    <mergeCell ref="I157:J159"/>
    <mergeCell ref="K157:L159"/>
    <mergeCell ref="C143:D143"/>
    <mergeCell ref="E143:F143"/>
    <mergeCell ref="G143:H143"/>
    <mergeCell ref="I143:J143"/>
    <mergeCell ref="K143:L143"/>
    <mergeCell ref="C1:G1"/>
    <mergeCell ref="H1:L1"/>
    <mergeCell ref="M1:Q1"/>
    <mergeCell ref="B140:P140"/>
    <mergeCell ref="B141:P141"/>
  </mergeCells>
  <pageMargins left="0.7" right="0.7" top="0.75" bottom="0.75" header="0.511811023622047" footer="0.511811023622047"/>
  <pageSetup paperSize="9" orientation="portrait" horizontalDpi="300" verticalDpi="300" r:id="rId1"/>
  <ignoredErrors>
    <ignoredError sqref="G37:G49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27B0-CE19-4011-8300-D7ADC4AC1DEF}">
  <sheetPr>
    <tabColor rgb="FFED7D31"/>
  </sheetPr>
  <dimension ref="A1:AY286"/>
  <sheetViews>
    <sheetView showGridLines="0" topLeftCell="A11" zoomScale="77" workbookViewId="0">
      <pane xSplit="2" topLeftCell="C1" activePane="topRight" state="frozen"/>
      <selection activeCell="A19" sqref="A19"/>
      <selection pane="topRight" activeCell="P5" sqref="P5:R7"/>
    </sheetView>
    <sheetView topLeftCell="A90" workbookViewId="1">
      <selection sqref="A1:R1"/>
    </sheetView>
  </sheetViews>
  <sheetFormatPr defaultRowHeight="14.4"/>
  <sheetData>
    <row r="1" spans="1:51" ht="18" thickBot="1">
      <c r="A1" s="604" t="s">
        <v>937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458"/>
      <c r="T1" s="458"/>
      <c r="U1" s="458"/>
      <c r="V1" s="458"/>
      <c r="W1" s="458"/>
      <c r="X1" s="458"/>
      <c r="Y1" s="458"/>
      <c r="Z1" s="458"/>
      <c r="AA1" s="458"/>
      <c r="AB1" s="458"/>
      <c r="AC1" s="458"/>
      <c r="AD1" s="458"/>
      <c r="AE1" s="458"/>
      <c r="AF1" s="458"/>
      <c r="AG1" s="458"/>
      <c r="AH1" s="458"/>
      <c r="AI1" s="458"/>
      <c r="AJ1" s="458"/>
      <c r="AK1" s="729"/>
      <c r="AL1" s="729"/>
      <c r="AM1" s="729"/>
      <c r="AN1" s="729"/>
      <c r="AO1" s="729"/>
      <c r="AP1" s="729"/>
      <c r="AQ1" s="729"/>
      <c r="AR1" s="729"/>
      <c r="AS1" s="729"/>
      <c r="AT1" s="729"/>
      <c r="AU1" s="729"/>
      <c r="AV1" s="729"/>
      <c r="AW1" s="729"/>
      <c r="AX1" s="729"/>
      <c r="AY1" s="729"/>
    </row>
    <row r="2" spans="1:51" ht="15" thickTop="1">
      <c r="A2" s="303" t="s">
        <v>1210</v>
      </c>
      <c r="B2" s="303"/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674"/>
      <c r="T2" s="674"/>
      <c r="U2" s="674"/>
      <c r="V2" s="674"/>
      <c r="W2" s="674"/>
      <c r="X2" s="674" t="s">
        <v>631</v>
      </c>
      <c r="Y2" s="674" t="str">
        <f>TEXT(DATE(2026,COLUMN()-COLUMN($X$2),1),"mmm-aa")</f>
        <v>ene-26</v>
      </c>
      <c r="Z2" s="674" t="str">
        <f t="shared" ref="Z2:AJ2" si="0">TEXT(DATE(2026,COLUMN()-COLUMN($X$2),1),"mmm-aa")</f>
        <v>feb-26</v>
      </c>
      <c r="AA2" s="674" t="str">
        <f t="shared" si="0"/>
        <v>mar-26</v>
      </c>
      <c r="AB2" s="674" t="str">
        <f t="shared" si="0"/>
        <v>abr-26</v>
      </c>
      <c r="AC2" s="674" t="str">
        <f t="shared" si="0"/>
        <v>may-26</v>
      </c>
      <c r="AD2" s="674" t="str">
        <f t="shared" si="0"/>
        <v>jun-26</v>
      </c>
      <c r="AE2" s="674" t="str">
        <f t="shared" si="0"/>
        <v>jul-26</v>
      </c>
      <c r="AF2" s="674" t="str">
        <f t="shared" si="0"/>
        <v>ago-26</v>
      </c>
      <c r="AG2" s="674" t="str">
        <f t="shared" si="0"/>
        <v>sep-26</v>
      </c>
      <c r="AH2" s="674" t="str">
        <f t="shared" si="0"/>
        <v>oct-26</v>
      </c>
      <c r="AI2" s="674" t="str">
        <f t="shared" si="0"/>
        <v>nov-26</v>
      </c>
      <c r="AJ2" s="674" t="str">
        <f t="shared" si="0"/>
        <v>dic-26</v>
      </c>
      <c r="AK2" s="729"/>
      <c r="AL2" s="729"/>
      <c r="AM2" s="729"/>
      <c r="AN2" s="729"/>
      <c r="AO2" s="729"/>
      <c r="AP2" s="729"/>
      <c r="AQ2" s="729"/>
      <c r="AR2" s="729"/>
      <c r="AS2" s="729"/>
      <c r="AT2" s="729"/>
      <c r="AU2" s="729"/>
      <c r="AV2" s="729"/>
      <c r="AW2" s="729"/>
      <c r="AX2" s="729"/>
      <c r="AY2" s="729"/>
    </row>
    <row r="3" spans="1:51">
      <c r="A3" s="3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674"/>
      <c r="T3" s="674"/>
      <c r="U3" s="674"/>
      <c r="V3" s="674"/>
      <c r="W3" s="674"/>
      <c r="X3" s="674" t="s">
        <v>276</v>
      </c>
      <c r="Y3" s="726">
        <f>'Modelo Base'!F192/1000000</f>
        <v>612.24770100000001</v>
      </c>
      <c r="Z3" s="726">
        <f>'Modelo Base'!G192/1000000</f>
        <v>744.21813699999996</v>
      </c>
      <c r="AA3" s="726">
        <f>'Modelo Base'!H192/1000000</f>
        <v>787.04118700000004</v>
      </c>
      <c r="AB3" s="726">
        <f>'Modelo Base'!I192/1000000</f>
        <v>750.867662</v>
      </c>
      <c r="AC3" s="726">
        <f>'Modelo Base'!J192/1000000</f>
        <v>826.51474599999995</v>
      </c>
      <c r="AD3" s="726">
        <f>'Modelo Base'!K192/1000000</f>
        <v>751.45331399999998</v>
      </c>
      <c r="AE3" s="726">
        <f>'Modelo Base'!L192/1000000</f>
        <v>679.89055199999996</v>
      </c>
      <c r="AF3" s="748">
        <f>'Modelo Base'!M192/1000000</f>
        <v>1573.6260714285715</v>
      </c>
      <c r="AG3" s="748">
        <f>'Modelo Base'!N192/1000000</f>
        <v>1665.0414285714285</v>
      </c>
      <c r="AH3" s="748">
        <f>'Modelo Base'!O192/1000000</f>
        <v>1756.4567857142858</v>
      </c>
      <c r="AI3" s="748">
        <f>'Modelo Base'!P192/1000000</f>
        <v>1847.872142857143</v>
      </c>
      <c r="AJ3" s="748">
        <f>'Modelo Base'!Q192/1000000</f>
        <v>1939.2874999999999</v>
      </c>
      <c r="AK3" s="729"/>
      <c r="AL3" s="729"/>
      <c r="AM3" s="729"/>
      <c r="AN3" s="729"/>
      <c r="AO3" s="729"/>
      <c r="AP3" s="729"/>
      <c r="AQ3" s="729"/>
      <c r="AR3" s="729"/>
      <c r="AS3" s="729"/>
      <c r="AT3" s="729"/>
      <c r="AU3" s="729"/>
      <c r="AV3" s="729"/>
      <c r="AW3" s="729"/>
      <c r="AX3" s="729"/>
      <c r="AY3" s="729"/>
    </row>
    <row r="4" spans="1:51">
      <c r="A4" s="118" t="s">
        <v>954</v>
      </c>
      <c r="B4" s="118"/>
      <c r="C4" s="118"/>
      <c r="D4" s="119" t="s">
        <v>955</v>
      </c>
      <c r="E4" s="119"/>
      <c r="F4" s="119"/>
      <c r="G4" s="120" t="s">
        <v>956</v>
      </c>
      <c r="H4" s="120"/>
      <c r="I4" s="120"/>
      <c r="J4" s="121" t="s">
        <v>957</v>
      </c>
      <c r="K4" s="121"/>
      <c r="L4" s="121"/>
      <c r="M4" s="122" t="s">
        <v>958</v>
      </c>
      <c r="N4" s="122"/>
      <c r="O4" s="122"/>
      <c r="P4" s="123" t="s">
        <v>959</v>
      </c>
      <c r="Q4" s="123"/>
      <c r="R4" s="123"/>
      <c r="S4" s="674"/>
      <c r="T4" s="674"/>
      <c r="U4" s="674"/>
      <c r="V4" s="674"/>
      <c r="W4" s="674"/>
      <c r="X4" s="674" t="s">
        <v>278</v>
      </c>
      <c r="Y4" s="726">
        <f>'Modelo Base'!F193/1000000</f>
        <v>69.979360999999997</v>
      </c>
      <c r="Z4" s="726">
        <f>'Modelo Base'!G193/1000000</f>
        <v>46.134031999999998</v>
      </c>
      <c r="AA4" s="726">
        <f>'Modelo Base'!H193/1000000</f>
        <v>-22.242792999999999</v>
      </c>
      <c r="AB4" s="726">
        <f>'Modelo Base'!I193/1000000</f>
        <v>4.8382519999999998</v>
      </c>
      <c r="AC4" s="726">
        <f>'Modelo Base'!J193/1000000</f>
        <v>113.00947499999999</v>
      </c>
      <c r="AD4" s="726">
        <f>'Modelo Base'!K193/1000000</f>
        <v>34.975495000000002</v>
      </c>
      <c r="AE4" s="726">
        <f>'Modelo Base'!L193/1000000</f>
        <v>29.342362000000001</v>
      </c>
      <c r="AF4" s="726">
        <f>'Modelo Base'!M193/1000000</f>
        <v>741.79675842857137</v>
      </c>
      <c r="AG4" s="726">
        <f>'Modelo Base'!N193/1000000</f>
        <v>833.2121155714284</v>
      </c>
      <c r="AH4" s="726">
        <f>'Modelo Base'!O193/1000000</f>
        <v>924.627472714286</v>
      </c>
      <c r="AI4" s="726">
        <f>'Modelo Base'!P193/1000000</f>
        <v>999.2322858571431</v>
      </c>
      <c r="AJ4" s="748">
        <f>'Modelo Base'!Q193/1000000</f>
        <v>1090.647643</v>
      </c>
      <c r="AK4" s="729"/>
      <c r="AL4" s="729"/>
      <c r="AM4" s="729"/>
      <c r="AN4" s="729"/>
      <c r="AO4" s="729"/>
      <c r="AP4" s="729"/>
      <c r="AQ4" s="729"/>
      <c r="AR4" s="729"/>
      <c r="AS4" s="729"/>
      <c r="AT4" s="729"/>
      <c r="AU4" s="729"/>
      <c r="AV4" s="729"/>
      <c r="AW4" s="729"/>
      <c r="AX4" s="729"/>
      <c r="AY4" s="729"/>
    </row>
    <row r="5" spans="1:51">
      <c r="A5" s="446">
        <f>'Modelo Base'!S192/1000000</f>
        <v>13934.51722757143</v>
      </c>
      <c r="B5" s="118"/>
      <c r="C5" s="118"/>
      <c r="D5" s="447">
        <f>'Modelo Base'!S193/1000000</f>
        <v>4865.5524595714287</v>
      </c>
      <c r="E5" s="119"/>
      <c r="F5" s="119"/>
      <c r="G5" s="448">
        <f>IF('Modelo Base'!S192=0,0,'Modelo Base'!S193/'Modelo Base'!S192)</f>
        <v>0.34917266096196276</v>
      </c>
      <c r="H5" s="120"/>
      <c r="I5" s="120"/>
      <c r="J5" s="449">
        <f>'Modelo Base'!S196/1000000</f>
        <v>3226.68801443343</v>
      </c>
      <c r="K5" s="121"/>
      <c r="L5" s="121"/>
      <c r="M5" s="450">
        <f>'Modelo Base'!Q186/1000000</f>
        <v>-17.64084232448101</v>
      </c>
      <c r="N5" s="122"/>
      <c r="O5" s="122"/>
      <c r="P5" s="451">
        <f>'Modelo Base'!S452/1000000</f>
        <v>1849.4543261575398</v>
      </c>
      <c r="Q5" s="123"/>
      <c r="R5" s="123"/>
      <c r="S5" s="674"/>
      <c r="T5" s="674"/>
      <c r="U5" s="674"/>
      <c r="V5" s="674"/>
      <c r="W5" s="674"/>
      <c r="X5" s="674" t="s">
        <v>401</v>
      </c>
      <c r="Y5" s="726">
        <f>'Modelo Base'!F196/1000000</f>
        <v>63.485497000000002</v>
      </c>
      <c r="Z5" s="726">
        <f>'Modelo Base'!G196/1000000</f>
        <v>54.048915000000001</v>
      </c>
      <c r="AA5" s="726">
        <f>'Modelo Base'!H196/1000000</f>
        <v>-37.938006999999999</v>
      </c>
      <c r="AB5" s="726">
        <f>'Modelo Base'!I196/1000000</f>
        <v>0.70620300000000003</v>
      </c>
      <c r="AC5" s="726">
        <f>'Modelo Base'!J196/1000000</f>
        <v>108.374968</v>
      </c>
      <c r="AD5" s="726">
        <f>'Modelo Base'!K196/1000000</f>
        <v>33.343649999999997</v>
      </c>
      <c r="AE5" s="726">
        <f>'Modelo Base'!L196/1000000</f>
        <v>24.707052000000001</v>
      </c>
      <c r="AF5" s="726">
        <f>'Modelo Base'!M196/1000000</f>
        <v>481.59802751429356</v>
      </c>
      <c r="AG5" s="726">
        <f>'Modelo Base'!N196/1000000</f>
        <v>540.97972534821497</v>
      </c>
      <c r="AH5" s="726">
        <f>'Modelo Base'!O196/1000000</f>
        <v>600.36206125395233</v>
      </c>
      <c r="AI5" s="726">
        <f>'Modelo Base'!P196/1000000</f>
        <v>648.81817099697469</v>
      </c>
      <c r="AJ5" s="726">
        <f>'Modelo Base'!Q196/1000000</f>
        <v>708.2017513199944</v>
      </c>
      <c r="AK5" s="729"/>
      <c r="AL5" s="729"/>
      <c r="AM5" s="729"/>
      <c r="AN5" s="729"/>
      <c r="AO5" s="729"/>
      <c r="AP5" s="729"/>
      <c r="AQ5" s="729"/>
      <c r="AR5" s="729"/>
      <c r="AS5" s="729"/>
      <c r="AT5" s="729"/>
      <c r="AU5" s="729"/>
      <c r="AV5" s="729"/>
      <c r="AW5" s="729"/>
      <c r="AX5" s="729"/>
      <c r="AY5" s="729"/>
    </row>
    <row r="6" spans="1:51">
      <c r="A6" s="118"/>
      <c r="B6" s="118"/>
      <c r="C6" s="118"/>
      <c r="D6" s="119"/>
      <c r="E6" s="119"/>
      <c r="F6" s="119"/>
      <c r="G6" s="120"/>
      <c r="H6" s="120"/>
      <c r="I6" s="120"/>
      <c r="J6" s="121"/>
      <c r="K6" s="121"/>
      <c r="L6" s="121"/>
      <c r="M6" s="122"/>
      <c r="N6" s="122"/>
      <c r="O6" s="122"/>
      <c r="P6" s="123"/>
      <c r="Q6" s="123"/>
      <c r="R6" s="123"/>
      <c r="S6" s="674"/>
      <c r="T6" s="674"/>
      <c r="U6" s="674"/>
      <c r="V6" s="674"/>
      <c r="W6" s="674"/>
      <c r="X6" s="674"/>
      <c r="Y6" s="674"/>
      <c r="Z6" s="674"/>
      <c r="AA6" s="674"/>
      <c r="AB6" s="674"/>
      <c r="AC6" s="674"/>
      <c r="AD6" s="674"/>
      <c r="AE6" s="674"/>
      <c r="AF6" s="674"/>
      <c r="AG6" s="674"/>
      <c r="AH6" s="674"/>
      <c r="AI6" s="674"/>
      <c r="AJ6" s="674"/>
      <c r="AK6" s="729"/>
      <c r="AL6" s="729"/>
      <c r="AM6" s="729"/>
      <c r="AN6" s="729"/>
      <c r="AO6" s="729"/>
      <c r="AP6" s="729"/>
      <c r="AQ6" s="729"/>
      <c r="AR6" s="729"/>
      <c r="AS6" s="729"/>
      <c r="AT6" s="729"/>
      <c r="AU6" s="729"/>
      <c r="AV6" s="729"/>
      <c r="AW6" s="729"/>
      <c r="AX6" s="729"/>
      <c r="AY6" s="729"/>
    </row>
    <row r="7" spans="1:51" ht="15" thickBot="1">
      <c r="A7" s="124"/>
      <c r="B7" s="124"/>
      <c r="C7" s="124"/>
      <c r="D7" s="125"/>
      <c r="E7" s="125"/>
      <c r="F7" s="125"/>
      <c r="G7" s="126"/>
      <c r="H7" s="126"/>
      <c r="I7" s="126"/>
      <c r="J7" s="127"/>
      <c r="K7" s="127"/>
      <c r="L7" s="127"/>
      <c r="M7" s="128"/>
      <c r="N7" s="128"/>
      <c r="O7" s="128"/>
      <c r="P7" s="129"/>
      <c r="Q7" s="129"/>
      <c r="R7" s="129"/>
      <c r="S7" s="674"/>
      <c r="T7" s="674"/>
      <c r="U7" s="674"/>
      <c r="V7" s="674"/>
      <c r="W7" s="674"/>
      <c r="X7" s="674"/>
      <c r="Y7" s="674"/>
      <c r="Z7" s="674"/>
      <c r="AA7" s="674"/>
      <c r="AB7" s="674"/>
      <c r="AC7" s="674"/>
      <c r="AD7" s="674"/>
      <c r="AE7" s="674"/>
      <c r="AF7" s="674"/>
      <c r="AG7" s="674"/>
      <c r="AH7" s="674"/>
      <c r="AI7" s="674"/>
      <c r="AJ7" s="674"/>
      <c r="AK7" s="729"/>
      <c r="AL7" s="729"/>
      <c r="AM7" s="729"/>
      <c r="AN7" s="729"/>
      <c r="AO7" s="729"/>
      <c r="AP7" s="729"/>
      <c r="AQ7" s="729"/>
      <c r="AR7" s="729"/>
      <c r="AS7" s="729"/>
      <c r="AT7" s="729"/>
      <c r="AU7" s="729"/>
      <c r="AV7" s="729"/>
      <c r="AW7" s="729"/>
      <c r="AX7" s="729"/>
      <c r="AY7" s="729"/>
    </row>
    <row r="8" spans="1:51" ht="30" customHeight="1" thickBot="1">
      <c r="A8" s="606" t="s">
        <v>950</v>
      </c>
      <c r="B8" s="605"/>
      <c r="C8" s="605"/>
      <c r="D8" s="605"/>
      <c r="E8" s="605"/>
      <c r="F8" s="605"/>
      <c r="G8" s="605"/>
      <c r="H8" s="605"/>
      <c r="I8" s="605"/>
      <c r="J8" s="605"/>
      <c r="K8" s="605"/>
      <c r="L8" s="605"/>
      <c r="M8" s="605"/>
      <c r="N8" s="605"/>
      <c r="O8" s="605"/>
      <c r="P8" s="605"/>
      <c r="Q8" s="605"/>
      <c r="R8" s="605"/>
      <c r="S8" s="461"/>
      <c r="T8" s="461"/>
      <c r="U8" s="461"/>
      <c r="V8" s="461"/>
      <c r="W8" s="461"/>
      <c r="X8" s="461" t="s">
        <v>631</v>
      </c>
      <c r="Y8" s="461" t="str">
        <f t="shared" ref="Y8:AJ8" si="1">TEXT(DATE(2026,COLUMN()-COLUMN($X$2),1),"mmm-aa")</f>
        <v>ene-26</v>
      </c>
      <c r="Z8" s="461" t="str">
        <f t="shared" si="1"/>
        <v>feb-26</v>
      </c>
      <c r="AA8" s="461" t="str">
        <f t="shared" si="1"/>
        <v>mar-26</v>
      </c>
      <c r="AB8" s="461" t="str">
        <f t="shared" si="1"/>
        <v>abr-26</v>
      </c>
      <c r="AC8" s="461" t="str">
        <f t="shared" si="1"/>
        <v>may-26</v>
      </c>
      <c r="AD8" s="461" t="str">
        <f t="shared" si="1"/>
        <v>jun-26</v>
      </c>
      <c r="AE8" s="461" t="str">
        <f t="shared" si="1"/>
        <v>jul-26</v>
      </c>
      <c r="AF8" s="461" t="str">
        <f t="shared" si="1"/>
        <v>ago-26</v>
      </c>
      <c r="AG8" s="461" t="str">
        <f t="shared" si="1"/>
        <v>sep-26</v>
      </c>
      <c r="AH8" s="461" t="str">
        <f t="shared" si="1"/>
        <v>oct-26</v>
      </c>
      <c r="AI8" s="461" t="str">
        <f t="shared" si="1"/>
        <v>nov-26</v>
      </c>
      <c r="AJ8" s="461" t="str">
        <f t="shared" si="1"/>
        <v>dic-26</v>
      </c>
      <c r="AK8" s="729"/>
      <c r="AL8" s="729"/>
      <c r="AM8" s="729"/>
      <c r="AN8" s="729"/>
      <c r="AO8" s="729"/>
      <c r="AP8" s="729"/>
      <c r="AQ8" s="729"/>
      <c r="AR8" s="729"/>
      <c r="AS8" s="729"/>
      <c r="AT8" s="729"/>
      <c r="AU8" s="729"/>
      <c r="AV8" s="729"/>
      <c r="AW8" s="729"/>
      <c r="AX8" s="729"/>
      <c r="AY8" s="729"/>
    </row>
    <row r="9" spans="1:51" ht="15" thickTop="1">
      <c r="A9" s="304"/>
      <c r="B9" s="304"/>
      <c r="C9" s="304"/>
      <c r="D9" s="304"/>
      <c r="E9" s="304"/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  <c r="Q9" s="304"/>
      <c r="R9" s="304"/>
      <c r="S9" s="674"/>
      <c r="T9" s="674"/>
      <c r="U9" s="674"/>
      <c r="V9" s="674"/>
      <c r="W9" s="674"/>
      <c r="X9" s="674" t="s">
        <v>670</v>
      </c>
      <c r="Y9" s="726">
        <f>'Modelo Base'!F54</f>
        <v>0.6103933202029288</v>
      </c>
      <c r="Z9" s="726">
        <f>'Modelo Base'!G54</f>
        <v>0.53869870414082643</v>
      </c>
      <c r="AA9" s="726">
        <f>'Modelo Base'!H54</f>
        <v>0.42107324429007298</v>
      </c>
      <c r="AB9" s="726">
        <f>'Modelo Base'!I54</f>
        <v>0.49488623202952642</v>
      </c>
      <c r="AC9" s="726">
        <f>'Modelo Base'!J54</f>
        <v>0.56991629644802488</v>
      </c>
      <c r="AD9" s="726">
        <f>'Modelo Base'!K54</f>
        <v>0.53626180162138459</v>
      </c>
      <c r="AE9" s="726">
        <f>'Modelo Base'!L54</f>
        <v>0.52651520593567536</v>
      </c>
      <c r="AF9" s="726">
        <f>'Modelo Base'!M54</f>
        <v>0.7759816853462268</v>
      </c>
      <c r="AG9" s="726">
        <f>'Modelo Base'!N54</f>
        <v>0.78828090738911971</v>
      </c>
      <c r="AH9" s="726">
        <f>'Modelo Base'!O54</f>
        <v>0.79929989551475966</v>
      </c>
      <c r="AI9" s="726">
        <f>'Modelo Base'!P54</f>
        <v>0.80380124197548719</v>
      </c>
      <c r="AJ9" s="726">
        <f>'Modelo Base'!Q54</f>
        <v>0.81304978275956175</v>
      </c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9"/>
      <c r="AX9" s="729"/>
      <c r="AY9" s="729"/>
    </row>
    <row r="10" spans="1:51">
      <c r="A10" s="304"/>
      <c r="B10" s="304"/>
      <c r="C10" s="304"/>
      <c r="D10" s="304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304"/>
      <c r="R10" s="304"/>
      <c r="S10" s="674"/>
      <c r="T10" s="674"/>
      <c r="U10" s="674"/>
      <c r="V10" s="674"/>
      <c r="W10" s="674"/>
      <c r="X10" s="674" t="s">
        <v>671</v>
      </c>
      <c r="Y10" s="726">
        <f>'Modelo Base'!F194</f>
        <v>0.11429909967109864</v>
      </c>
      <c r="Z10" s="726">
        <f>'Modelo Base'!G194</f>
        <v>6.1989932395318657E-2</v>
      </c>
      <c r="AA10" s="726">
        <f>'Modelo Base'!H194</f>
        <v>-2.8261282087134278E-2</v>
      </c>
      <c r="AB10" s="726">
        <f>'Modelo Base'!I194</f>
        <v>6.4435482373989888E-3</v>
      </c>
      <c r="AC10" s="726">
        <f>'Modelo Base'!J194</f>
        <v>0.13673013766169395</v>
      </c>
      <c r="AD10" s="726">
        <f>'Modelo Base'!K194</f>
        <v>4.6543802986009589E-2</v>
      </c>
      <c r="AE10" s="726">
        <f>'Modelo Base'!L194</f>
        <v>4.3157478676067854E-2</v>
      </c>
      <c r="AF10" s="726">
        <f>'Modelo Base'!M194</f>
        <v>0.47139328198544167</v>
      </c>
      <c r="AG10" s="726">
        <f>'Modelo Base'!N194</f>
        <v>0.50041524569530227</v>
      </c>
      <c r="AH10" s="726">
        <f>'Modelo Base'!O194</f>
        <v>0.5264162945735521</v>
      </c>
      <c r="AI10" s="726">
        <f>'Modelo Base'!P194</f>
        <v>0.54074752396675563</v>
      </c>
      <c r="AJ10" s="726">
        <f>'Modelo Base'!Q194</f>
        <v>0.56239605679921101</v>
      </c>
      <c r="AK10" s="72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9"/>
      <c r="AX10" s="729"/>
      <c r="AY10" s="729"/>
    </row>
    <row r="11" spans="1:51">
      <c r="A11" s="304"/>
      <c r="B11" s="304"/>
      <c r="C11" s="304"/>
      <c r="D11" s="304"/>
      <c r="E11" s="304"/>
      <c r="F11" s="304"/>
      <c r="G11" s="304"/>
      <c r="H11" s="304"/>
      <c r="I11" s="304"/>
      <c r="J11" s="304"/>
      <c r="K11" s="304"/>
      <c r="L11" s="304"/>
      <c r="M11" s="304"/>
      <c r="N11" s="304"/>
      <c r="O11" s="304"/>
      <c r="P11" s="304"/>
      <c r="Q11" s="304"/>
      <c r="R11" s="304"/>
      <c r="S11" s="674"/>
      <c r="T11" s="674"/>
      <c r="U11" s="674"/>
      <c r="V11" s="674"/>
      <c r="W11" s="674"/>
      <c r="X11" s="674" t="s">
        <v>672</v>
      </c>
      <c r="Y11" s="726">
        <f>'Modelo Base'!F197</f>
        <v>0.10369250369794365</v>
      </c>
      <c r="Z11" s="726">
        <f>'Modelo Base'!G197</f>
        <v>7.2625097821285692E-2</v>
      </c>
      <c r="AA11" s="726">
        <f>'Modelo Base'!H197</f>
        <v>-4.820333119364438E-2</v>
      </c>
      <c r="AB11" s="726">
        <f>'Modelo Base'!I197</f>
        <v>9.4051593341890386E-4</v>
      </c>
      <c r="AC11" s="726">
        <f>'Modelo Base'!J197</f>
        <v>0.13112284871442573</v>
      </c>
      <c r="AD11" s="726">
        <f>'Modelo Base'!K197</f>
        <v>4.4372217646511038E-2</v>
      </c>
      <c r="AE11" s="726">
        <f>'Modelo Base'!L197</f>
        <v>3.6339748989481474E-2</v>
      </c>
      <c r="AF11" s="726">
        <f>'Modelo Base'!M197</f>
        <v>0.30604349804467113</v>
      </c>
      <c r="AG11" s="726">
        <f>'Modelo Base'!N197</f>
        <v>0.32490466367096016</v>
      </c>
      <c r="AH11" s="726">
        <f>'Modelo Base'!O197</f>
        <v>0.34180292173246229</v>
      </c>
      <c r="AI11" s="726">
        <f>'Modelo Base'!P197</f>
        <v>0.35111637647926497</v>
      </c>
      <c r="AJ11" s="726">
        <f>'Modelo Base'!Q197</f>
        <v>0.36518657049044789</v>
      </c>
      <c r="AK11" s="72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9"/>
      <c r="AX11" s="729"/>
      <c r="AY11" s="729"/>
    </row>
    <row r="12" spans="1:51">
      <c r="A12" s="304"/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4"/>
      <c r="N12" s="304"/>
      <c r="O12" s="304"/>
      <c r="P12" s="304"/>
      <c r="Q12" s="304"/>
      <c r="R12" s="304"/>
      <c r="S12" s="674"/>
      <c r="T12" s="674"/>
      <c r="U12" s="674"/>
      <c r="V12" s="674"/>
      <c r="W12" s="674"/>
      <c r="X12" s="674"/>
      <c r="Y12" s="674"/>
      <c r="Z12" s="674"/>
      <c r="AA12" s="674"/>
      <c r="AB12" s="674"/>
      <c r="AC12" s="674"/>
      <c r="AD12" s="674"/>
      <c r="AE12" s="674"/>
      <c r="AF12" s="674"/>
      <c r="AG12" s="674"/>
      <c r="AH12" s="674"/>
      <c r="AI12" s="674"/>
      <c r="AJ12" s="674"/>
      <c r="AK12" s="72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9"/>
      <c r="AX12" s="729"/>
      <c r="AY12" s="729"/>
    </row>
    <row r="13" spans="1:51">
      <c r="A13" s="304"/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4"/>
      <c r="S13" s="674"/>
      <c r="T13" s="674"/>
      <c r="U13" s="674"/>
      <c r="V13" s="674"/>
      <c r="W13" s="674"/>
      <c r="X13" s="674"/>
      <c r="Y13" s="674"/>
      <c r="Z13" s="674"/>
      <c r="AA13" s="674"/>
      <c r="AB13" s="674"/>
      <c r="AC13" s="674"/>
      <c r="AD13" s="674"/>
      <c r="AE13" s="674"/>
      <c r="AF13" s="674"/>
      <c r="AG13" s="674"/>
      <c r="AH13" s="674"/>
      <c r="AI13" s="674"/>
      <c r="AJ13" s="674"/>
      <c r="AK13" s="729"/>
      <c r="AL13" s="729"/>
      <c r="AM13" s="729"/>
      <c r="AN13" s="729"/>
      <c r="AO13" s="729"/>
      <c r="AP13" s="729"/>
      <c r="AQ13" s="729"/>
      <c r="AR13" s="729"/>
      <c r="AS13" s="729"/>
      <c r="AT13" s="729"/>
      <c r="AU13" s="729"/>
      <c r="AV13" s="729"/>
      <c r="AW13" s="729"/>
      <c r="AX13" s="729"/>
      <c r="AY13" s="729"/>
    </row>
    <row r="14" spans="1:51" ht="30" customHeight="1">
      <c r="A14" s="467"/>
      <c r="B14" s="461"/>
      <c r="C14" s="461"/>
      <c r="D14" s="461"/>
      <c r="E14" s="461"/>
      <c r="F14" s="461"/>
      <c r="G14" s="461"/>
      <c r="H14" s="461"/>
      <c r="I14" s="461"/>
      <c r="J14" s="461"/>
      <c r="K14" s="461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V14" s="461"/>
      <c r="W14" s="461"/>
      <c r="X14" s="461" t="s">
        <v>631</v>
      </c>
      <c r="Y14" s="461" t="str">
        <f t="shared" ref="Y14:AJ14" si="2">TEXT(DATE(2026,COLUMN()-COLUMN($X$2),1),"mmm-aa")</f>
        <v>ene-26</v>
      </c>
      <c r="Z14" s="461" t="str">
        <f t="shared" si="2"/>
        <v>feb-26</v>
      </c>
      <c r="AA14" s="461" t="str">
        <f t="shared" si="2"/>
        <v>mar-26</v>
      </c>
      <c r="AB14" s="461" t="str">
        <f t="shared" si="2"/>
        <v>abr-26</v>
      </c>
      <c r="AC14" s="461" t="str">
        <f t="shared" si="2"/>
        <v>may-26</v>
      </c>
      <c r="AD14" s="461" t="str">
        <f t="shared" si="2"/>
        <v>jun-26</v>
      </c>
      <c r="AE14" s="461" t="str">
        <f t="shared" si="2"/>
        <v>jul-26</v>
      </c>
      <c r="AF14" s="461" t="str">
        <f t="shared" si="2"/>
        <v>ago-26</v>
      </c>
      <c r="AG14" s="461" t="str">
        <f t="shared" si="2"/>
        <v>sep-26</v>
      </c>
      <c r="AH14" s="461" t="str">
        <f t="shared" si="2"/>
        <v>oct-26</v>
      </c>
      <c r="AI14" s="461" t="str">
        <f t="shared" si="2"/>
        <v>nov-26</v>
      </c>
      <c r="AJ14" s="461" t="str">
        <f t="shared" si="2"/>
        <v>dic-26</v>
      </c>
      <c r="AK14" s="729"/>
      <c r="AL14" s="729"/>
      <c r="AM14" s="729"/>
      <c r="AN14" s="729"/>
      <c r="AO14" s="729"/>
      <c r="AP14" s="729"/>
      <c r="AQ14" s="729"/>
      <c r="AR14" s="729"/>
      <c r="AS14" s="729"/>
      <c r="AT14" s="729"/>
      <c r="AU14" s="729"/>
      <c r="AV14" s="729"/>
      <c r="AW14" s="729"/>
      <c r="AX14" s="729"/>
      <c r="AY14" s="729"/>
    </row>
    <row r="15" spans="1:51">
      <c r="A15" s="304"/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674"/>
      <c r="T15" s="674"/>
      <c r="U15" s="674"/>
      <c r="V15" s="674"/>
      <c r="W15" s="674"/>
      <c r="X15" s="674" t="s">
        <v>475</v>
      </c>
      <c r="Y15" s="748">
        <f>'Modelo Base'!F200/1000000</f>
        <v>254.495081</v>
      </c>
      <c r="Z15" s="726">
        <f>'Modelo Base'!G200/1000000</f>
        <v>-267.33078899999998</v>
      </c>
      <c r="AA15" s="726">
        <f>'Modelo Base'!H200/1000000</f>
        <v>51.916595999999998</v>
      </c>
      <c r="AB15" s="726">
        <f>'Modelo Base'!I200/1000000</f>
        <v>89.724697366666661</v>
      </c>
      <c r="AC15" s="748">
        <f>'Modelo Base'!J200/1000000</f>
        <v>39.321053916666663</v>
      </c>
      <c r="AD15" s="726">
        <f>'Modelo Base'!K200/1000000</f>
        <v>-105.08256643333334</v>
      </c>
      <c r="AE15" s="726">
        <f>'Modelo Base'!L200/1000000</f>
        <v>55.719874566666668</v>
      </c>
      <c r="AF15" s="748">
        <f>'Modelo Base'!M200/1000000</f>
        <v>-1784.9021601575398</v>
      </c>
      <c r="AG15" s="726">
        <f>'Modelo Base'!N200/1000000</f>
        <v>320.87654044770619</v>
      </c>
      <c r="AH15" s="726">
        <f>'Modelo Base'!O200/1000000</f>
        <v>380.31713721845222</v>
      </c>
      <c r="AI15" s="726">
        <f>'Modelo Base'!P200/1000000</f>
        <v>440.33072201206608</v>
      </c>
      <c r="AJ15" s="726">
        <f>'Modelo Base'!Q200/1000000</f>
        <v>488.27045215483435</v>
      </c>
      <c r="AK15" s="729"/>
      <c r="AL15" s="729"/>
      <c r="AM15" s="729"/>
      <c r="AN15" s="729"/>
      <c r="AO15" s="729"/>
      <c r="AP15" s="729"/>
      <c r="AQ15" s="729"/>
      <c r="AR15" s="729"/>
      <c r="AS15" s="729"/>
      <c r="AT15" s="729"/>
      <c r="AU15" s="729"/>
      <c r="AV15" s="729"/>
      <c r="AW15" s="729"/>
      <c r="AX15" s="729"/>
      <c r="AY15" s="729"/>
    </row>
    <row r="16" spans="1:51">
      <c r="A16" s="304"/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4"/>
      <c r="N16" s="304"/>
      <c r="O16" s="304"/>
      <c r="P16" s="304"/>
      <c r="Q16" s="304"/>
      <c r="R16" s="304"/>
      <c r="S16" s="674"/>
      <c r="T16" s="674"/>
      <c r="U16" s="674"/>
      <c r="V16" s="674"/>
      <c r="W16" s="674"/>
      <c r="X16" s="674" t="s">
        <v>476</v>
      </c>
      <c r="Y16" s="748">
        <f>'Modelo Base'!F201/1000000</f>
        <v>-7.8805490000000002</v>
      </c>
      <c r="Z16" s="726">
        <f>'Modelo Base'!G201/1000000</f>
        <v>-6.729228</v>
      </c>
      <c r="AA16" s="726">
        <f>'Modelo Base'!H201/1000000</f>
        <v>-0.98551800000000001</v>
      </c>
      <c r="AB16" s="726">
        <f>'Modelo Base'!I201/1000000</f>
        <v>-3213.6097863666669</v>
      </c>
      <c r="AC16" s="748">
        <f>'Modelo Base'!J201/1000000</f>
        <v>3149.8284250833335</v>
      </c>
      <c r="AD16" s="726">
        <f>'Modelo Base'!K201/1000000</f>
        <v>-3.766258566666667</v>
      </c>
      <c r="AE16" s="726">
        <f>'Modelo Base'!L201/1000000</f>
        <v>-7.3600919999999999</v>
      </c>
      <c r="AF16" s="726">
        <f>'Modelo Base'!M201/1000000</f>
        <v>-7.3600919999999999</v>
      </c>
      <c r="AG16" s="726">
        <f>'Modelo Base'!N201/1000000</f>
        <v>-7.3600919999999999</v>
      </c>
      <c r="AH16" s="726">
        <f>'Modelo Base'!O201/1000000</f>
        <v>-7.3600919999999999</v>
      </c>
      <c r="AI16" s="726">
        <f>'Modelo Base'!P201/1000000</f>
        <v>-7.3600919999999999</v>
      </c>
      <c r="AJ16" s="726">
        <f>'Modelo Base'!Q201/1000000</f>
        <v>-7.3600919999999999</v>
      </c>
      <c r="AK16" s="729"/>
      <c r="AL16" s="729"/>
      <c r="AM16" s="729"/>
      <c r="AN16" s="729"/>
      <c r="AO16" s="729"/>
      <c r="AP16" s="729"/>
      <c r="AQ16" s="729"/>
      <c r="AR16" s="729"/>
      <c r="AS16" s="729"/>
      <c r="AT16" s="729"/>
      <c r="AU16" s="729"/>
      <c r="AV16" s="729"/>
      <c r="AW16" s="729"/>
      <c r="AX16" s="729"/>
      <c r="AY16" s="729"/>
    </row>
    <row r="17" spans="1:51">
      <c r="A17" s="304"/>
      <c r="B17" s="304"/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4"/>
      <c r="N17" s="304"/>
      <c r="O17" s="304"/>
      <c r="P17" s="304"/>
      <c r="Q17" s="304"/>
      <c r="R17" s="304"/>
      <c r="S17" s="674"/>
      <c r="T17" s="674"/>
      <c r="U17" s="674"/>
      <c r="V17" s="674"/>
      <c r="W17" s="674"/>
      <c r="X17" s="674" t="s">
        <v>477</v>
      </c>
      <c r="Y17" s="748">
        <f>'Modelo Base'!F202/1000000</f>
        <v>-17.231358</v>
      </c>
      <c r="Z17" s="726">
        <f>'Modelo Base'!G202/1000000</f>
        <v>5.6945129999999997</v>
      </c>
      <c r="AA17" s="748">
        <f>'Modelo Base'!H202/1000000</f>
        <v>23.825706</v>
      </c>
      <c r="AB17" s="726">
        <f>'Modelo Base'!I202/1000000</f>
        <v>-649.70875100000001</v>
      </c>
      <c r="AC17" s="748">
        <f>'Modelo Base'!J202/1000000</f>
        <v>643.92263500000001</v>
      </c>
      <c r="AD17" s="726">
        <f>'Modelo Base'!K202/1000000</f>
        <v>-17.168520000000001</v>
      </c>
      <c r="AE17" s="726">
        <f>'Modelo Base'!L202/1000000</f>
        <v>21.272048000000002</v>
      </c>
      <c r="AF17" s="748">
        <f>'Modelo Base'!M202/1000000</f>
        <v>2620.5152330000001</v>
      </c>
      <c r="AG17" s="748">
        <f>'Modelo Base'!N202/1000000</f>
        <v>0</v>
      </c>
      <c r="AH17" s="748">
        <f>'Modelo Base'!O202/1000000</f>
        <v>0</v>
      </c>
      <c r="AI17" s="748">
        <f>'Modelo Base'!P202/1000000</f>
        <v>0</v>
      </c>
      <c r="AJ17" s="748">
        <f>'Modelo Base'!Q202/1000000</f>
        <v>0</v>
      </c>
      <c r="AK17" s="729"/>
      <c r="AL17" s="729"/>
      <c r="AM17" s="729"/>
      <c r="AN17" s="729"/>
      <c r="AO17" s="729"/>
      <c r="AP17" s="729"/>
      <c r="AQ17" s="729"/>
      <c r="AR17" s="729"/>
      <c r="AS17" s="729"/>
      <c r="AT17" s="729"/>
      <c r="AU17" s="729"/>
      <c r="AV17" s="729"/>
      <c r="AW17" s="729"/>
      <c r="AX17" s="729"/>
      <c r="AY17" s="729"/>
    </row>
    <row r="18" spans="1:51">
      <c r="A18" s="304"/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674"/>
      <c r="T18" s="674"/>
      <c r="U18" s="674"/>
      <c r="V18" s="674"/>
      <c r="W18" s="674"/>
      <c r="X18" s="674" t="s">
        <v>626</v>
      </c>
      <c r="Y18" s="748">
        <f>'Modelo Base'!F203/1000000</f>
        <v>229.383174</v>
      </c>
      <c r="Z18" s="726">
        <f>'Modelo Base'!G203/1000000</f>
        <v>-268.36550399999999</v>
      </c>
      <c r="AA18" s="726">
        <f>'Modelo Base'!H203/1000000</f>
        <v>74.756783999999996</v>
      </c>
      <c r="AB18" s="726">
        <f>'Modelo Base'!I203/1000000</f>
        <v>-3773.59384</v>
      </c>
      <c r="AC18" s="748">
        <f>'Modelo Base'!J203/1000000</f>
        <v>3833.0721140000001</v>
      </c>
      <c r="AD18" s="726">
        <f>'Modelo Base'!K203/1000000</f>
        <v>-126.01734500000001</v>
      </c>
      <c r="AE18" s="726">
        <f>'Modelo Base'!L203/1000000</f>
        <v>69.631830566666665</v>
      </c>
      <c r="AF18" s="726">
        <f>'Modelo Base'!M203/1000000</f>
        <v>828.25298084246015</v>
      </c>
      <c r="AG18" s="726">
        <f>'Modelo Base'!N203/1000000</f>
        <v>313.51644844770618</v>
      </c>
      <c r="AH18" s="726">
        <f>'Modelo Base'!O203/1000000</f>
        <v>372.95704521845221</v>
      </c>
      <c r="AI18" s="726">
        <f>'Modelo Base'!P203/1000000</f>
        <v>432.97063001206607</v>
      </c>
      <c r="AJ18" s="726">
        <f>'Modelo Base'!Q203/1000000</f>
        <v>480.91036015483434</v>
      </c>
      <c r="AK18" s="729"/>
      <c r="AL18" s="729"/>
      <c r="AM18" s="729"/>
      <c r="AN18" s="729"/>
      <c r="AO18" s="729"/>
      <c r="AP18" s="729"/>
      <c r="AQ18" s="729"/>
      <c r="AR18" s="729"/>
      <c r="AS18" s="729"/>
      <c r="AT18" s="729"/>
      <c r="AU18" s="729"/>
      <c r="AV18" s="729"/>
      <c r="AW18" s="729"/>
      <c r="AX18" s="729"/>
      <c r="AY18" s="729"/>
    </row>
    <row r="19" spans="1:51">
      <c r="A19" s="304"/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4"/>
      <c r="N19" s="304"/>
      <c r="O19" s="304"/>
      <c r="P19" s="304"/>
      <c r="Q19" s="304"/>
      <c r="R19" s="304"/>
      <c r="S19" s="674"/>
      <c r="T19" s="674"/>
      <c r="U19" s="674"/>
      <c r="V19" s="674"/>
      <c r="W19" s="674"/>
      <c r="X19" s="674"/>
      <c r="Y19" s="674"/>
      <c r="Z19" s="674"/>
      <c r="AA19" s="674"/>
      <c r="AB19" s="674"/>
      <c r="AC19" s="674"/>
      <c r="AD19" s="674"/>
      <c r="AE19" s="674"/>
      <c r="AF19" s="674"/>
      <c r="AG19" s="674"/>
      <c r="AH19" s="674"/>
      <c r="AI19" s="674"/>
      <c r="AJ19" s="674"/>
      <c r="AK19" s="729"/>
      <c r="AL19" s="729"/>
      <c r="AM19" s="729"/>
      <c r="AN19" s="729"/>
      <c r="AO19" s="729"/>
      <c r="AP19" s="729"/>
      <c r="AQ19" s="729"/>
      <c r="AR19" s="729"/>
      <c r="AS19" s="729"/>
      <c r="AT19" s="729"/>
      <c r="AU19" s="729"/>
      <c r="AV19" s="729"/>
      <c r="AW19" s="729"/>
      <c r="AX19" s="729"/>
      <c r="AY19" s="729"/>
    </row>
    <row r="20" spans="1:51">
      <c r="A20" s="304"/>
      <c r="B20" s="304"/>
      <c r="C20" s="304"/>
      <c r="D20" s="304"/>
      <c r="E20" s="304"/>
      <c r="F20" s="304"/>
      <c r="G20" s="304"/>
      <c r="H20" s="304"/>
      <c r="I20" s="304"/>
      <c r="J20" s="304"/>
      <c r="K20" s="304"/>
      <c r="L20" s="304"/>
      <c r="M20" s="304"/>
      <c r="N20" s="304"/>
      <c r="O20" s="304"/>
      <c r="P20" s="304"/>
      <c r="Q20" s="304"/>
      <c r="R20" s="304"/>
      <c r="S20" s="674"/>
      <c r="T20" s="674"/>
      <c r="U20" s="674"/>
      <c r="V20" s="674"/>
      <c r="W20" s="674"/>
      <c r="X20" s="674"/>
      <c r="Y20" s="674"/>
      <c r="Z20" s="674"/>
      <c r="AA20" s="674"/>
      <c r="AB20" s="674"/>
      <c r="AC20" s="674"/>
      <c r="AD20" s="674"/>
      <c r="AE20" s="674"/>
      <c r="AF20" s="674"/>
      <c r="AG20" s="674"/>
      <c r="AH20" s="674"/>
      <c r="AI20" s="674"/>
      <c r="AJ20" s="674"/>
      <c r="AK20" s="729"/>
      <c r="AL20" s="729"/>
      <c r="AM20" s="729"/>
      <c r="AN20" s="729"/>
      <c r="AO20" s="729"/>
      <c r="AP20" s="729"/>
      <c r="AQ20" s="729"/>
      <c r="AR20" s="729"/>
      <c r="AS20" s="729"/>
      <c r="AT20" s="729"/>
      <c r="AU20" s="729"/>
      <c r="AV20" s="729"/>
      <c r="AW20" s="729"/>
      <c r="AX20" s="729"/>
      <c r="AY20" s="729"/>
    </row>
    <row r="21" spans="1:51" ht="30" customHeight="1">
      <c r="A21" s="467"/>
      <c r="B21" s="461"/>
      <c r="C21" s="461"/>
      <c r="D21" s="461"/>
      <c r="E21" s="461"/>
      <c r="F21" s="461"/>
      <c r="G21" s="461"/>
      <c r="H21" s="461"/>
      <c r="I21" s="461"/>
      <c r="J21" s="461"/>
      <c r="K21" s="461"/>
      <c r="L21" s="461"/>
      <c r="M21" s="461"/>
      <c r="N21" s="461"/>
      <c r="O21" s="461"/>
      <c r="P21" s="461"/>
      <c r="Q21" s="461"/>
      <c r="R21" s="461"/>
      <c r="S21" s="461"/>
      <c r="T21" s="461"/>
      <c r="U21" s="461"/>
      <c r="V21" s="461"/>
      <c r="W21" s="461"/>
      <c r="X21" s="461" t="s">
        <v>631</v>
      </c>
      <c r="Y21" s="461" t="str">
        <f t="shared" ref="Y21:AJ21" si="3">TEXT(DATE(2026,COLUMN()-COLUMN($X$2),1),"mmm-aa")</f>
        <v>ene-26</v>
      </c>
      <c r="Z21" s="461" t="str">
        <f t="shared" si="3"/>
        <v>feb-26</v>
      </c>
      <c r="AA21" s="461" t="str">
        <f t="shared" si="3"/>
        <v>mar-26</v>
      </c>
      <c r="AB21" s="461" t="str">
        <f t="shared" si="3"/>
        <v>abr-26</v>
      </c>
      <c r="AC21" s="461" t="str">
        <f t="shared" si="3"/>
        <v>may-26</v>
      </c>
      <c r="AD21" s="461" t="str">
        <f t="shared" si="3"/>
        <v>jun-26</v>
      </c>
      <c r="AE21" s="461" t="str">
        <f t="shared" si="3"/>
        <v>jul-26</v>
      </c>
      <c r="AF21" s="461" t="str">
        <f t="shared" si="3"/>
        <v>ago-26</v>
      </c>
      <c r="AG21" s="461" t="str">
        <f t="shared" si="3"/>
        <v>sep-26</v>
      </c>
      <c r="AH21" s="461" t="str">
        <f t="shared" si="3"/>
        <v>oct-26</v>
      </c>
      <c r="AI21" s="461" t="str">
        <f t="shared" si="3"/>
        <v>nov-26</v>
      </c>
      <c r="AJ21" s="461" t="str">
        <f t="shared" si="3"/>
        <v>dic-26</v>
      </c>
      <c r="AK21" s="729"/>
      <c r="AL21" s="729"/>
      <c r="AM21" s="729"/>
      <c r="AN21" s="729"/>
      <c r="AO21" s="729"/>
      <c r="AP21" s="729"/>
      <c r="AQ21" s="729"/>
      <c r="AR21" s="729"/>
      <c r="AS21" s="729"/>
      <c r="AT21" s="729"/>
      <c r="AU21" s="729"/>
      <c r="AV21" s="729"/>
      <c r="AW21" s="729"/>
      <c r="AX21" s="729"/>
      <c r="AY21" s="729"/>
    </row>
    <row r="22" spans="1:51">
      <c r="A22" s="304"/>
      <c r="B22" s="304"/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674"/>
      <c r="T22" s="674"/>
      <c r="U22" s="674"/>
      <c r="V22" s="674"/>
      <c r="W22" s="674"/>
      <c r="X22" s="674" t="s">
        <v>938</v>
      </c>
      <c r="Y22" s="748">
        <f>'Modelo Base'!F186/1000000</f>
        <v>460.842174</v>
      </c>
      <c r="Z22" s="726">
        <f>'Modelo Base'!G186/1000000</f>
        <v>157.22912199999999</v>
      </c>
      <c r="AA22" s="726">
        <f>'Modelo Base'!H186/1000000</f>
        <v>195.058323</v>
      </c>
      <c r="AB22" s="748">
        <f>'Modelo Base'!I186/1000000</f>
        <v>357.757161</v>
      </c>
      <c r="AC22" s="726">
        <f>'Modelo Base'!J186/1000000</f>
        <v>244.82234500000001</v>
      </c>
      <c r="AD22" s="726">
        <f>'Modelo Base'!K186/1000000</f>
        <v>115.441362</v>
      </c>
      <c r="AE22" s="726">
        <f>'Modelo Base'!L186/1000000</f>
        <v>174.26692600000001</v>
      </c>
      <c r="AF22" s="748">
        <f>'Modelo Base'!M186/1000000</f>
        <v>-1617.9953261575399</v>
      </c>
      <c r="AG22" s="748">
        <f>'Modelo Base'!N186/1000000</f>
        <v>-1304.4788777098336</v>
      </c>
      <c r="AH22" s="726">
        <f>'Modelo Base'!O186/1000000</f>
        <v>-931.52183249138136</v>
      </c>
      <c r="AI22" s="726">
        <f>'Modelo Base'!P186/1000000</f>
        <v>-498.55120247931535</v>
      </c>
      <c r="AJ22" s="726">
        <f>'Modelo Base'!Q186/1000000</f>
        <v>-17.64084232448101</v>
      </c>
      <c r="AK22" s="729"/>
      <c r="AL22" s="729"/>
      <c r="AM22" s="729"/>
      <c r="AN22" s="729"/>
      <c r="AO22" s="729"/>
      <c r="AP22" s="729"/>
      <c r="AQ22" s="729"/>
      <c r="AR22" s="729"/>
      <c r="AS22" s="729"/>
      <c r="AT22" s="729"/>
      <c r="AU22" s="729"/>
      <c r="AV22" s="729"/>
      <c r="AW22" s="729"/>
      <c r="AX22" s="729"/>
      <c r="AY22" s="729"/>
    </row>
    <row r="23" spans="1:51">
      <c r="A23" s="304"/>
      <c r="B23" s="304"/>
      <c r="C23" s="304"/>
      <c r="D23" s="304"/>
      <c r="E23" s="304"/>
      <c r="F23" s="304"/>
      <c r="G23" s="304"/>
      <c r="H23" s="304"/>
      <c r="I23" s="304"/>
      <c r="J23" s="304"/>
      <c r="K23" s="304"/>
      <c r="L23" s="304"/>
      <c r="M23" s="304"/>
      <c r="N23" s="304"/>
      <c r="O23" s="304"/>
      <c r="P23" s="304"/>
      <c r="Q23" s="304"/>
      <c r="R23" s="304"/>
      <c r="S23" s="674"/>
      <c r="T23" s="674"/>
      <c r="U23" s="674"/>
      <c r="V23" s="674"/>
      <c r="W23" s="674"/>
      <c r="X23" s="674" t="s">
        <v>939</v>
      </c>
      <c r="Y23" s="726">
        <f>'Modelo Base'!F183/1000000</f>
        <v>231.459</v>
      </c>
      <c r="Z23" s="726">
        <f>'Modelo Base'!G183/1000000</f>
        <v>231.459</v>
      </c>
      <c r="AA23" s="726">
        <f>'Modelo Base'!H183/1000000</f>
        <v>231.459</v>
      </c>
      <c r="AB23" s="726">
        <f>'Modelo Base'!I183/1000000</f>
        <v>231.459</v>
      </c>
      <c r="AC23" s="726">
        <f>'Modelo Base'!J183/1000000</f>
        <v>231.459</v>
      </c>
      <c r="AD23" s="726">
        <f>'Modelo Base'!K183/1000000</f>
        <v>231.459</v>
      </c>
      <c r="AE23" s="726">
        <f>'Modelo Base'!L183/1000000</f>
        <v>231.459</v>
      </c>
      <c r="AF23" s="726">
        <f>'Modelo Base'!M183/1000000</f>
        <v>231.459</v>
      </c>
      <c r="AG23" s="726">
        <f>'Modelo Base'!N183/1000000</f>
        <v>231.459</v>
      </c>
      <c r="AH23" s="726">
        <f>'Modelo Base'!O183/1000000</f>
        <v>231.459</v>
      </c>
      <c r="AI23" s="726">
        <f>'Modelo Base'!P183/1000000</f>
        <v>231.459</v>
      </c>
      <c r="AJ23" s="726">
        <f>'Modelo Base'!Q183/1000000</f>
        <v>231.459</v>
      </c>
      <c r="AK23" s="729"/>
      <c r="AL23" s="729"/>
      <c r="AM23" s="729"/>
      <c r="AN23" s="729"/>
      <c r="AO23" s="729"/>
      <c r="AP23" s="729"/>
      <c r="AQ23" s="729"/>
      <c r="AR23" s="729"/>
      <c r="AS23" s="729"/>
      <c r="AT23" s="729"/>
      <c r="AU23" s="729"/>
      <c r="AV23" s="729"/>
      <c r="AW23" s="729"/>
      <c r="AX23" s="729"/>
      <c r="AY23" s="729"/>
    </row>
    <row r="24" spans="1:51">
      <c r="A24" s="304"/>
      <c r="B24" s="304"/>
      <c r="C24" s="304"/>
      <c r="D24" s="304"/>
      <c r="E24" s="304"/>
      <c r="F24" s="304"/>
      <c r="G24" s="304"/>
      <c r="H24" s="304"/>
      <c r="I24" s="304"/>
      <c r="J24" s="304"/>
      <c r="K24" s="304"/>
      <c r="L24" s="304"/>
      <c r="M24" s="304"/>
      <c r="N24" s="304"/>
      <c r="O24" s="304"/>
      <c r="P24" s="304"/>
      <c r="Q24" s="304"/>
      <c r="R24" s="304"/>
      <c r="S24" s="674"/>
      <c r="T24" s="674"/>
      <c r="U24" s="674"/>
      <c r="V24" s="674"/>
      <c r="W24" s="674"/>
      <c r="X24" s="674"/>
      <c r="Y24" s="674"/>
      <c r="Z24" s="674"/>
      <c r="AA24" s="674"/>
      <c r="AB24" s="674"/>
      <c r="AC24" s="674"/>
      <c r="AD24" s="674"/>
      <c r="AE24" s="674"/>
      <c r="AF24" s="674"/>
      <c r="AG24" s="674"/>
      <c r="AH24" s="674"/>
      <c r="AI24" s="674"/>
      <c r="AJ24" s="674"/>
      <c r="AK24" s="729"/>
      <c r="AL24" s="729"/>
      <c r="AM24" s="729"/>
      <c r="AN24" s="729"/>
      <c r="AO24" s="729"/>
      <c r="AP24" s="729"/>
      <c r="AQ24" s="729"/>
      <c r="AR24" s="729"/>
      <c r="AS24" s="729"/>
      <c r="AT24" s="729"/>
      <c r="AU24" s="729"/>
      <c r="AV24" s="729"/>
      <c r="AW24" s="729"/>
      <c r="AX24" s="729"/>
      <c r="AY24" s="729"/>
    </row>
    <row r="25" spans="1:51">
      <c r="A25" s="304"/>
      <c r="B25" s="304"/>
      <c r="C25" s="304"/>
      <c r="D25" s="304"/>
      <c r="E25" s="304"/>
      <c r="F25" s="304"/>
      <c r="G25" s="304"/>
      <c r="H25" s="304"/>
      <c r="I25" s="304"/>
      <c r="J25" s="304"/>
      <c r="K25" s="304"/>
      <c r="L25" s="304"/>
      <c r="M25" s="304"/>
      <c r="N25" s="304"/>
      <c r="O25" s="304"/>
      <c r="P25" s="304"/>
      <c r="Q25" s="304"/>
      <c r="R25" s="304"/>
      <c r="S25" s="674"/>
      <c r="T25" s="674"/>
      <c r="U25" s="674"/>
      <c r="V25" s="674"/>
      <c r="W25" s="674"/>
      <c r="X25" s="674"/>
      <c r="Y25" s="674"/>
      <c r="Z25" s="674"/>
      <c r="AA25" s="674"/>
      <c r="AB25" s="674"/>
      <c r="AC25" s="674"/>
      <c r="AD25" s="674"/>
      <c r="AE25" s="674"/>
      <c r="AF25" s="674"/>
      <c r="AG25" s="674"/>
      <c r="AH25" s="674"/>
      <c r="AI25" s="674"/>
      <c r="AJ25" s="674"/>
      <c r="AK25" s="729"/>
      <c r="AL25" s="729"/>
      <c r="AM25" s="729"/>
      <c r="AN25" s="729"/>
      <c r="AO25" s="729"/>
      <c r="AP25" s="729"/>
      <c r="AQ25" s="729"/>
      <c r="AR25" s="729"/>
      <c r="AS25" s="729"/>
      <c r="AT25" s="729"/>
      <c r="AU25" s="729"/>
      <c r="AV25" s="729"/>
      <c r="AW25" s="729"/>
      <c r="AX25" s="729"/>
      <c r="AY25" s="729"/>
    </row>
    <row r="26" spans="1:51" ht="30" customHeight="1">
      <c r="A26" s="467"/>
      <c r="B26" s="461"/>
      <c r="C26" s="461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461"/>
      <c r="R26" s="461"/>
      <c r="S26" s="461"/>
      <c r="T26" s="461"/>
      <c r="U26" s="461"/>
      <c r="V26" s="461"/>
      <c r="W26" s="461"/>
      <c r="X26" s="461" t="s">
        <v>79</v>
      </c>
      <c r="Y26" s="461" t="str">
        <f>TEXT(DATE(2026,COLUMN()-COLUMN($X$26),1),"mmm-aa")</f>
        <v>ene-26</v>
      </c>
      <c r="Z26" s="461" t="str">
        <f t="shared" ref="Z26:AJ26" si="4">TEXT(DATE(2026,COLUMN()-COLUMN($X$26),1),"mmm-aa")</f>
        <v>feb-26</v>
      </c>
      <c r="AA26" s="461" t="str">
        <f t="shared" si="4"/>
        <v>mar-26</v>
      </c>
      <c r="AB26" s="461" t="str">
        <f t="shared" si="4"/>
        <v>abr-26</v>
      </c>
      <c r="AC26" s="461" t="str">
        <f t="shared" si="4"/>
        <v>may-26</v>
      </c>
      <c r="AD26" s="461" t="str">
        <f t="shared" si="4"/>
        <v>jun-26</v>
      </c>
      <c r="AE26" s="461" t="str">
        <f t="shared" si="4"/>
        <v>jul-26</v>
      </c>
      <c r="AF26" s="461" t="str">
        <f t="shared" si="4"/>
        <v>ago-26</v>
      </c>
      <c r="AG26" s="461" t="str">
        <f t="shared" si="4"/>
        <v>sep-26</v>
      </c>
      <c r="AH26" s="461" t="str">
        <f t="shared" si="4"/>
        <v>oct-26</v>
      </c>
      <c r="AI26" s="461" t="str">
        <f t="shared" si="4"/>
        <v>nov-26</v>
      </c>
      <c r="AJ26" s="461" t="str">
        <f t="shared" si="4"/>
        <v>dic-26</v>
      </c>
      <c r="AK26" s="729"/>
      <c r="AL26" s="729"/>
      <c r="AM26" s="729"/>
      <c r="AN26" s="729"/>
      <c r="AO26" s="729"/>
      <c r="AP26" s="729"/>
      <c r="AQ26" s="729"/>
      <c r="AR26" s="729"/>
      <c r="AS26" s="729"/>
      <c r="AT26" s="729"/>
      <c r="AU26" s="729"/>
      <c r="AV26" s="729"/>
      <c r="AW26" s="729"/>
      <c r="AX26" s="729"/>
      <c r="AY26" s="729"/>
    </row>
    <row r="27" spans="1:51">
      <c r="A27" s="304"/>
      <c r="B27" s="304"/>
      <c r="C27" s="304"/>
      <c r="D27" s="304"/>
      <c r="E27" s="304"/>
      <c r="F27" s="304"/>
      <c r="G27" s="304"/>
      <c r="H27" s="304"/>
      <c r="I27" s="304"/>
      <c r="J27" s="304"/>
      <c r="K27" s="304"/>
      <c r="L27" s="304"/>
      <c r="M27" s="304"/>
      <c r="N27" s="304"/>
      <c r="O27" s="304"/>
      <c r="P27" s="304"/>
      <c r="Q27" s="304"/>
      <c r="R27" s="304"/>
      <c r="S27" s="674"/>
      <c r="T27" s="674"/>
      <c r="U27" s="674"/>
      <c r="V27" s="674"/>
      <c r="W27" s="674"/>
      <c r="X27" s="674" t="s">
        <v>96</v>
      </c>
      <c r="Y27" s="726">
        <f>'Modelo Base'!F21/1000000</f>
        <v>612.24770100000001</v>
      </c>
      <c r="Z27" s="726">
        <f>'Modelo Base'!G21/1000000</f>
        <v>744.21813699999996</v>
      </c>
      <c r="AA27" s="726">
        <f>'Modelo Base'!H21/1000000</f>
        <v>787.04118700000004</v>
      </c>
      <c r="AB27" s="726">
        <f>'Modelo Base'!I21/1000000</f>
        <v>750.867662</v>
      </c>
      <c r="AC27" s="748">
        <f>'Modelo Base'!J21/1000000</f>
        <v>1013.2</v>
      </c>
      <c r="AD27" s="748">
        <f>'Modelo Base'!K21/1000000</f>
        <v>1186.615357142857</v>
      </c>
      <c r="AE27" s="748">
        <f>'Modelo Base'!L21/1000000</f>
        <v>1360.0307142857143</v>
      </c>
      <c r="AF27" s="748">
        <f>'Modelo Base'!M21/1000000</f>
        <v>1533.4460714285715</v>
      </c>
      <c r="AG27" s="748">
        <f>'Modelo Base'!N21/1000000</f>
        <v>1706.8614285714286</v>
      </c>
      <c r="AH27" s="748">
        <f>'Modelo Base'!O21/1000000</f>
        <v>1880.2767857142858</v>
      </c>
      <c r="AI27" s="748">
        <f>'Modelo Base'!P21/1000000</f>
        <v>2053.6921428571427</v>
      </c>
      <c r="AJ27" s="748">
        <f>'Modelo Base'!Q21/1000000</f>
        <v>2227.1075000000001</v>
      </c>
      <c r="AK27" s="729"/>
      <c r="AL27" s="729"/>
      <c r="AM27" s="729"/>
      <c r="AN27" s="729"/>
      <c r="AO27" s="729"/>
      <c r="AP27" s="729"/>
      <c r="AQ27" s="729"/>
      <c r="AR27" s="729"/>
      <c r="AS27" s="729"/>
      <c r="AT27" s="729"/>
      <c r="AU27" s="729"/>
      <c r="AV27" s="729"/>
      <c r="AW27" s="729"/>
      <c r="AX27" s="729"/>
      <c r="AY27" s="729"/>
    </row>
    <row r="28" spans="1:51">
      <c r="A28" s="304"/>
      <c r="B28" s="304"/>
      <c r="C28" s="304"/>
      <c r="D28" s="304"/>
      <c r="E28" s="304"/>
      <c r="F28" s="304"/>
      <c r="G28" s="304"/>
      <c r="H28" s="304"/>
      <c r="I28" s="304"/>
      <c r="J28" s="304"/>
      <c r="K28" s="304"/>
      <c r="L28" s="304"/>
      <c r="M28" s="304"/>
      <c r="N28" s="304"/>
      <c r="O28" s="304"/>
      <c r="P28" s="304"/>
      <c r="Q28" s="304"/>
      <c r="R28" s="304"/>
      <c r="S28" s="674"/>
      <c r="T28" s="674"/>
      <c r="U28" s="674"/>
      <c r="V28" s="674"/>
      <c r="W28" s="674"/>
      <c r="X28" s="674" t="s">
        <v>90</v>
      </c>
      <c r="Y28" s="726">
        <f>'Modelo Base'!F22/1000000</f>
        <v>612.24770100000001</v>
      </c>
      <c r="Z28" s="726">
        <f>'Modelo Base'!G22/1000000</f>
        <v>744.21813699999996</v>
      </c>
      <c r="AA28" s="726">
        <f>'Modelo Base'!H22/1000000</f>
        <v>787.04118700000004</v>
      </c>
      <c r="AB28" s="726">
        <f>'Modelo Base'!I22/1000000</f>
        <v>750.867662</v>
      </c>
      <c r="AC28" s="748">
        <f>'Modelo Base'!J22/1000000</f>
        <v>1218.4027094999999</v>
      </c>
      <c r="AD28" s="726">
        <f>'Modelo Base'!K22/1000000</f>
        <v>759.47893950000002</v>
      </c>
      <c r="AE28" s="726">
        <f>'Modelo Base'!L22/1000000</f>
        <v>803.43646333333334</v>
      </c>
      <c r="AF28" s="748">
        <f>'Modelo Base'!M22/1000000</f>
        <v>1243.6402333333333</v>
      </c>
      <c r="AG28" s="748">
        <f>'Modelo Base'!N22/1000000</f>
        <v>1249.0402333333332</v>
      </c>
      <c r="AH28" s="748">
        <f>'Modelo Base'!O22/1000000</f>
        <v>1350.4209306666667</v>
      </c>
      <c r="AI28" s="748">
        <f>'Modelo Base'!P22/1000000</f>
        <v>1355.8209306666668</v>
      </c>
      <c r="AJ28" s="748">
        <f>'Modelo Base'!Q22/1000000</f>
        <v>1361.2209306666668</v>
      </c>
      <c r="AK28" s="729"/>
      <c r="AL28" s="729"/>
      <c r="AM28" s="729"/>
      <c r="AN28" s="729"/>
      <c r="AO28" s="729"/>
      <c r="AP28" s="729"/>
      <c r="AQ28" s="729"/>
      <c r="AR28" s="729"/>
      <c r="AS28" s="729"/>
      <c r="AT28" s="729"/>
      <c r="AU28" s="729"/>
      <c r="AV28" s="729"/>
      <c r="AW28" s="729"/>
      <c r="AX28" s="729"/>
      <c r="AY28" s="729"/>
    </row>
    <row r="29" spans="1:51">
      <c r="A29" s="304"/>
      <c r="B29" s="304"/>
      <c r="C29" s="304"/>
      <c r="D29" s="304"/>
      <c r="E29" s="304"/>
      <c r="F29" s="304"/>
      <c r="G29" s="304"/>
      <c r="H29" s="304"/>
      <c r="I29" s="304"/>
      <c r="J29" s="304"/>
      <c r="K29" s="304"/>
      <c r="L29" s="304"/>
      <c r="M29" s="304"/>
      <c r="N29" s="304"/>
      <c r="O29" s="304"/>
      <c r="P29" s="304"/>
      <c r="Q29" s="304"/>
      <c r="R29" s="304"/>
      <c r="S29" s="674"/>
      <c r="T29" s="674"/>
      <c r="U29" s="674"/>
      <c r="V29" s="674"/>
      <c r="W29" s="674"/>
      <c r="X29" s="674" t="s">
        <v>93</v>
      </c>
      <c r="Y29" s="726">
        <f>'Modelo Base'!F23/1000000</f>
        <v>612.24770100000001</v>
      </c>
      <c r="Z29" s="726">
        <f>'Modelo Base'!G23/1000000</f>
        <v>744.21813699999996</v>
      </c>
      <c r="AA29" s="726">
        <f>'Modelo Base'!H23/1000000</f>
        <v>787.04118700000004</v>
      </c>
      <c r="AB29" s="726">
        <f>'Modelo Base'!I23/1000000</f>
        <v>750.867662</v>
      </c>
      <c r="AC29" s="726">
        <f>'Modelo Base'!J23/1000000</f>
        <v>826.51474599999995</v>
      </c>
      <c r="AD29" s="726">
        <f>'Modelo Base'!K23/1000000</f>
        <v>751.45331399999998</v>
      </c>
      <c r="AE29" s="748">
        <f>'Modelo Base'!L23/1000000</f>
        <v>1047.4069442857144</v>
      </c>
      <c r="AF29" s="748">
        <f>'Modelo Base'!M23/1000000</f>
        <v>1573.6260714285715</v>
      </c>
      <c r="AG29" s="748">
        <f>'Modelo Base'!N23/1000000</f>
        <v>1665.0414285714285</v>
      </c>
      <c r="AH29" s="748">
        <f>'Modelo Base'!O23/1000000</f>
        <v>1756.4567857142858</v>
      </c>
      <c r="AI29" s="748">
        <f>'Modelo Base'!P23/1000000</f>
        <v>1847.872142857143</v>
      </c>
      <c r="AJ29" s="748">
        <f>'Modelo Base'!Q23/1000000</f>
        <v>1939.2874999999999</v>
      </c>
      <c r="AK29" s="729"/>
      <c r="AL29" s="729"/>
      <c r="AM29" s="729"/>
      <c r="AN29" s="729"/>
      <c r="AO29" s="729"/>
      <c r="AP29" s="729"/>
      <c r="AQ29" s="729"/>
      <c r="AR29" s="729"/>
      <c r="AS29" s="729"/>
      <c r="AT29" s="729"/>
      <c r="AU29" s="729"/>
      <c r="AV29" s="729"/>
      <c r="AW29" s="729"/>
      <c r="AX29" s="729"/>
      <c r="AY29" s="729"/>
    </row>
    <row r="30" spans="1:51">
      <c r="A30" s="304"/>
      <c r="B30" s="304"/>
      <c r="C30" s="304"/>
      <c r="D30" s="304"/>
      <c r="E30" s="304"/>
      <c r="F30" s="304"/>
      <c r="G30" s="304"/>
      <c r="H30" s="304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674"/>
      <c r="T30" s="674"/>
      <c r="U30" s="674"/>
      <c r="V30" s="674"/>
      <c r="W30" s="674"/>
      <c r="X30" s="674"/>
      <c r="Y30" s="674"/>
      <c r="Z30" s="674"/>
      <c r="AA30" s="674"/>
      <c r="AB30" s="674"/>
      <c r="AC30" s="674"/>
      <c r="AD30" s="674"/>
      <c r="AE30" s="674"/>
      <c r="AF30" s="674"/>
      <c r="AG30" s="674"/>
      <c r="AH30" s="674"/>
      <c r="AI30" s="674"/>
      <c r="AJ30" s="674"/>
      <c r="AK30" s="729"/>
      <c r="AL30" s="729"/>
      <c r="AM30" s="729"/>
      <c r="AN30" s="729"/>
      <c r="AO30" s="729"/>
      <c r="AP30" s="729"/>
      <c r="AQ30" s="729"/>
      <c r="AR30" s="729"/>
      <c r="AS30" s="729"/>
      <c r="AT30" s="729"/>
      <c r="AU30" s="729"/>
      <c r="AV30" s="729"/>
      <c r="AW30" s="729"/>
      <c r="AX30" s="729"/>
      <c r="AY30" s="729"/>
    </row>
    <row r="31" spans="1:51">
      <c r="A31" s="304"/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674"/>
      <c r="T31" s="674"/>
      <c r="U31" s="674"/>
      <c r="V31" s="674"/>
      <c r="W31" s="674"/>
      <c r="X31" s="674"/>
      <c r="Y31" s="674"/>
      <c r="Z31" s="674"/>
      <c r="AA31" s="674"/>
      <c r="AB31" s="674"/>
      <c r="AC31" s="674"/>
      <c r="AD31" s="674"/>
      <c r="AE31" s="674"/>
      <c r="AF31" s="674"/>
      <c r="AG31" s="674"/>
      <c r="AH31" s="674"/>
      <c r="AI31" s="674"/>
      <c r="AJ31" s="674"/>
      <c r="AK31" s="729"/>
      <c r="AL31" s="729"/>
      <c r="AM31" s="729"/>
      <c r="AN31" s="729"/>
      <c r="AO31" s="729"/>
      <c r="AP31" s="729"/>
      <c r="AQ31" s="729"/>
      <c r="AR31" s="729"/>
      <c r="AS31" s="729"/>
      <c r="AT31" s="729"/>
      <c r="AU31" s="729"/>
      <c r="AV31" s="729"/>
      <c r="AW31" s="729"/>
      <c r="AX31" s="729"/>
      <c r="AY31" s="729"/>
    </row>
    <row r="32" spans="1:51" ht="30" customHeight="1">
      <c r="A32" s="467"/>
      <c r="B32" s="461"/>
      <c r="C32" s="461"/>
      <c r="D32" s="461"/>
      <c r="E32" s="461"/>
      <c r="F32" s="461"/>
      <c r="G32" s="461"/>
      <c r="H32" s="461"/>
      <c r="I32" s="461"/>
      <c r="J32" s="461"/>
      <c r="K32" s="461"/>
      <c r="L32" s="461"/>
      <c r="M32" s="461"/>
      <c r="N32" s="461"/>
      <c r="O32" s="461"/>
      <c r="P32" s="461"/>
      <c r="Q32" s="461"/>
      <c r="R32" s="461"/>
      <c r="S32" s="461"/>
      <c r="T32" s="461"/>
      <c r="U32" s="461"/>
      <c r="V32" s="461"/>
      <c r="W32" s="461"/>
      <c r="X32" s="461" t="s">
        <v>631</v>
      </c>
      <c r="Y32" s="461" t="str">
        <f>TEXT(DATE(2026,COLUMN()-COLUMN($X$32),1),"mmm-aa")</f>
        <v>ene-26</v>
      </c>
      <c r="Z32" s="461" t="str">
        <f t="shared" ref="Z32:AJ32" si="5">TEXT(DATE(2026,COLUMN()-COLUMN($X$32),1),"mmm-aa")</f>
        <v>feb-26</v>
      </c>
      <c r="AA32" s="461" t="str">
        <f t="shared" si="5"/>
        <v>mar-26</v>
      </c>
      <c r="AB32" s="461" t="str">
        <f t="shared" si="5"/>
        <v>abr-26</v>
      </c>
      <c r="AC32" s="461" t="str">
        <f t="shared" si="5"/>
        <v>may-26</v>
      </c>
      <c r="AD32" s="461" t="str">
        <f t="shared" si="5"/>
        <v>jun-26</v>
      </c>
      <c r="AE32" s="461" t="str">
        <f t="shared" si="5"/>
        <v>jul-26</v>
      </c>
      <c r="AF32" s="461" t="str">
        <f t="shared" si="5"/>
        <v>ago-26</v>
      </c>
      <c r="AG32" s="461" t="str">
        <f t="shared" si="5"/>
        <v>sep-26</v>
      </c>
      <c r="AH32" s="461" t="str">
        <f t="shared" si="5"/>
        <v>oct-26</v>
      </c>
      <c r="AI32" s="461" t="str">
        <f t="shared" si="5"/>
        <v>nov-26</v>
      </c>
      <c r="AJ32" s="461" t="str">
        <f t="shared" si="5"/>
        <v>dic-26</v>
      </c>
      <c r="AK32" s="729"/>
      <c r="AL32" s="729"/>
      <c r="AM32" s="729"/>
      <c r="AN32" s="729"/>
      <c r="AO32" s="729"/>
      <c r="AP32" s="729"/>
      <c r="AQ32" s="729"/>
      <c r="AR32" s="729"/>
      <c r="AS32" s="729"/>
      <c r="AT32" s="729"/>
      <c r="AU32" s="729"/>
      <c r="AV32" s="729"/>
      <c r="AW32" s="729"/>
      <c r="AX32" s="729"/>
      <c r="AY32" s="729"/>
    </row>
    <row r="33" spans="1:51">
      <c r="A33" s="304"/>
      <c r="B33" s="304"/>
      <c r="C33" s="304"/>
      <c r="D33" s="304"/>
      <c r="E33" s="304"/>
      <c r="F33" s="304"/>
      <c r="G33" s="304"/>
      <c r="H33" s="304"/>
      <c r="I33" s="304"/>
      <c r="J33" s="304"/>
      <c r="K33" s="304"/>
      <c r="L33" s="304"/>
      <c r="M33" s="304"/>
      <c r="N33" s="304"/>
      <c r="O33" s="304"/>
      <c r="P33" s="304"/>
      <c r="Q33" s="304"/>
      <c r="R33" s="304"/>
      <c r="S33" s="674"/>
      <c r="T33" s="674"/>
      <c r="U33" s="674"/>
      <c r="V33" s="674"/>
      <c r="W33" s="674"/>
      <c r="X33" s="674" t="s">
        <v>805</v>
      </c>
      <c r="Y33" s="726">
        <f>'Modelo Base'!F228</f>
        <v>83.883618266130497</v>
      </c>
      <c r="Z33" s="726">
        <f>'Modelo Base'!G228</f>
        <v>68.288405970412413</v>
      </c>
      <c r="AA33" s="726">
        <f>'Modelo Base'!H228</f>
        <v>66.479627634786041</v>
      </c>
      <c r="AB33" s="726">
        <f>'Modelo Base'!I228</f>
        <v>65.987250853266872</v>
      </c>
      <c r="AC33" s="726">
        <f>'Modelo Base'!J228</f>
        <v>59.671102274562443</v>
      </c>
      <c r="AD33" s="726">
        <f>'Modelo Base'!K228</f>
        <v>69.36115117059687</v>
      </c>
      <c r="AE33" s="726">
        <f>'Modelo Base'!L228</f>
        <v>76.951113824273293</v>
      </c>
      <c r="AF33" s="726">
        <f>'Modelo Base'!M228</f>
        <v>58.094591456538161</v>
      </c>
      <c r="AG33" s="726">
        <f>'Modelo Base'!N228</f>
        <v>81.6940844028763</v>
      </c>
      <c r="AH33" s="726">
        <f>'Modelo Base'!O228</f>
        <v>81.814096520206363</v>
      </c>
      <c r="AI33" s="726">
        <f>'Modelo Base'!P228</f>
        <v>81.922234492878104</v>
      </c>
      <c r="AJ33" s="726">
        <f>'Modelo Base'!Q228</f>
        <v>82.020177513648704</v>
      </c>
      <c r="AK33" s="729"/>
      <c r="AL33" s="729"/>
      <c r="AM33" s="729"/>
      <c r="AN33" s="729"/>
      <c r="AO33" s="729"/>
      <c r="AP33" s="729"/>
      <c r="AQ33" s="729"/>
      <c r="AR33" s="729"/>
      <c r="AS33" s="729"/>
      <c r="AT33" s="729"/>
      <c r="AU33" s="729"/>
      <c r="AV33" s="729"/>
      <c r="AW33" s="729"/>
      <c r="AX33" s="729"/>
      <c r="AY33" s="729"/>
    </row>
    <row r="34" spans="1:51">
      <c r="A34" s="304"/>
      <c r="B34" s="304"/>
      <c r="C34" s="304"/>
      <c r="D34" s="304"/>
      <c r="E34" s="304"/>
      <c r="F34" s="304"/>
      <c r="G34" s="304"/>
      <c r="H34" s="304"/>
      <c r="I34" s="304"/>
      <c r="J34" s="304"/>
      <c r="K34" s="304"/>
      <c r="L34" s="304"/>
      <c r="M34" s="304"/>
      <c r="N34" s="304"/>
      <c r="O34" s="304"/>
      <c r="P34" s="304"/>
      <c r="Q34" s="304"/>
      <c r="R34" s="304"/>
      <c r="S34" s="674"/>
      <c r="T34" s="674"/>
      <c r="U34" s="674"/>
      <c r="V34" s="674"/>
      <c r="W34" s="674"/>
      <c r="X34" s="674" t="s">
        <v>940</v>
      </c>
      <c r="Y34" s="726">
        <f>'Modelo Base'!F229</f>
        <v>9.614560886405167</v>
      </c>
      <c r="Z34" s="726">
        <f>'Modelo Base'!G229</f>
        <v>7.6089761418314508</v>
      </c>
      <c r="AA34" s="726">
        <f>'Modelo Base'!H229</f>
        <v>6.7670344830580103</v>
      </c>
      <c r="AB34" s="726">
        <f>'Modelo Base'!I229</f>
        <v>8.5724442762023649</v>
      </c>
      <c r="AC34" s="726">
        <f>'Modelo Base'!J229</f>
        <v>8.9523556781668781</v>
      </c>
      <c r="AD34" s="726">
        <f>'Modelo Base'!K229</f>
        <v>7.8811540905730393</v>
      </c>
      <c r="AE34" s="726">
        <f>'Modelo Base'!L229</f>
        <v>8.7627549548838601</v>
      </c>
      <c r="AF34" s="726">
        <f>'Modelo Base'!M229</f>
        <v>120.402407432998</v>
      </c>
      <c r="AG34" s="726">
        <f>'Modelo Base'!N229</f>
        <v>231.90703200362574</v>
      </c>
      <c r="AH34" s="726">
        <f>'Modelo Base'!O229</f>
        <v>231.90703200362574</v>
      </c>
      <c r="AI34" s="726">
        <f>'Modelo Base'!P229</f>
        <v>225.49183109456371</v>
      </c>
      <c r="AJ34" s="726">
        <f>'Modelo Base'!Q229</f>
        <v>225.49183109456371</v>
      </c>
      <c r="AK34" s="729"/>
      <c r="AL34" s="729"/>
      <c r="AM34" s="729"/>
      <c r="AN34" s="729"/>
      <c r="AO34" s="729"/>
      <c r="AP34" s="729"/>
      <c r="AQ34" s="729"/>
      <c r="AR34" s="729"/>
      <c r="AS34" s="729"/>
      <c r="AT34" s="729"/>
      <c r="AU34" s="729"/>
      <c r="AV34" s="729"/>
      <c r="AW34" s="729"/>
      <c r="AX34" s="729"/>
      <c r="AY34" s="729"/>
    </row>
    <row r="35" spans="1:51">
      <c r="A35" s="304"/>
      <c r="B35" s="304"/>
      <c r="C35" s="304"/>
      <c r="D35" s="304"/>
      <c r="E35" s="304"/>
      <c r="F35" s="304"/>
      <c r="G35" s="304"/>
      <c r="H35" s="304"/>
      <c r="I35" s="304"/>
      <c r="J35" s="304"/>
      <c r="K35" s="304"/>
      <c r="L35" s="304"/>
      <c r="M35" s="304"/>
      <c r="N35" s="304"/>
      <c r="O35" s="304"/>
      <c r="P35" s="304"/>
      <c r="Q35" s="304"/>
      <c r="R35" s="304"/>
      <c r="S35" s="674"/>
      <c r="T35" s="674"/>
      <c r="U35" s="674"/>
      <c r="V35" s="674"/>
      <c r="W35" s="674"/>
      <c r="X35" s="674" t="s">
        <v>941</v>
      </c>
      <c r="Y35" s="726">
        <f>'Modelo Base'!F230</f>
        <v>74.269057379725325</v>
      </c>
      <c r="Z35" s="726">
        <f>'Modelo Base'!G230</f>
        <v>60.679429828580965</v>
      </c>
      <c r="AA35" s="726">
        <f>'Modelo Base'!H230</f>
        <v>59.712593151728029</v>
      </c>
      <c r="AB35" s="726">
        <f>'Modelo Base'!I230</f>
        <v>57.41480657706451</v>
      </c>
      <c r="AC35" s="726">
        <f>'Modelo Base'!J230</f>
        <v>50.718746596395562</v>
      </c>
      <c r="AD35" s="726">
        <f>'Modelo Base'!K230</f>
        <v>61.479997080023828</v>
      </c>
      <c r="AE35" s="726">
        <f>'Modelo Base'!L230</f>
        <v>68.188358869389432</v>
      </c>
      <c r="AF35" s="726">
        <f>'Modelo Base'!M230</f>
        <v>-62.307815976459842</v>
      </c>
      <c r="AG35" s="726">
        <f>'Modelo Base'!N230</f>
        <v>-150.21294760074943</v>
      </c>
      <c r="AH35" s="726">
        <f>'Modelo Base'!O230</f>
        <v>-150.09293548341938</v>
      </c>
      <c r="AI35" s="726">
        <f>'Modelo Base'!P230</f>
        <v>-143.56959660168559</v>
      </c>
      <c r="AJ35" s="726">
        <f>'Modelo Base'!Q230</f>
        <v>-143.47165358091502</v>
      </c>
      <c r="AK35" s="729"/>
      <c r="AL35" s="729"/>
      <c r="AM35" s="729"/>
      <c r="AN35" s="729"/>
      <c r="AO35" s="729"/>
      <c r="AP35" s="729"/>
      <c r="AQ35" s="729"/>
      <c r="AR35" s="729"/>
      <c r="AS35" s="729"/>
      <c r="AT35" s="729"/>
      <c r="AU35" s="729"/>
      <c r="AV35" s="729"/>
      <c r="AW35" s="729"/>
      <c r="AX35" s="729"/>
      <c r="AY35" s="729"/>
    </row>
    <row r="36" spans="1:51">
      <c r="A36" s="304"/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674"/>
      <c r="T36" s="674"/>
      <c r="U36" s="674"/>
      <c r="V36" s="674"/>
      <c r="W36" s="674"/>
      <c r="X36" s="674"/>
      <c r="Y36" s="674"/>
      <c r="Z36" s="674"/>
      <c r="AA36" s="674"/>
      <c r="AB36" s="674"/>
      <c r="AC36" s="674"/>
      <c r="AD36" s="674"/>
      <c r="AE36" s="674"/>
      <c r="AF36" s="674"/>
      <c r="AG36" s="674"/>
      <c r="AH36" s="674"/>
      <c r="AI36" s="674"/>
      <c r="AJ36" s="674"/>
      <c r="AK36" s="729"/>
      <c r="AL36" s="729"/>
      <c r="AM36" s="729"/>
      <c r="AN36" s="729"/>
      <c r="AO36" s="729"/>
      <c r="AP36" s="729"/>
      <c r="AQ36" s="729"/>
      <c r="AR36" s="729"/>
      <c r="AS36" s="729"/>
      <c r="AT36" s="729"/>
      <c r="AU36" s="729"/>
      <c r="AV36" s="729"/>
      <c r="AW36" s="729"/>
      <c r="AX36" s="729"/>
      <c r="AY36" s="729"/>
    </row>
    <row r="37" spans="1:51">
      <c r="A37" s="304"/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  <c r="N37" s="304"/>
      <c r="O37" s="304"/>
      <c r="P37" s="304"/>
      <c r="Q37" s="304"/>
      <c r="R37" s="304"/>
      <c r="S37" s="674"/>
      <c r="T37" s="674"/>
      <c r="U37" s="674"/>
      <c r="V37" s="674"/>
      <c r="W37" s="674"/>
      <c r="X37" s="674"/>
      <c r="Y37" s="674"/>
      <c r="Z37" s="674"/>
      <c r="AA37" s="674"/>
      <c r="AB37" s="674"/>
      <c r="AC37" s="674"/>
      <c r="AD37" s="674"/>
      <c r="AE37" s="674"/>
      <c r="AF37" s="674"/>
      <c r="AG37" s="674"/>
      <c r="AH37" s="674"/>
      <c r="AI37" s="674"/>
      <c r="AJ37" s="674"/>
      <c r="AK37" s="729"/>
      <c r="AL37" s="729"/>
      <c r="AM37" s="729"/>
      <c r="AN37" s="729"/>
      <c r="AO37" s="729"/>
      <c r="AP37" s="729"/>
      <c r="AQ37" s="729"/>
      <c r="AR37" s="729"/>
      <c r="AS37" s="729"/>
      <c r="AT37" s="729"/>
      <c r="AU37" s="729"/>
      <c r="AV37" s="729"/>
      <c r="AW37" s="729"/>
      <c r="AX37" s="729"/>
      <c r="AY37" s="729"/>
    </row>
    <row r="38" spans="1:51" ht="30" customHeight="1">
      <c r="A38" s="467"/>
      <c r="B38" s="461"/>
      <c r="C38" s="461"/>
      <c r="D38" s="461"/>
      <c r="E38" s="461"/>
      <c r="F38" s="461"/>
      <c r="G38" s="461"/>
      <c r="H38" s="461"/>
      <c r="I38" s="461"/>
      <c r="J38" s="461"/>
      <c r="K38" s="461"/>
      <c r="L38" s="461"/>
      <c r="M38" s="461"/>
      <c r="N38" s="461"/>
      <c r="O38" s="461"/>
      <c r="P38" s="461"/>
      <c r="Q38" s="461"/>
      <c r="R38" s="461"/>
      <c r="S38" s="461"/>
      <c r="T38" s="461"/>
      <c r="U38" s="461"/>
      <c r="V38" s="461"/>
      <c r="W38" s="461"/>
      <c r="X38" s="461" t="s">
        <v>631</v>
      </c>
      <c r="Y38" s="461" t="str">
        <f>TEXT(DATE(2026,COLUMN()-COLUMN($X$38),1),"mmm-aa")</f>
        <v>ene-26</v>
      </c>
      <c r="Z38" s="461" t="str">
        <f t="shared" ref="Z38:AJ38" si="6">TEXT(DATE(2026,COLUMN()-COLUMN($X$38),1),"mmm-aa")</f>
        <v>feb-26</v>
      </c>
      <c r="AA38" s="461" t="str">
        <f t="shared" si="6"/>
        <v>mar-26</v>
      </c>
      <c r="AB38" s="461" t="str">
        <f t="shared" si="6"/>
        <v>abr-26</v>
      </c>
      <c r="AC38" s="461" t="str">
        <f t="shared" si="6"/>
        <v>may-26</v>
      </c>
      <c r="AD38" s="461" t="str">
        <f t="shared" si="6"/>
        <v>jun-26</v>
      </c>
      <c r="AE38" s="461" t="str">
        <f t="shared" si="6"/>
        <v>jul-26</v>
      </c>
      <c r="AF38" s="461" t="str">
        <f t="shared" si="6"/>
        <v>ago-26</v>
      </c>
      <c r="AG38" s="461" t="str">
        <f t="shared" si="6"/>
        <v>sep-26</v>
      </c>
      <c r="AH38" s="461" t="str">
        <f t="shared" si="6"/>
        <v>oct-26</v>
      </c>
      <c r="AI38" s="461" t="str">
        <f t="shared" si="6"/>
        <v>nov-26</v>
      </c>
      <c r="AJ38" s="461" t="str">
        <f t="shared" si="6"/>
        <v>dic-26</v>
      </c>
      <c r="AK38" s="729"/>
      <c r="AL38" s="729"/>
      <c r="AM38" s="729"/>
      <c r="AN38" s="729"/>
      <c r="AO38" s="729"/>
      <c r="AP38" s="729"/>
      <c r="AQ38" s="729"/>
      <c r="AR38" s="729"/>
      <c r="AS38" s="729"/>
      <c r="AT38" s="729"/>
      <c r="AU38" s="729"/>
      <c r="AV38" s="729"/>
      <c r="AW38" s="729"/>
      <c r="AX38" s="729"/>
      <c r="AY38" s="729"/>
    </row>
    <row r="39" spans="1:51">
      <c r="A39" s="304"/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  <c r="N39" s="304"/>
      <c r="O39" s="304"/>
      <c r="P39" s="304"/>
      <c r="Q39" s="304"/>
      <c r="R39" s="304"/>
      <c r="S39" s="674"/>
      <c r="T39" s="674"/>
      <c r="U39" s="674"/>
      <c r="V39" s="674"/>
      <c r="W39" s="674"/>
      <c r="X39" s="674" t="s">
        <v>942</v>
      </c>
      <c r="Y39" s="726">
        <f>'Modelo Base'!F133/1000000</f>
        <v>72.783461000000003</v>
      </c>
      <c r="Z39" s="726">
        <f>'Modelo Base'!G133/1000000</f>
        <v>101.365099</v>
      </c>
      <c r="AA39" s="726">
        <f>'Modelo Base'!H133/1000000</f>
        <v>104.18998000000001</v>
      </c>
      <c r="AB39" s="726">
        <f>'Modelo Base'!I133/1000000</f>
        <v>112.56347</v>
      </c>
      <c r="AC39" s="726">
        <f>'Modelo Base'!J133/1000000</f>
        <v>99.589766999999995</v>
      </c>
      <c r="AD39" s="726">
        <f>'Modelo Base'!K133/1000000</f>
        <v>83.503946999999997</v>
      </c>
      <c r="AE39" s="726">
        <f>'Modelo Base'!L133/1000000</f>
        <v>83.503946999999997</v>
      </c>
      <c r="AF39" s="726">
        <f>'Modelo Base'!M133/1000000</f>
        <v>83.503946999999997</v>
      </c>
      <c r="AG39" s="726">
        <f>'Modelo Base'!N133/1000000</f>
        <v>83.503946999999997</v>
      </c>
      <c r="AH39" s="726">
        <f>'Modelo Base'!O133/1000000</f>
        <v>83.503946999999997</v>
      </c>
      <c r="AI39" s="726">
        <f>'Modelo Base'!P133/1000000</f>
        <v>83.503946999999997</v>
      </c>
      <c r="AJ39" s="726">
        <f>'Modelo Base'!Q133/1000000</f>
        <v>83.503946999999997</v>
      </c>
      <c r="AK39" s="729"/>
      <c r="AL39" s="729"/>
      <c r="AM39" s="729"/>
      <c r="AN39" s="729"/>
      <c r="AO39" s="729"/>
      <c r="AP39" s="729"/>
      <c r="AQ39" s="729"/>
      <c r="AR39" s="729"/>
      <c r="AS39" s="729"/>
      <c r="AT39" s="729"/>
      <c r="AU39" s="729"/>
      <c r="AV39" s="729"/>
      <c r="AW39" s="729"/>
      <c r="AX39" s="729"/>
      <c r="AY39" s="729"/>
    </row>
    <row r="40" spans="1:51">
      <c r="A40" s="304"/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/>
      <c r="P40" s="304"/>
      <c r="Q40" s="304"/>
      <c r="R40" s="304"/>
      <c r="S40" s="674"/>
      <c r="T40" s="674"/>
      <c r="U40" s="674"/>
      <c r="V40" s="674"/>
      <c r="W40" s="674"/>
      <c r="X40" s="674" t="s">
        <v>943</v>
      </c>
      <c r="Y40" s="748">
        <f>'Modelo Base'!F144/1000000</f>
        <v>0</v>
      </c>
      <c r="Z40" s="748">
        <f>'Modelo Base'!G144/1000000</f>
        <v>0</v>
      </c>
      <c r="AA40" s="748">
        <f>'Modelo Base'!H144/1000000</f>
        <v>0</v>
      </c>
      <c r="AB40" s="748">
        <f>'Modelo Base'!I144/1000000</f>
        <v>0</v>
      </c>
      <c r="AC40" s="748">
        <f>'Modelo Base'!J144/1000000</f>
        <v>2642.6491810000002</v>
      </c>
      <c r="AD40" s="748">
        <f>'Modelo Base'!K144/1000000</f>
        <v>2641.5664809999998</v>
      </c>
      <c r="AE40" s="748">
        <f>'Modelo Base'!L144/1000000</f>
        <v>2641.5664809999998</v>
      </c>
      <c r="AF40" s="748">
        <f>'Modelo Base'!M144/1000000</f>
        <v>2641.5664809999998</v>
      </c>
      <c r="AG40" s="748">
        <f>'Modelo Base'!N144/1000000</f>
        <v>2641.5664809999998</v>
      </c>
      <c r="AH40" s="748">
        <f>'Modelo Base'!O144/1000000</f>
        <v>2641.5664809999998</v>
      </c>
      <c r="AI40" s="748">
        <f>'Modelo Base'!P144/1000000</f>
        <v>2641.5664809999998</v>
      </c>
      <c r="AJ40" s="748">
        <f>'Modelo Base'!Q144/1000000</f>
        <v>2641.5664809999998</v>
      </c>
      <c r="AK40" s="729"/>
      <c r="AL40" s="729"/>
      <c r="AM40" s="729"/>
      <c r="AN40" s="729"/>
      <c r="AO40" s="729"/>
      <c r="AP40" s="729"/>
      <c r="AQ40" s="729"/>
      <c r="AR40" s="729"/>
      <c r="AS40" s="729"/>
      <c r="AT40" s="729"/>
      <c r="AU40" s="729"/>
      <c r="AV40" s="729"/>
      <c r="AW40" s="729"/>
      <c r="AX40" s="729"/>
      <c r="AY40" s="729"/>
    </row>
    <row r="41" spans="1:51">
      <c r="A41" s="304"/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/>
      <c r="P41" s="304"/>
      <c r="Q41" s="304"/>
      <c r="R41" s="304"/>
      <c r="S41" s="674"/>
      <c r="T41" s="674"/>
      <c r="U41" s="674"/>
      <c r="V41" s="674"/>
      <c r="W41" s="674"/>
      <c r="X41" s="674" t="s">
        <v>944</v>
      </c>
      <c r="Y41" s="726">
        <f>('Modelo Base'!F133+'Modelo Base'!F144)/1000000</f>
        <v>72.783461000000003</v>
      </c>
      <c r="Z41" s="726">
        <f>('Modelo Base'!G133+'Modelo Base'!G144)/1000000</f>
        <v>101.365099</v>
      </c>
      <c r="AA41" s="726">
        <f>('Modelo Base'!H133+'Modelo Base'!H144)/1000000</f>
        <v>104.18998000000001</v>
      </c>
      <c r="AB41" s="726">
        <f>('Modelo Base'!I133+'Modelo Base'!I144)/1000000</f>
        <v>112.56347</v>
      </c>
      <c r="AC41" s="748">
        <f>('Modelo Base'!J133+'Modelo Base'!J144)/1000000</f>
        <v>2742.2389480000002</v>
      </c>
      <c r="AD41" s="748">
        <f>('Modelo Base'!K133+'Modelo Base'!K144)/1000000</f>
        <v>2725.070428</v>
      </c>
      <c r="AE41" s="748">
        <f>('Modelo Base'!L133+'Modelo Base'!L144)/1000000</f>
        <v>2725.070428</v>
      </c>
      <c r="AF41" s="748">
        <f>('Modelo Base'!M133+'Modelo Base'!M144)/1000000</f>
        <v>2725.070428</v>
      </c>
      <c r="AG41" s="748">
        <f>('Modelo Base'!N133+'Modelo Base'!N144)/1000000</f>
        <v>2725.070428</v>
      </c>
      <c r="AH41" s="748">
        <f>('Modelo Base'!O133+'Modelo Base'!O144)/1000000</f>
        <v>2725.070428</v>
      </c>
      <c r="AI41" s="748">
        <f>('Modelo Base'!P133+'Modelo Base'!P144)/1000000</f>
        <v>2725.070428</v>
      </c>
      <c r="AJ41" s="748">
        <f>('Modelo Base'!Q133+'Modelo Base'!Q144)/1000000</f>
        <v>2725.070428</v>
      </c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/>
      <c r="AX41" s="729"/>
      <c r="AY41" s="729"/>
    </row>
    <row r="42" spans="1:51">
      <c r="A42" s="304"/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/>
      <c r="P42" s="304"/>
      <c r="Q42" s="304"/>
      <c r="R42" s="304"/>
      <c r="S42" s="674"/>
      <c r="T42" s="674"/>
      <c r="U42" s="674"/>
      <c r="V42" s="674"/>
      <c r="W42" s="674"/>
      <c r="X42" s="674"/>
      <c r="Y42" s="674"/>
      <c r="Z42" s="674"/>
      <c r="AA42" s="674"/>
      <c r="AB42" s="674"/>
      <c r="AC42" s="674"/>
      <c r="AD42" s="674"/>
      <c r="AE42" s="674"/>
      <c r="AF42" s="674"/>
      <c r="AG42" s="674"/>
      <c r="AH42" s="674"/>
      <c r="AI42" s="674"/>
      <c r="AJ42" s="674"/>
      <c r="AK42" s="729"/>
      <c r="AL42" s="729"/>
      <c r="AM42" s="729"/>
      <c r="AN42" s="729"/>
      <c r="AO42" s="729"/>
      <c r="AP42" s="729"/>
      <c r="AQ42" s="729"/>
      <c r="AR42" s="729"/>
      <c r="AS42" s="729"/>
      <c r="AT42" s="729"/>
      <c r="AU42" s="729"/>
      <c r="AV42" s="729"/>
      <c r="AW42" s="729"/>
      <c r="AX42" s="729"/>
      <c r="AY42" s="729"/>
    </row>
    <row r="43" spans="1:51">
      <c r="A43" s="304"/>
      <c r="B43" s="304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/>
      <c r="P43" s="304"/>
      <c r="Q43" s="304"/>
      <c r="R43" s="304"/>
      <c r="S43" s="674"/>
      <c r="T43" s="674"/>
      <c r="U43" s="674"/>
      <c r="V43" s="674"/>
      <c r="W43" s="674"/>
      <c r="X43" s="674"/>
      <c r="Y43" s="674"/>
      <c r="Z43" s="674"/>
      <c r="AA43" s="674"/>
      <c r="AB43" s="674"/>
      <c r="AC43" s="674"/>
      <c r="AD43" s="674"/>
      <c r="AE43" s="674"/>
      <c r="AF43" s="674"/>
      <c r="AG43" s="674"/>
      <c r="AH43" s="674"/>
      <c r="AI43" s="674"/>
      <c r="AJ43" s="674"/>
      <c r="AK43" s="729"/>
      <c r="AL43" s="729"/>
      <c r="AM43" s="729"/>
      <c r="AN43" s="729"/>
      <c r="AO43" s="729"/>
      <c r="AP43" s="729"/>
      <c r="AQ43" s="729"/>
      <c r="AR43" s="729"/>
      <c r="AS43" s="729"/>
      <c r="AT43" s="729"/>
      <c r="AU43" s="729"/>
      <c r="AV43" s="729"/>
      <c r="AW43" s="729"/>
      <c r="AX43" s="729"/>
      <c r="AY43" s="729"/>
    </row>
    <row r="44" spans="1:51" ht="30" customHeight="1">
      <c r="A44" s="467"/>
      <c r="B44" s="461"/>
      <c r="C44" s="461"/>
      <c r="D44" s="461"/>
      <c r="E44" s="461"/>
      <c r="F44" s="461"/>
      <c r="G44" s="461"/>
      <c r="H44" s="461"/>
      <c r="I44" s="461"/>
      <c r="J44" s="461"/>
      <c r="K44" s="461"/>
      <c r="L44" s="461"/>
      <c r="M44" s="461"/>
      <c r="N44" s="461"/>
      <c r="O44" s="461"/>
      <c r="P44" s="461"/>
      <c r="Q44" s="461"/>
      <c r="R44" s="461"/>
      <c r="S44" s="461"/>
      <c r="T44" s="461"/>
      <c r="U44" s="461"/>
      <c r="V44" s="461"/>
      <c r="W44" s="461"/>
      <c r="X44" s="461" t="s">
        <v>631</v>
      </c>
      <c r="Y44" s="461" t="str">
        <f>TEXT(DATE(2026,COLUMN()-COLUMN($X$44),1),"mmm-aa")</f>
        <v>ene-26</v>
      </c>
      <c r="Z44" s="461" t="str">
        <f t="shared" ref="Z44:AJ44" si="7">TEXT(DATE(2026,COLUMN()-COLUMN($X$44),1),"mmm-aa")</f>
        <v>feb-26</v>
      </c>
      <c r="AA44" s="461" t="str">
        <f t="shared" si="7"/>
        <v>mar-26</v>
      </c>
      <c r="AB44" s="461" t="str">
        <f t="shared" si="7"/>
        <v>abr-26</v>
      </c>
      <c r="AC44" s="461" t="str">
        <f t="shared" si="7"/>
        <v>may-26</v>
      </c>
      <c r="AD44" s="461" t="str">
        <f t="shared" si="7"/>
        <v>jun-26</v>
      </c>
      <c r="AE44" s="461" t="str">
        <f t="shared" si="7"/>
        <v>jul-26</v>
      </c>
      <c r="AF44" s="461" t="str">
        <f t="shared" si="7"/>
        <v>ago-26</v>
      </c>
      <c r="AG44" s="461" t="str">
        <f t="shared" si="7"/>
        <v>sep-26</v>
      </c>
      <c r="AH44" s="461" t="str">
        <f t="shared" si="7"/>
        <v>oct-26</v>
      </c>
      <c r="AI44" s="461" t="str">
        <f t="shared" si="7"/>
        <v>nov-26</v>
      </c>
      <c r="AJ44" s="461" t="str">
        <f t="shared" si="7"/>
        <v>dic-26</v>
      </c>
      <c r="AK44" s="729"/>
      <c r="AL44" s="729"/>
      <c r="AM44" s="729"/>
      <c r="AN44" s="729"/>
      <c r="AO44" s="729"/>
      <c r="AP44" s="729"/>
      <c r="AQ44" s="729"/>
      <c r="AR44" s="729"/>
      <c r="AS44" s="729"/>
      <c r="AT44" s="729"/>
      <c r="AU44" s="729"/>
      <c r="AV44" s="729"/>
      <c r="AW44" s="729"/>
      <c r="AX44" s="729"/>
      <c r="AY44" s="729"/>
    </row>
    <row r="45" spans="1:51">
      <c r="A45" s="304"/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  <c r="M45" s="304"/>
      <c r="N45" s="304"/>
      <c r="O45" s="304"/>
      <c r="P45" s="304"/>
      <c r="Q45" s="304"/>
      <c r="R45" s="304"/>
      <c r="S45" s="674"/>
      <c r="T45" s="674"/>
      <c r="U45" s="674"/>
      <c r="V45" s="674"/>
      <c r="W45" s="674"/>
      <c r="X45" s="674" t="s">
        <v>945</v>
      </c>
      <c r="Y45" s="726">
        <f>'Modelo Base'!F210/1000000</f>
        <v>1590.540829</v>
      </c>
      <c r="Z45" s="726">
        <f>'Modelo Base'!G210/1000000</f>
        <v>1797.5571890000001</v>
      </c>
      <c r="AA45" s="726">
        <f>'Modelo Base'!H210/1000000</f>
        <v>1690.5898139999999</v>
      </c>
      <c r="AB45" s="726">
        <f>'Modelo Base'!I210/1000000</f>
        <v>1612.589704</v>
      </c>
      <c r="AC45" s="748">
        <f>'Modelo Base'!J210/1000000</f>
        <v>1675.3466920000001</v>
      </c>
      <c r="AD45" s="748">
        <f>'Modelo Base'!K210/1000000</f>
        <v>1799.431102</v>
      </c>
      <c r="AE45" s="748">
        <f>'Modelo Base'!L210/1000000</f>
        <v>1688.457915</v>
      </c>
      <c r="AF45" s="748">
        <f>'Modelo Base'!M210/1000000</f>
        <v>4406.1530000000002</v>
      </c>
      <c r="AG45" s="748">
        <f>'Modelo Base'!N210/1000000</f>
        <v>4662.116</v>
      </c>
      <c r="AH45" s="748">
        <f>'Modelo Base'!O210/1000000</f>
        <v>4918.0789999999997</v>
      </c>
      <c r="AI45" s="748">
        <f>'Modelo Base'!P210/1000000</f>
        <v>5174.0420000000004</v>
      </c>
      <c r="AJ45" s="748">
        <f>'Modelo Base'!Q210/1000000</f>
        <v>5430.0050000000001</v>
      </c>
      <c r="AK45" s="729"/>
      <c r="AL45" s="729"/>
      <c r="AM45" s="729"/>
      <c r="AN45" s="729"/>
      <c r="AO45" s="729"/>
      <c r="AP45" s="729"/>
      <c r="AQ45" s="729"/>
      <c r="AR45" s="729"/>
      <c r="AS45" s="729"/>
      <c r="AT45" s="729"/>
      <c r="AU45" s="729"/>
      <c r="AV45" s="729"/>
      <c r="AW45" s="729"/>
      <c r="AX45" s="729"/>
      <c r="AY45" s="729"/>
    </row>
    <row r="46" spans="1:51">
      <c r="A46" s="304"/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  <c r="N46" s="304"/>
      <c r="O46" s="304"/>
      <c r="P46" s="304"/>
      <c r="Q46" s="304"/>
      <c r="R46" s="304"/>
      <c r="S46" s="674"/>
      <c r="T46" s="674"/>
      <c r="U46" s="674"/>
      <c r="V46" s="674"/>
      <c r="W46" s="674"/>
      <c r="X46" s="674" t="s">
        <v>946</v>
      </c>
      <c r="Y46" s="726">
        <f>'Modelo Base'!F211/1000000</f>
        <v>502.128241</v>
      </c>
      <c r="Z46" s="726">
        <f>'Modelo Base'!G211/1000000</f>
        <v>493.78229700000003</v>
      </c>
      <c r="AA46" s="726">
        <f>'Modelo Base'!H211/1000000</f>
        <v>571.03756499999997</v>
      </c>
      <c r="AB46" s="726">
        <f>'Modelo Base'!I211/1000000</f>
        <v>563.84176300000001</v>
      </c>
      <c r="AC46" s="726">
        <f>'Modelo Base'!J211/1000000</f>
        <v>502.31105000000002</v>
      </c>
      <c r="AD46" s="726">
        <f>'Modelo Base'!K211/1000000</f>
        <v>483.39090599999997</v>
      </c>
      <c r="AE46" s="726">
        <f>'Modelo Base'!L211/1000000</f>
        <v>403.76030400000002</v>
      </c>
      <c r="AF46" s="726">
        <f>'Modelo Base'!M211/1000000</f>
        <v>611.03650472222205</v>
      </c>
      <c r="AG46" s="726">
        <f>'Modelo Base'!N211/1000000</f>
        <v>611.03650472222205</v>
      </c>
      <c r="AH46" s="726">
        <f>'Modelo Base'!O211/1000000</f>
        <v>611.03650472222205</v>
      </c>
      <c r="AI46" s="726">
        <f>'Modelo Base'!P211/1000000</f>
        <v>628.42038032222206</v>
      </c>
      <c r="AJ46" s="726">
        <f>'Modelo Base'!Q211/1000000</f>
        <v>628.42038032222206</v>
      </c>
      <c r="AK46" s="729"/>
      <c r="AL46" s="729"/>
      <c r="AM46" s="729"/>
      <c r="AN46" s="729"/>
      <c r="AO46" s="729"/>
      <c r="AP46" s="729"/>
      <c r="AQ46" s="729"/>
      <c r="AR46" s="729"/>
      <c r="AS46" s="729"/>
      <c r="AT46" s="729"/>
      <c r="AU46" s="729"/>
      <c r="AV46" s="729"/>
      <c r="AW46" s="729"/>
      <c r="AX46" s="729"/>
      <c r="AY46" s="729"/>
    </row>
    <row r="47" spans="1:51">
      <c r="A47" s="304"/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  <c r="N47" s="304"/>
      <c r="O47" s="304"/>
      <c r="P47" s="304"/>
      <c r="Q47" s="304"/>
      <c r="R47" s="304"/>
      <c r="S47" s="674"/>
      <c r="T47" s="674"/>
      <c r="U47" s="674"/>
      <c r="V47" s="674"/>
      <c r="W47" s="674"/>
      <c r="X47" s="674" t="s">
        <v>947</v>
      </c>
      <c r="Y47" s="748">
        <f>'Modelo Base'!F212/1000000</f>
        <v>14.35008</v>
      </c>
      <c r="Z47" s="748">
        <f>'Modelo Base'!G212/1000000</f>
        <v>1.7917000000000001</v>
      </c>
      <c r="AA47" s="748">
        <f>'Modelo Base'!H212/1000000</f>
        <v>25.570584</v>
      </c>
      <c r="AB47" s="748">
        <f>'Modelo Base'!I212/1000000</f>
        <v>24.496645000000001</v>
      </c>
      <c r="AC47" s="726">
        <f>'Modelo Base'!J212/1000000</f>
        <v>22.513415999999999</v>
      </c>
      <c r="AD47" s="726">
        <f>'Modelo Base'!K212/1000000</f>
        <v>23.325495</v>
      </c>
      <c r="AE47" s="726">
        <f>'Modelo Base'!L212/1000000</f>
        <v>19.229474</v>
      </c>
      <c r="AF47" s="726">
        <f>'Modelo Base'!M212/1000000</f>
        <v>259.3220148153888</v>
      </c>
      <c r="AG47" s="726">
        <f>'Modelo Base'!N212/1000000</f>
        <v>291.29677518750037</v>
      </c>
      <c r="AH47" s="726">
        <f>'Modelo Base'!O212/1000000</f>
        <v>323.27187913674356</v>
      </c>
      <c r="AI47" s="726">
        <f>'Modelo Base'!P212/1000000</f>
        <v>349.36363053683249</v>
      </c>
      <c r="AJ47" s="726">
        <f>'Modelo Base'!Q212/1000000</f>
        <v>381.33940455692004</v>
      </c>
      <c r="AK47" s="729"/>
      <c r="AL47" s="729"/>
      <c r="AM47" s="729"/>
      <c r="AN47" s="729"/>
      <c r="AO47" s="729"/>
      <c r="AP47" s="729"/>
      <c r="AQ47" s="729"/>
      <c r="AR47" s="729"/>
      <c r="AS47" s="729"/>
      <c r="AT47" s="729"/>
      <c r="AU47" s="729"/>
      <c r="AV47" s="729"/>
      <c r="AW47" s="729"/>
      <c r="AX47" s="729"/>
      <c r="AY47" s="729"/>
    </row>
    <row r="48" spans="1:51" ht="15" thickBot="1">
      <c r="A48" s="302" t="s">
        <v>951</v>
      </c>
      <c r="B48" s="302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674"/>
      <c r="T48" s="674"/>
      <c r="U48" s="674"/>
      <c r="V48" s="674"/>
      <c r="W48" s="674"/>
      <c r="X48" s="674" t="s">
        <v>669</v>
      </c>
      <c r="Y48" s="748">
        <f>'Modelo Base'!F213/1000000</f>
        <v>1074.062508</v>
      </c>
      <c r="Z48" s="748">
        <f>'Modelo Base'!G213/1000000</f>
        <v>1301.9831919999999</v>
      </c>
      <c r="AA48" s="748">
        <f>'Modelo Base'!H213/1000000</f>
        <v>1093.981665</v>
      </c>
      <c r="AB48" s="748">
        <f>'Modelo Base'!I213/1000000</f>
        <v>1024.2512959999999</v>
      </c>
      <c r="AC48" s="748">
        <f>'Modelo Base'!J213/1000000</f>
        <v>1150.522226</v>
      </c>
      <c r="AD48" s="748">
        <f>'Modelo Base'!K213/1000000</f>
        <v>1292.7147010000001</v>
      </c>
      <c r="AE48" s="748">
        <f>'Modelo Base'!L213/1000000</f>
        <v>1265.4681370000001</v>
      </c>
      <c r="AF48" s="748">
        <f>'Modelo Base'!M213/1000000</f>
        <v>3535.7944804623889</v>
      </c>
      <c r="AG48" s="748">
        <f>'Modelo Base'!N213/1000000</f>
        <v>3759.7827200902771</v>
      </c>
      <c r="AH48" s="748">
        <f>'Modelo Base'!O213/1000000</f>
        <v>3983.7706161410342</v>
      </c>
      <c r="AI48" s="748">
        <f>'Modelo Base'!P213/1000000</f>
        <v>4196.2579891409459</v>
      </c>
      <c r="AJ48" s="748">
        <f>'Modelo Base'!Q213/1000000</f>
        <v>4420.2452151208581</v>
      </c>
      <c r="AK48" s="729"/>
      <c r="AL48" s="729"/>
      <c r="AM48" s="729"/>
      <c r="AN48" s="729"/>
      <c r="AO48" s="729"/>
      <c r="AP48" s="729"/>
      <c r="AQ48" s="729"/>
      <c r="AR48" s="729"/>
      <c r="AS48" s="729"/>
      <c r="AT48" s="729"/>
      <c r="AU48" s="729"/>
      <c r="AV48" s="729"/>
      <c r="AW48" s="729"/>
      <c r="AX48" s="729"/>
      <c r="AY48" s="729"/>
    </row>
    <row r="49" spans="1:51" ht="15" thickTop="1">
      <c r="A49" s="304"/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  <c r="N49" s="304"/>
      <c r="O49" s="304"/>
      <c r="P49" s="304"/>
      <c r="Q49" s="304"/>
      <c r="R49" s="304"/>
      <c r="S49" s="674"/>
      <c r="T49" s="674"/>
      <c r="U49" s="674"/>
      <c r="V49" s="674"/>
      <c r="W49" s="674"/>
      <c r="X49" s="674"/>
      <c r="Y49" s="674"/>
      <c r="Z49" s="674"/>
      <c r="AA49" s="674"/>
      <c r="AB49" s="674"/>
      <c r="AC49" s="674"/>
      <c r="AD49" s="674"/>
      <c r="AE49" s="674"/>
      <c r="AF49" s="674"/>
      <c r="AG49" s="674"/>
      <c r="AH49" s="674"/>
      <c r="AI49" s="674"/>
      <c r="AJ49" s="674"/>
      <c r="AK49" s="729"/>
      <c r="AL49" s="729"/>
      <c r="AM49" s="729"/>
      <c r="AN49" s="729"/>
      <c r="AO49" s="729"/>
      <c r="AP49" s="729"/>
      <c r="AQ49" s="729"/>
      <c r="AR49" s="729"/>
      <c r="AS49" s="729"/>
      <c r="AT49" s="729"/>
      <c r="AU49" s="729"/>
      <c r="AV49" s="729"/>
      <c r="AW49" s="729"/>
      <c r="AX49" s="729"/>
      <c r="AY49" s="729"/>
    </row>
    <row r="50" spans="1:51">
      <c r="A50" s="304"/>
      <c r="B50" s="304"/>
      <c r="C50" s="304"/>
      <c r="D50" s="304"/>
      <c r="E50" s="304"/>
      <c r="F50" s="304"/>
      <c r="G50" s="304"/>
      <c r="H50" s="304"/>
      <c r="I50" s="304"/>
      <c r="J50" s="304"/>
      <c r="K50" s="304"/>
      <c r="L50" s="304"/>
      <c r="M50" s="304"/>
      <c r="N50" s="304"/>
      <c r="O50" s="304"/>
      <c r="P50" s="304"/>
      <c r="Q50" s="304"/>
      <c r="R50" s="304"/>
      <c r="S50" s="674"/>
      <c r="T50" s="674"/>
      <c r="U50" s="674"/>
      <c r="V50" s="674"/>
      <c r="W50" s="674"/>
      <c r="X50" s="674"/>
      <c r="Y50" s="674"/>
      <c r="Z50" s="674"/>
      <c r="AA50" s="674"/>
      <c r="AB50" s="674"/>
      <c r="AC50" s="674"/>
      <c r="AD50" s="674"/>
      <c r="AE50" s="674"/>
      <c r="AF50" s="674"/>
      <c r="AG50" s="674"/>
      <c r="AH50" s="674"/>
      <c r="AI50" s="674"/>
      <c r="AJ50" s="674"/>
      <c r="AK50" s="729"/>
      <c r="AL50" s="729"/>
      <c r="AM50" s="729"/>
      <c r="AN50" s="729"/>
      <c r="AO50" s="729"/>
      <c r="AP50" s="729"/>
      <c r="AQ50" s="729"/>
      <c r="AR50" s="729"/>
      <c r="AS50" s="729"/>
      <c r="AT50" s="729"/>
      <c r="AU50" s="729"/>
      <c r="AV50" s="729"/>
      <c r="AW50" s="729"/>
      <c r="AX50" s="729"/>
      <c r="AY50" s="729"/>
    </row>
    <row r="51" spans="1:51" ht="30" customHeight="1">
      <c r="A51" s="467"/>
      <c r="B51" s="461"/>
      <c r="C51" s="461"/>
      <c r="D51" s="461"/>
      <c r="E51" s="461"/>
      <c r="F51" s="461"/>
      <c r="G51" s="461"/>
      <c r="H51" s="461"/>
      <c r="I51" s="461"/>
      <c r="J51" s="461"/>
      <c r="K51" s="461"/>
      <c r="L51" s="461"/>
      <c r="M51" s="461"/>
      <c r="N51" s="461"/>
      <c r="O51" s="461"/>
      <c r="P51" s="461"/>
      <c r="Q51" s="461"/>
      <c r="R51" s="461"/>
      <c r="S51" s="461"/>
      <c r="T51" s="461"/>
      <c r="U51" s="461"/>
      <c r="V51" s="461"/>
      <c r="W51" s="461"/>
      <c r="X51" s="461" t="s">
        <v>631</v>
      </c>
      <c r="Y51" s="461" t="str">
        <f>TEXT(DATE(2026,COLUMN()-COLUMN($X$51),1),"mmm-aa")</f>
        <v>ene-26</v>
      </c>
      <c r="Z51" s="461" t="str">
        <f t="shared" ref="Z51:AJ51" si="8">TEXT(DATE(2026,COLUMN()-COLUMN($X$51),1),"mmm-aa")</f>
        <v>feb-26</v>
      </c>
      <c r="AA51" s="461" t="str">
        <f t="shared" si="8"/>
        <v>mar-26</v>
      </c>
      <c r="AB51" s="461" t="str">
        <f t="shared" si="8"/>
        <v>abr-26</v>
      </c>
      <c r="AC51" s="461" t="str">
        <f t="shared" si="8"/>
        <v>may-26</v>
      </c>
      <c r="AD51" s="461" t="str">
        <f t="shared" si="8"/>
        <v>jun-26</v>
      </c>
      <c r="AE51" s="461" t="str">
        <f t="shared" si="8"/>
        <v>jul-26</v>
      </c>
      <c r="AF51" s="461" t="str">
        <f t="shared" si="8"/>
        <v>ago-26</v>
      </c>
      <c r="AG51" s="461" t="str">
        <f t="shared" si="8"/>
        <v>sep-26</v>
      </c>
      <c r="AH51" s="461" t="str">
        <f t="shared" si="8"/>
        <v>oct-26</v>
      </c>
      <c r="AI51" s="461" t="str">
        <f t="shared" si="8"/>
        <v>nov-26</v>
      </c>
      <c r="AJ51" s="461" t="str">
        <f t="shared" si="8"/>
        <v>dic-26</v>
      </c>
      <c r="AK51" s="729"/>
      <c r="AL51" s="729"/>
      <c r="AM51" s="729"/>
      <c r="AN51" s="729"/>
      <c r="AO51" s="729"/>
      <c r="AP51" s="729"/>
      <c r="AQ51" s="729"/>
      <c r="AR51" s="729"/>
      <c r="AS51" s="729"/>
      <c r="AT51" s="729"/>
      <c r="AU51" s="729"/>
      <c r="AV51" s="729"/>
      <c r="AW51" s="729"/>
      <c r="AX51" s="729"/>
      <c r="AY51" s="729"/>
    </row>
    <row r="52" spans="1:51">
      <c r="A52" s="674"/>
      <c r="B52" s="674"/>
      <c r="C52" s="674"/>
      <c r="D52" s="674"/>
      <c r="E52" s="674"/>
      <c r="F52" s="674"/>
      <c r="G52" s="674"/>
      <c r="H52" s="674"/>
      <c r="I52" s="674"/>
      <c r="J52" s="674"/>
      <c r="K52" s="674"/>
      <c r="L52" s="674"/>
      <c r="M52" s="674"/>
      <c r="N52" s="674"/>
      <c r="O52" s="674"/>
      <c r="P52" s="674"/>
      <c r="Q52" s="674"/>
      <c r="R52" s="674"/>
      <c r="S52" s="674"/>
      <c r="T52" s="674"/>
      <c r="U52" s="674"/>
      <c r="V52" s="674"/>
      <c r="W52" s="674"/>
      <c r="X52" s="674" t="s">
        <v>671</v>
      </c>
      <c r="Y52" s="726">
        <f>'Modelo Base'!F194</f>
        <v>0.11429909967109864</v>
      </c>
      <c r="Z52" s="726">
        <f>'Modelo Base'!G194</f>
        <v>6.1989932395318657E-2</v>
      </c>
      <c r="AA52" s="726">
        <f>'Modelo Base'!H194</f>
        <v>-2.8261282087134278E-2</v>
      </c>
      <c r="AB52" s="726">
        <f>'Modelo Base'!I194</f>
        <v>6.4435482373989888E-3</v>
      </c>
      <c r="AC52" s="726">
        <f>'Modelo Base'!J194</f>
        <v>0.13673013766169395</v>
      </c>
      <c r="AD52" s="726">
        <f>'Modelo Base'!K194</f>
        <v>4.6543802986009589E-2</v>
      </c>
      <c r="AE52" s="726">
        <f>'Modelo Base'!L194</f>
        <v>4.3157478676067854E-2</v>
      </c>
      <c r="AF52" s="726">
        <f>'Modelo Base'!M194</f>
        <v>0.47139328198544167</v>
      </c>
      <c r="AG52" s="726">
        <f>'Modelo Base'!N194</f>
        <v>0.50041524569530227</v>
      </c>
      <c r="AH52" s="726">
        <f>'Modelo Base'!O194</f>
        <v>0.5264162945735521</v>
      </c>
      <c r="AI52" s="726">
        <f>'Modelo Base'!P194</f>
        <v>0.54074752396675563</v>
      </c>
      <c r="AJ52" s="726">
        <f>'Modelo Base'!Q194</f>
        <v>0.56239605679921101</v>
      </c>
      <c r="AK52" s="729"/>
      <c r="AL52" s="729"/>
      <c r="AM52" s="729"/>
      <c r="AN52" s="729"/>
      <c r="AO52" s="729"/>
      <c r="AP52" s="729"/>
      <c r="AQ52" s="729"/>
      <c r="AR52" s="729"/>
      <c r="AS52" s="729"/>
      <c r="AT52" s="729"/>
      <c r="AU52" s="729"/>
      <c r="AV52" s="729"/>
      <c r="AW52" s="729"/>
      <c r="AX52" s="729"/>
      <c r="AY52" s="729"/>
    </row>
    <row r="53" spans="1:51">
      <c r="A53" s="674"/>
      <c r="B53" s="674"/>
      <c r="C53" s="674"/>
      <c r="D53" s="674"/>
      <c r="E53" s="674"/>
      <c r="F53" s="674"/>
      <c r="G53" s="674"/>
      <c r="H53" s="674"/>
      <c r="I53" s="674"/>
      <c r="J53" s="674"/>
      <c r="K53" s="674"/>
      <c r="L53" s="674"/>
      <c r="M53" s="674"/>
      <c r="N53" s="674"/>
      <c r="O53" s="674"/>
      <c r="P53" s="674"/>
      <c r="Q53" s="674"/>
      <c r="R53" s="674"/>
      <c r="S53" s="674"/>
      <c r="T53" s="674"/>
      <c r="U53" s="674"/>
      <c r="V53" s="674"/>
      <c r="W53" s="674"/>
      <c r="X53" s="674" t="s">
        <v>672</v>
      </c>
      <c r="Y53" s="726">
        <f>'Modelo Base'!F197</f>
        <v>0.10369250369794365</v>
      </c>
      <c r="Z53" s="726">
        <f>'Modelo Base'!G197</f>
        <v>7.2625097821285692E-2</v>
      </c>
      <c r="AA53" s="726">
        <f>'Modelo Base'!H197</f>
        <v>-4.820333119364438E-2</v>
      </c>
      <c r="AB53" s="726">
        <f>'Modelo Base'!I197</f>
        <v>9.4051593341890386E-4</v>
      </c>
      <c r="AC53" s="726">
        <f>'Modelo Base'!J197</f>
        <v>0.13112284871442573</v>
      </c>
      <c r="AD53" s="726">
        <f>'Modelo Base'!K197</f>
        <v>4.4372217646511038E-2</v>
      </c>
      <c r="AE53" s="726">
        <f>'Modelo Base'!L197</f>
        <v>3.6339748989481474E-2</v>
      </c>
      <c r="AF53" s="726">
        <f>'Modelo Base'!M197</f>
        <v>0.30604349804467113</v>
      </c>
      <c r="AG53" s="726">
        <f>'Modelo Base'!N197</f>
        <v>0.32490466367096016</v>
      </c>
      <c r="AH53" s="726">
        <f>'Modelo Base'!O197</f>
        <v>0.34180292173246229</v>
      </c>
      <c r="AI53" s="726">
        <f>'Modelo Base'!P197</f>
        <v>0.35111637647926497</v>
      </c>
      <c r="AJ53" s="726">
        <f>'Modelo Base'!Q197</f>
        <v>0.36518657049044789</v>
      </c>
      <c r="AK53" s="729"/>
      <c r="AL53" s="729"/>
      <c r="AM53" s="729"/>
      <c r="AN53" s="729"/>
      <c r="AO53" s="729"/>
      <c r="AP53" s="729"/>
      <c r="AQ53" s="729"/>
      <c r="AR53" s="729"/>
      <c r="AS53" s="729"/>
      <c r="AT53" s="729"/>
      <c r="AU53" s="729"/>
      <c r="AV53" s="729"/>
      <c r="AW53" s="729"/>
      <c r="AX53" s="729"/>
      <c r="AY53" s="729"/>
    </row>
    <row r="54" spans="1:51">
      <c r="A54" s="674"/>
      <c r="B54" s="674"/>
      <c r="C54" s="674"/>
      <c r="D54" s="674"/>
      <c r="E54" s="674"/>
      <c r="F54" s="674"/>
      <c r="G54" s="674"/>
      <c r="H54" s="674"/>
      <c r="I54" s="674"/>
      <c r="J54" s="674"/>
      <c r="K54" s="674"/>
      <c r="L54" s="674"/>
      <c r="M54" s="674"/>
      <c r="N54" s="674"/>
      <c r="O54" s="674"/>
      <c r="P54" s="674"/>
      <c r="Q54" s="674"/>
      <c r="R54" s="674"/>
      <c r="S54" s="674"/>
      <c r="T54" s="674"/>
      <c r="U54" s="674"/>
      <c r="V54" s="674"/>
      <c r="W54" s="674"/>
      <c r="X54" s="674"/>
      <c r="Y54" s="674"/>
      <c r="Z54" s="674"/>
      <c r="AA54" s="674"/>
      <c r="AB54" s="674"/>
      <c r="AC54" s="674"/>
      <c r="AD54" s="674"/>
      <c r="AE54" s="674"/>
      <c r="AF54" s="674"/>
      <c r="AG54" s="674"/>
      <c r="AH54" s="674"/>
      <c r="AI54" s="674"/>
      <c r="AJ54" s="674"/>
      <c r="AK54" s="729"/>
      <c r="AL54" s="729"/>
      <c r="AM54" s="729"/>
      <c r="AN54" s="729"/>
      <c r="AO54" s="729"/>
      <c r="AP54" s="729"/>
      <c r="AQ54" s="729"/>
      <c r="AR54" s="729"/>
      <c r="AS54" s="729"/>
      <c r="AT54" s="729"/>
      <c r="AU54" s="729"/>
      <c r="AV54" s="729"/>
      <c r="AW54" s="729"/>
      <c r="AX54" s="729"/>
      <c r="AY54" s="729"/>
    </row>
    <row r="55" spans="1:51">
      <c r="A55" s="674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4"/>
      <c r="P55" s="674"/>
      <c r="Q55" s="674"/>
      <c r="R55" s="674"/>
      <c r="S55" s="674"/>
      <c r="T55" s="674"/>
      <c r="U55" s="674"/>
      <c r="V55" s="674"/>
      <c r="W55" s="674"/>
      <c r="X55" s="674"/>
      <c r="Y55" s="674"/>
      <c r="Z55" s="674"/>
      <c r="AA55" s="674"/>
      <c r="AB55" s="674"/>
      <c r="AC55" s="674"/>
      <c r="AD55" s="674"/>
      <c r="AE55" s="674"/>
      <c r="AF55" s="674"/>
      <c r="AG55" s="674"/>
      <c r="AH55" s="674"/>
      <c r="AI55" s="674"/>
      <c r="AJ55" s="674"/>
      <c r="AK55" s="729"/>
      <c r="AL55" s="729"/>
      <c r="AM55" s="729"/>
      <c r="AN55" s="729"/>
      <c r="AO55" s="729"/>
      <c r="AP55" s="729"/>
      <c r="AQ55" s="729"/>
      <c r="AR55" s="729"/>
      <c r="AS55" s="729"/>
      <c r="AT55" s="729"/>
      <c r="AU55" s="729"/>
      <c r="AV55" s="729"/>
      <c r="AW55" s="729"/>
      <c r="AX55" s="729"/>
      <c r="AY55" s="729"/>
    </row>
    <row r="56" spans="1:51" ht="30" customHeight="1">
      <c r="A56" s="467"/>
      <c r="B56" s="461"/>
      <c r="C56" s="461"/>
      <c r="D56" s="461"/>
      <c r="E56" s="461"/>
      <c r="F56" s="461"/>
      <c r="G56" s="461"/>
      <c r="H56" s="461"/>
      <c r="I56" s="461"/>
      <c r="J56" s="461"/>
      <c r="K56" s="461"/>
      <c r="L56" s="461"/>
      <c r="M56" s="461"/>
      <c r="N56" s="461"/>
      <c r="O56" s="461"/>
      <c r="P56" s="461"/>
      <c r="Q56" s="461"/>
      <c r="R56" s="461"/>
      <c r="S56" s="461"/>
      <c r="T56" s="461"/>
      <c r="U56" s="461"/>
      <c r="V56" s="461"/>
      <c r="W56" s="461"/>
      <c r="X56" s="461" t="s">
        <v>631</v>
      </c>
      <c r="Y56" s="461" t="str">
        <f>TEXT(DATE(2026,COLUMN()-COLUMN($X$56),1),"mmm-aa")</f>
        <v>ene-26</v>
      </c>
      <c r="Z56" s="461" t="str">
        <f t="shared" ref="Z56:AJ56" si="9">TEXT(DATE(2026,COLUMN()-COLUMN($X$56),1),"mmm-aa")</f>
        <v>feb-26</v>
      </c>
      <c r="AA56" s="461" t="str">
        <f t="shared" si="9"/>
        <v>mar-26</v>
      </c>
      <c r="AB56" s="461" t="str">
        <f t="shared" si="9"/>
        <v>abr-26</v>
      </c>
      <c r="AC56" s="461" t="str">
        <f t="shared" si="9"/>
        <v>may-26</v>
      </c>
      <c r="AD56" s="461" t="str">
        <f t="shared" si="9"/>
        <v>jun-26</v>
      </c>
      <c r="AE56" s="461" t="str">
        <f t="shared" si="9"/>
        <v>jul-26</v>
      </c>
      <c r="AF56" s="461" t="str">
        <f t="shared" si="9"/>
        <v>ago-26</v>
      </c>
      <c r="AG56" s="461" t="str">
        <f t="shared" si="9"/>
        <v>sep-26</v>
      </c>
      <c r="AH56" s="461" t="str">
        <f t="shared" si="9"/>
        <v>oct-26</v>
      </c>
      <c r="AI56" s="461" t="str">
        <f t="shared" si="9"/>
        <v>nov-26</v>
      </c>
      <c r="AJ56" s="461" t="str">
        <f t="shared" si="9"/>
        <v>dic-26</v>
      </c>
      <c r="AK56" s="729"/>
      <c r="AL56" s="729"/>
      <c r="AM56" s="729"/>
      <c r="AN56" s="729"/>
      <c r="AO56" s="729"/>
      <c r="AP56" s="729"/>
      <c r="AQ56" s="729"/>
      <c r="AR56" s="729"/>
      <c r="AS56" s="729"/>
      <c r="AT56" s="729"/>
      <c r="AU56" s="729"/>
      <c r="AV56" s="729"/>
      <c r="AW56" s="729"/>
      <c r="AX56" s="729"/>
      <c r="AY56" s="729"/>
    </row>
    <row r="57" spans="1:51">
      <c r="A57" s="674"/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 t="s">
        <v>455</v>
      </c>
      <c r="Y57" s="748">
        <f>'Modelo Base'!F200/1000000</f>
        <v>254.495081</v>
      </c>
      <c r="Z57" s="726">
        <f>'Modelo Base'!G200/1000000</f>
        <v>-267.33078899999998</v>
      </c>
      <c r="AA57" s="726">
        <f>'Modelo Base'!H200/1000000</f>
        <v>51.916595999999998</v>
      </c>
      <c r="AB57" s="726">
        <f>'Modelo Base'!I200/1000000</f>
        <v>89.724697366666661</v>
      </c>
      <c r="AC57" s="748">
        <f>'Modelo Base'!J200/1000000</f>
        <v>39.321053916666663</v>
      </c>
      <c r="AD57" s="726">
        <f>'Modelo Base'!K200/1000000</f>
        <v>-105.08256643333334</v>
      </c>
      <c r="AE57" s="726">
        <f>'Modelo Base'!L200/1000000</f>
        <v>55.719874566666668</v>
      </c>
      <c r="AF57" s="748">
        <f>'Modelo Base'!M200/1000000</f>
        <v>-1784.9021601575398</v>
      </c>
      <c r="AG57" s="726">
        <f>'Modelo Base'!N200/1000000</f>
        <v>320.87654044770619</v>
      </c>
      <c r="AH57" s="726">
        <f>'Modelo Base'!O200/1000000</f>
        <v>380.31713721845222</v>
      </c>
      <c r="AI57" s="726">
        <f>'Modelo Base'!P200/1000000</f>
        <v>440.33072201206608</v>
      </c>
      <c r="AJ57" s="726">
        <f>'Modelo Base'!Q200/1000000</f>
        <v>488.27045215483435</v>
      </c>
      <c r="AK57" s="729"/>
      <c r="AL57" s="729"/>
      <c r="AM57" s="729"/>
      <c r="AN57" s="729"/>
      <c r="AO57" s="729"/>
      <c r="AP57" s="729"/>
      <c r="AQ57" s="729"/>
      <c r="AR57" s="729"/>
      <c r="AS57" s="729"/>
      <c r="AT57" s="729"/>
      <c r="AU57" s="729"/>
      <c r="AV57" s="729"/>
      <c r="AW57" s="729"/>
      <c r="AX57" s="729"/>
      <c r="AY57" s="729"/>
    </row>
    <row r="58" spans="1:51">
      <c r="A58" s="674"/>
      <c r="B58" s="674"/>
      <c r="C58" s="674"/>
      <c r="D58" s="674"/>
      <c r="E58" s="674"/>
      <c r="F58" s="674"/>
      <c r="G58" s="674"/>
      <c r="H58" s="674"/>
      <c r="I58" s="674"/>
      <c r="J58" s="674"/>
      <c r="K58" s="674"/>
      <c r="L58" s="674"/>
      <c r="M58" s="674"/>
      <c r="N58" s="674"/>
      <c r="O58" s="674"/>
      <c r="P58" s="674"/>
      <c r="Q58" s="674"/>
      <c r="R58" s="674"/>
      <c r="S58" s="674"/>
      <c r="T58" s="674"/>
      <c r="U58" s="674"/>
      <c r="V58" s="674"/>
      <c r="W58" s="674"/>
      <c r="X58" s="674" t="s">
        <v>948</v>
      </c>
      <c r="Y58" s="748">
        <f>'Modelo Base'!F203/1000000</f>
        <v>229.383174</v>
      </c>
      <c r="Z58" s="726">
        <f>'Modelo Base'!G203/1000000</f>
        <v>-268.36550399999999</v>
      </c>
      <c r="AA58" s="726">
        <f>'Modelo Base'!H203/1000000</f>
        <v>74.756783999999996</v>
      </c>
      <c r="AB58" s="726">
        <f>'Modelo Base'!I203/1000000</f>
        <v>-3773.59384</v>
      </c>
      <c r="AC58" s="748">
        <f>'Modelo Base'!J203/1000000</f>
        <v>3833.0721140000001</v>
      </c>
      <c r="AD58" s="726">
        <f>'Modelo Base'!K203/1000000</f>
        <v>-126.01734500000001</v>
      </c>
      <c r="AE58" s="726">
        <f>'Modelo Base'!L203/1000000</f>
        <v>69.631830566666665</v>
      </c>
      <c r="AF58" s="726">
        <f>'Modelo Base'!M203/1000000</f>
        <v>828.25298084246015</v>
      </c>
      <c r="AG58" s="726">
        <f>'Modelo Base'!N203/1000000</f>
        <v>313.51644844770618</v>
      </c>
      <c r="AH58" s="726">
        <f>'Modelo Base'!O203/1000000</f>
        <v>372.95704521845221</v>
      </c>
      <c r="AI58" s="726">
        <f>'Modelo Base'!P203/1000000</f>
        <v>432.97063001206607</v>
      </c>
      <c r="AJ58" s="726">
        <f>'Modelo Base'!Q203/1000000</f>
        <v>480.91036015483434</v>
      </c>
      <c r="AK58" s="729"/>
      <c r="AL58" s="729"/>
      <c r="AM58" s="729"/>
      <c r="AN58" s="729"/>
      <c r="AO58" s="729"/>
      <c r="AP58" s="729"/>
      <c r="AQ58" s="729"/>
      <c r="AR58" s="729"/>
      <c r="AS58" s="729"/>
      <c r="AT58" s="729"/>
      <c r="AU58" s="729"/>
      <c r="AV58" s="729"/>
      <c r="AW58" s="729"/>
      <c r="AX58" s="729"/>
      <c r="AY58" s="729"/>
    </row>
    <row r="59" spans="1:51">
      <c r="A59" s="674"/>
      <c r="B59" s="674"/>
      <c r="C59" s="674"/>
      <c r="D59" s="674"/>
      <c r="E59" s="674"/>
      <c r="F59" s="674"/>
      <c r="G59" s="674"/>
      <c r="H59" s="674"/>
      <c r="I59" s="674"/>
      <c r="J59" s="674"/>
      <c r="K59" s="674"/>
      <c r="L59" s="674"/>
      <c r="M59" s="674"/>
      <c r="N59" s="674"/>
      <c r="O59" s="674"/>
      <c r="P59" s="674"/>
      <c r="Q59" s="674"/>
      <c r="R59" s="674"/>
      <c r="S59" s="674"/>
      <c r="T59" s="674"/>
      <c r="U59" s="674"/>
      <c r="V59" s="674"/>
      <c r="W59" s="674"/>
      <c r="X59" s="674"/>
      <c r="Y59" s="674"/>
      <c r="Z59" s="674"/>
      <c r="AA59" s="674"/>
      <c r="AB59" s="674"/>
      <c r="AC59" s="674"/>
      <c r="AD59" s="674"/>
      <c r="AE59" s="674"/>
      <c r="AF59" s="674"/>
      <c r="AG59" s="674"/>
      <c r="AH59" s="674"/>
      <c r="AI59" s="674"/>
      <c r="AJ59" s="674"/>
      <c r="AK59" s="729"/>
      <c r="AL59" s="729"/>
      <c r="AM59" s="729"/>
      <c r="AN59" s="729"/>
      <c r="AO59" s="729"/>
      <c r="AP59" s="729"/>
      <c r="AQ59" s="729"/>
      <c r="AR59" s="729"/>
      <c r="AS59" s="729"/>
      <c r="AT59" s="729"/>
      <c r="AU59" s="729"/>
      <c r="AV59" s="729"/>
      <c r="AW59" s="729"/>
      <c r="AX59" s="729"/>
      <c r="AY59" s="729"/>
    </row>
    <row r="60" spans="1:51">
      <c r="A60" s="674"/>
      <c r="B60" s="674"/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74"/>
      <c r="O60" s="674"/>
      <c r="P60" s="674"/>
      <c r="Q60" s="674"/>
      <c r="R60" s="674"/>
      <c r="S60" s="674"/>
      <c r="T60" s="674"/>
      <c r="U60" s="674"/>
      <c r="V60" s="674"/>
      <c r="W60" s="674"/>
      <c r="X60" s="674"/>
      <c r="Y60" s="674"/>
      <c r="Z60" s="674"/>
      <c r="AA60" s="674"/>
      <c r="AB60" s="674"/>
      <c r="AC60" s="674"/>
      <c r="AD60" s="674"/>
      <c r="AE60" s="674"/>
      <c r="AF60" s="674"/>
      <c r="AG60" s="674"/>
      <c r="AH60" s="674"/>
      <c r="AI60" s="674"/>
      <c r="AJ60" s="674"/>
      <c r="AK60" s="729"/>
      <c r="AL60" s="729"/>
      <c r="AM60" s="729"/>
      <c r="AN60" s="729"/>
      <c r="AO60" s="729"/>
      <c r="AP60" s="729"/>
      <c r="AQ60" s="729"/>
      <c r="AR60" s="729"/>
      <c r="AS60" s="729"/>
      <c r="AT60" s="729"/>
      <c r="AU60" s="729"/>
      <c r="AV60" s="729"/>
      <c r="AW60" s="729"/>
      <c r="AX60" s="729"/>
      <c r="AY60" s="729"/>
    </row>
    <row r="61" spans="1:51" ht="30" customHeight="1">
      <c r="A61" s="467"/>
      <c r="B61" s="461"/>
      <c r="C61" s="461"/>
      <c r="D61" s="461"/>
      <c r="E61" s="461"/>
      <c r="F61" s="461"/>
      <c r="G61" s="461"/>
      <c r="H61" s="461"/>
      <c r="I61" s="461"/>
      <c r="J61" s="461"/>
      <c r="K61" s="461"/>
      <c r="L61" s="461"/>
      <c r="M61" s="461"/>
      <c r="N61" s="461"/>
      <c r="O61" s="461"/>
      <c r="P61" s="461"/>
      <c r="Q61" s="461"/>
      <c r="R61" s="461"/>
      <c r="S61" s="461"/>
      <c r="T61" s="461"/>
      <c r="U61" s="461"/>
      <c r="V61" s="461"/>
      <c r="W61" s="461"/>
      <c r="X61" s="461" t="s">
        <v>631</v>
      </c>
      <c r="Y61" s="461" t="str">
        <f>TEXT(DATE(2026,COLUMN()-COLUMN($X$61),1),"mmm-aa")</f>
        <v>ene-26</v>
      </c>
      <c r="Z61" s="461" t="str">
        <f t="shared" ref="Z61:AJ61" si="10">TEXT(DATE(2026,COLUMN()-COLUMN($X$61),1),"mmm-aa")</f>
        <v>feb-26</v>
      </c>
      <c r="AA61" s="461" t="str">
        <f t="shared" si="10"/>
        <v>mar-26</v>
      </c>
      <c r="AB61" s="461" t="str">
        <f t="shared" si="10"/>
        <v>abr-26</v>
      </c>
      <c r="AC61" s="461" t="str">
        <f t="shared" si="10"/>
        <v>may-26</v>
      </c>
      <c r="AD61" s="461" t="str">
        <f t="shared" si="10"/>
        <v>jun-26</v>
      </c>
      <c r="AE61" s="461" t="str">
        <f t="shared" si="10"/>
        <v>jul-26</v>
      </c>
      <c r="AF61" s="461" t="str">
        <f t="shared" si="10"/>
        <v>ago-26</v>
      </c>
      <c r="AG61" s="461" t="str">
        <f t="shared" si="10"/>
        <v>sep-26</v>
      </c>
      <c r="AH61" s="461" t="str">
        <f t="shared" si="10"/>
        <v>oct-26</v>
      </c>
      <c r="AI61" s="461" t="str">
        <f t="shared" si="10"/>
        <v>nov-26</v>
      </c>
      <c r="AJ61" s="461" t="str">
        <f t="shared" si="10"/>
        <v>dic-26</v>
      </c>
      <c r="AK61" s="729"/>
      <c r="AL61" s="729"/>
      <c r="AM61" s="729"/>
      <c r="AN61" s="729"/>
      <c r="AO61" s="729"/>
      <c r="AP61" s="729"/>
      <c r="AQ61" s="729"/>
      <c r="AR61" s="729"/>
      <c r="AS61" s="729"/>
      <c r="AT61" s="729"/>
      <c r="AU61" s="729"/>
      <c r="AV61" s="729"/>
      <c r="AW61" s="729"/>
      <c r="AX61" s="729"/>
      <c r="AY61" s="729"/>
    </row>
    <row r="62" spans="1:51">
      <c r="A62" s="674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4"/>
      <c r="P62" s="674"/>
      <c r="Q62" s="674"/>
      <c r="R62" s="674"/>
      <c r="S62" s="674"/>
      <c r="T62" s="674"/>
      <c r="U62" s="674"/>
      <c r="V62" s="674"/>
      <c r="W62" s="674"/>
      <c r="X62" s="674" t="s">
        <v>476</v>
      </c>
      <c r="Y62" s="748">
        <f>'Modelo Base'!F201/1000000</f>
        <v>-7.8805490000000002</v>
      </c>
      <c r="Z62" s="726">
        <f>'Modelo Base'!G201/1000000</f>
        <v>-6.729228</v>
      </c>
      <c r="AA62" s="726">
        <f>'Modelo Base'!H201/1000000</f>
        <v>-0.98551800000000001</v>
      </c>
      <c r="AB62" s="726">
        <f>'Modelo Base'!I201/1000000</f>
        <v>-3213.6097863666669</v>
      </c>
      <c r="AC62" s="748">
        <f>'Modelo Base'!J201/1000000</f>
        <v>3149.8284250833335</v>
      </c>
      <c r="AD62" s="726">
        <f>'Modelo Base'!K201/1000000</f>
        <v>-3.766258566666667</v>
      </c>
      <c r="AE62" s="726">
        <f>'Modelo Base'!L201/1000000</f>
        <v>-7.3600919999999999</v>
      </c>
      <c r="AF62" s="726">
        <f>'Modelo Base'!M201/1000000</f>
        <v>-7.3600919999999999</v>
      </c>
      <c r="AG62" s="726">
        <f>'Modelo Base'!N201/1000000</f>
        <v>-7.3600919999999999</v>
      </c>
      <c r="AH62" s="726">
        <f>'Modelo Base'!O201/1000000</f>
        <v>-7.3600919999999999</v>
      </c>
      <c r="AI62" s="726">
        <f>'Modelo Base'!P201/1000000</f>
        <v>-7.3600919999999999</v>
      </c>
      <c r="AJ62" s="726">
        <f>'Modelo Base'!Q201/1000000</f>
        <v>-7.3600919999999999</v>
      </c>
      <c r="AK62" s="729"/>
      <c r="AL62" s="729"/>
      <c r="AM62" s="729"/>
      <c r="AN62" s="729"/>
      <c r="AO62" s="729"/>
      <c r="AP62" s="729"/>
      <c r="AQ62" s="729"/>
      <c r="AR62" s="729"/>
      <c r="AS62" s="729"/>
      <c r="AT62" s="729"/>
      <c r="AU62" s="729"/>
      <c r="AV62" s="729"/>
      <c r="AW62" s="729"/>
      <c r="AX62" s="729"/>
      <c r="AY62" s="729"/>
    </row>
    <row r="63" spans="1:51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674"/>
      <c r="R63" s="674"/>
      <c r="S63" s="674"/>
      <c r="T63" s="674"/>
      <c r="U63" s="674"/>
      <c r="V63" s="674"/>
      <c r="W63" s="674"/>
      <c r="X63" s="674" t="s">
        <v>477</v>
      </c>
      <c r="Y63" s="748">
        <f>'Modelo Base'!F202/1000000</f>
        <v>-17.231358</v>
      </c>
      <c r="Z63" s="726">
        <f>'Modelo Base'!G202/1000000</f>
        <v>5.6945129999999997</v>
      </c>
      <c r="AA63" s="748">
        <f>'Modelo Base'!H202/1000000</f>
        <v>23.825706</v>
      </c>
      <c r="AB63" s="726">
        <f>'Modelo Base'!I202/1000000</f>
        <v>-649.70875100000001</v>
      </c>
      <c r="AC63" s="748">
        <f>'Modelo Base'!J202/1000000</f>
        <v>643.92263500000001</v>
      </c>
      <c r="AD63" s="726">
        <f>'Modelo Base'!K202/1000000</f>
        <v>-17.168520000000001</v>
      </c>
      <c r="AE63" s="726">
        <f>'Modelo Base'!L202/1000000</f>
        <v>21.272048000000002</v>
      </c>
      <c r="AF63" s="748">
        <f>'Modelo Base'!M202/1000000</f>
        <v>2620.5152330000001</v>
      </c>
      <c r="AG63" s="748">
        <f>'Modelo Base'!N202/1000000</f>
        <v>0</v>
      </c>
      <c r="AH63" s="748">
        <f>'Modelo Base'!O202/1000000</f>
        <v>0</v>
      </c>
      <c r="AI63" s="748">
        <f>'Modelo Base'!P202/1000000</f>
        <v>0</v>
      </c>
      <c r="AJ63" s="748">
        <f>'Modelo Base'!Q202/1000000</f>
        <v>0</v>
      </c>
      <c r="AK63" s="729"/>
      <c r="AL63" s="729"/>
      <c r="AM63" s="729"/>
      <c r="AN63" s="729"/>
      <c r="AO63" s="729"/>
      <c r="AP63" s="729"/>
      <c r="AQ63" s="729"/>
      <c r="AR63" s="729"/>
      <c r="AS63" s="729"/>
      <c r="AT63" s="729"/>
      <c r="AU63" s="729"/>
      <c r="AV63" s="729"/>
      <c r="AW63" s="729"/>
      <c r="AX63" s="729"/>
      <c r="AY63" s="729"/>
    </row>
    <row r="64" spans="1:51">
      <c r="A64" s="674"/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74"/>
      <c r="AB64" s="674"/>
      <c r="AC64" s="674"/>
      <c r="AD64" s="674"/>
      <c r="AE64" s="674"/>
      <c r="AF64" s="674"/>
      <c r="AG64" s="674"/>
      <c r="AH64" s="674"/>
      <c r="AI64" s="674"/>
      <c r="AJ64" s="674"/>
      <c r="AK64" s="729"/>
      <c r="AL64" s="729"/>
      <c r="AM64" s="729"/>
      <c r="AN64" s="729"/>
      <c r="AO64" s="729"/>
      <c r="AP64" s="729"/>
      <c r="AQ64" s="729"/>
      <c r="AR64" s="729"/>
      <c r="AS64" s="729"/>
      <c r="AT64" s="729"/>
      <c r="AU64" s="729"/>
      <c r="AV64" s="729"/>
      <c r="AW64" s="729"/>
      <c r="AX64" s="729"/>
      <c r="AY64" s="729"/>
    </row>
    <row r="65" spans="1:51">
      <c r="A65" s="674"/>
      <c r="B65" s="674"/>
      <c r="C65" s="674"/>
      <c r="D65" s="674"/>
      <c r="E65" s="674"/>
      <c r="F65" s="674"/>
      <c r="G65" s="674"/>
      <c r="H65" s="674"/>
      <c r="I65" s="674"/>
      <c r="J65" s="674"/>
      <c r="K65" s="674"/>
      <c r="L65" s="674"/>
      <c r="M65" s="674"/>
      <c r="N65" s="674"/>
      <c r="O65" s="674"/>
      <c r="P65" s="674"/>
      <c r="Q65" s="674"/>
      <c r="R65" s="674"/>
      <c r="S65" s="674"/>
      <c r="T65" s="674"/>
      <c r="U65" s="674"/>
      <c r="V65" s="674"/>
      <c r="W65" s="674"/>
      <c r="X65" s="674"/>
      <c r="Y65" s="674"/>
      <c r="Z65" s="674"/>
      <c r="AA65" s="674"/>
      <c r="AB65" s="674"/>
      <c r="AC65" s="674"/>
      <c r="AD65" s="674"/>
      <c r="AE65" s="674"/>
      <c r="AF65" s="674"/>
      <c r="AG65" s="674"/>
      <c r="AH65" s="674"/>
      <c r="AI65" s="674"/>
      <c r="AJ65" s="674"/>
      <c r="AK65" s="729"/>
      <c r="AL65" s="729"/>
      <c r="AM65" s="729"/>
      <c r="AN65" s="729"/>
      <c r="AO65" s="729"/>
      <c r="AP65" s="729"/>
      <c r="AQ65" s="729"/>
      <c r="AR65" s="729"/>
      <c r="AS65" s="729"/>
      <c r="AT65" s="729"/>
      <c r="AU65" s="729"/>
      <c r="AV65" s="729"/>
      <c r="AW65" s="729"/>
      <c r="AX65" s="729"/>
      <c r="AY65" s="729"/>
    </row>
    <row r="66" spans="1:51" ht="30" customHeight="1">
      <c r="A66" s="467"/>
      <c r="B66" s="461"/>
      <c r="C66" s="461"/>
      <c r="D66" s="461"/>
      <c r="E66" s="461"/>
      <c r="F66" s="461"/>
      <c r="G66" s="461"/>
      <c r="H66" s="461"/>
      <c r="I66" s="461"/>
      <c r="J66" s="461"/>
      <c r="K66" s="461"/>
      <c r="L66" s="461"/>
      <c r="M66" s="461"/>
      <c r="N66" s="461"/>
      <c r="O66" s="461"/>
      <c r="P66" s="461"/>
      <c r="Q66" s="461"/>
      <c r="R66" s="461"/>
      <c r="S66" s="461"/>
      <c r="T66" s="461"/>
      <c r="U66" s="461"/>
      <c r="V66" s="461"/>
      <c r="W66" s="461"/>
      <c r="X66" s="461" t="s">
        <v>631</v>
      </c>
      <c r="Y66" s="461" t="str">
        <f>TEXT(DATE(2026,COLUMN()-COLUMN($X$66),1),"mmm-aa")</f>
        <v>ene-26</v>
      </c>
      <c r="Z66" s="461" t="str">
        <f t="shared" ref="Z66:AJ66" si="11">TEXT(DATE(2026,COLUMN()-COLUMN($X$66),1),"mmm-aa")</f>
        <v>feb-26</v>
      </c>
      <c r="AA66" s="461" t="str">
        <f t="shared" si="11"/>
        <v>mar-26</v>
      </c>
      <c r="AB66" s="461" t="str">
        <f t="shared" si="11"/>
        <v>abr-26</v>
      </c>
      <c r="AC66" s="461" t="str">
        <f t="shared" si="11"/>
        <v>may-26</v>
      </c>
      <c r="AD66" s="461" t="str">
        <f t="shared" si="11"/>
        <v>jun-26</v>
      </c>
      <c r="AE66" s="461" t="str">
        <f t="shared" si="11"/>
        <v>jul-26</v>
      </c>
      <c r="AF66" s="461" t="str">
        <f t="shared" si="11"/>
        <v>ago-26</v>
      </c>
      <c r="AG66" s="461" t="str">
        <f t="shared" si="11"/>
        <v>sep-26</v>
      </c>
      <c r="AH66" s="461" t="str">
        <f t="shared" si="11"/>
        <v>oct-26</v>
      </c>
      <c r="AI66" s="461" t="str">
        <f t="shared" si="11"/>
        <v>nov-26</v>
      </c>
      <c r="AJ66" s="461" t="str">
        <f t="shared" si="11"/>
        <v>dic-26</v>
      </c>
      <c r="AK66" s="729"/>
      <c r="AL66" s="729"/>
      <c r="AM66" s="729"/>
      <c r="AN66" s="729"/>
      <c r="AO66" s="729"/>
      <c r="AP66" s="729"/>
      <c r="AQ66" s="729"/>
      <c r="AR66" s="729"/>
      <c r="AS66" s="729"/>
      <c r="AT66" s="729"/>
      <c r="AU66" s="729"/>
      <c r="AV66" s="729"/>
      <c r="AW66" s="729"/>
      <c r="AX66" s="729"/>
      <c r="AY66" s="729"/>
    </row>
    <row r="67" spans="1:51">
      <c r="A67" s="674"/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  <c r="N67" s="674"/>
      <c r="O67" s="674"/>
      <c r="P67" s="674"/>
      <c r="Q67" s="674"/>
      <c r="R67" s="674"/>
      <c r="S67" s="674"/>
      <c r="T67" s="674"/>
      <c r="U67" s="674"/>
      <c r="V67" s="674"/>
      <c r="W67" s="674"/>
      <c r="X67" s="674" t="s">
        <v>949</v>
      </c>
      <c r="Y67" s="726">
        <f>'Modelo Base'!F230</f>
        <v>74.269057379725325</v>
      </c>
      <c r="Z67" s="726">
        <f>'Modelo Base'!G230</f>
        <v>60.679429828580965</v>
      </c>
      <c r="AA67" s="726">
        <f>'Modelo Base'!H230</f>
        <v>59.712593151728029</v>
      </c>
      <c r="AB67" s="726">
        <f>'Modelo Base'!I230</f>
        <v>57.41480657706451</v>
      </c>
      <c r="AC67" s="726">
        <f>'Modelo Base'!J230</f>
        <v>50.718746596395562</v>
      </c>
      <c r="AD67" s="726">
        <f>'Modelo Base'!K230</f>
        <v>61.479997080023828</v>
      </c>
      <c r="AE67" s="726">
        <f>'Modelo Base'!L230</f>
        <v>68.188358869389432</v>
      </c>
      <c r="AF67" s="726">
        <f>'Modelo Base'!M230</f>
        <v>-62.307815976459842</v>
      </c>
      <c r="AG67" s="726">
        <f>'Modelo Base'!N230</f>
        <v>-150.21294760074943</v>
      </c>
      <c r="AH67" s="726">
        <f>'Modelo Base'!O230</f>
        <v>-150.09293548341938</v>
      </c>
      <c r="AI67" s="726">
        <f>'Modelo Base'!P230</f>
        <v>-143.56959660168559</v>
      </c>
      <c r="AJ67" s="726">
        <f>'Modelo Base'!Q230</f>
        <v>-143.47165358091502</v>
      </c>
      <c r="AK67" s="729"/>
      <c r="AL67" s="729"/>
      <c r="AM67" s="729"/>
      <c r="AN67" s="729"/>
      <c r="AO67" s="729"/>
      <c r="AP67" s="729"/>
      <c r="AQ67" s="729"/>
      <c r="AR67" s="729"/>
      <c r="AS67" s="729"/>
      <c r="AT67" s="729"/>
      <c r="AU67" s="729"/>
      <c r="AV67" s="729"/>
      <c r="AW67" s="729"/>
      <c r="AX67" s="729"/>
      <c r="AY67" s="729"/>
    </row>
    <row r="68" spans="1:51">
      <c r="A68" s="674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4"/>
      <c r="P68" s="674"/>
      <c r="Q68" s="674"/>
      <c r="R68" s="674"/>
      <c r="S68" s="674"/>
      <c r="T68" s="674"/>
      <c r="U68" s="674"/>
      <c r="V68" s="674"/>
      <c r="W68" s="674"/>
      <c r="X68" s="674"/>
      <c r="Y68" s="674"/>
      <c r="Z68" s="674"/>
      <c r="AA68" s="674"/>
      <c r="AB68" s="674"/>
      <c r="AC68" s="674"/>
      <c r="AD68" s="674"/>
      <c r="AE68" s="674"/>
      <c r="AF68" s="674"/>
      <c r="AG68" s="674"/>
      <c r="AH68" s="674"/>
      <c r="AI68" s="674"/>
      <c r="AJ68" s="674"/>
      <c r="AK68" s="729"/>
      <c r="AL68" s="729"/>
      <c r="AM68" s="729"/>
      <c r="AN68" s="729"/>
      <c r="AO68" s="729"/>
      <c r="AP68" s="729"/>
      <c r="AQ68" s="729"/>
      <c r="AR68" s="729"/>
      <c r="AS68" s="729"/>
      <c r="AT68" s="729"/>
      <c r="AU68" s="729"/>
      <c r="AV68" s="729"/>
      <c r="AW68" s="729"/>
      <c r="AX68" s="729"/>
      <c r="AY68" s="729"/>
    </row>
    <row r="69" spans="1:51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4"/>
      <c r="P69" s="674"/>
      <c r="Q69" s="674"/>
      <c r="R69" s="674"/>
      <c r="S69" s="674"/>
      <c r="T69" s="674"/>
      <c r="U69" s="674"/>
      <c r="V69" s="674"/>
      <c r="W69" s="674"/>
      <c r="X69" s="674"/>
      <c r="Y69" s="674"/>
      <c r="Z69" s="674"/>
      <c r="AA69" s="674"/>
      <c r="AB69" s="674"/>
      <c r="AC69" s="674"/>
      <c r="AD69" s="674"/>
      <c r="AE69" s="674"/>
      <c r="AF69" s="674"/>
      <c r="AG69" s="674"/>
      <c r="AH69" s="674"/>
      <c r="AI69" s="674"/>
      <c r="AJ69" s="674"/>
      <c r="AK69" s="729"/>
      <c r="AL69" s="729"/>
      <c r="AM69" s="729"/>
      <c r="AN69" s="729"/>
      <c r="AO69" s="729"/>
      <c r="AP69" s="729"/>
      <c r="AQ69" s="729"/>
      <c r="AR69" s="729"/>
      <c r="AS69" s="729"/>
      <c r="AT69" s="729"/>
      <c r="AU69" s="729"/>
      <c r="AV69" s="729"/>
      <c r="AW69" s="729"/>
      <c r="AX69" s="729"/>
      <c r="AY69" s="729"/>
    </row>
    <row r="70" spans="1:51" ht="30" customHeight="1">
      <c r="A70" s="467"/>
      <c r="B70" s="461"/>
      <c r="C70" s="461"/>
      <c r="D70" s="461"/>
      <c r="E70" s="461"/>
      <c r="F70" s="461"/>
      <c r="G70" s="461"/>
      <c r="H70" s="461"/>
      <c r="I70" s="461"/>
      <c r="J70" s="461"/>
      <c r="K70" s="461"/>
      <c r="L70" s="461"/>
      <c r="M70" s="461"/>
      <c r="N70" s="461"/>
      <c r="O70" s="461"/>
      <c r="P70" s="461"/>
      <c r="Q70" s="461"/>
      <c r="R70" s="461"/>
      <c r="S70" s="461"/>
      <c r="T70" s="461"/>
      <c r="U70" s="461"/>
      <c r="V70" s="461"/>
      <c r="W70" s="461"/>
      <c r="X70" s="461" t="s">
        <v>631</v>
      </c>
      <c r="Y70" s="461" t="str">
        <f>TEXT(DATE(2026,COLUMN()-COLUMN($X$70),1),"mmm-aa")</f>
        <v>ene-26</v>
      </c>
      <c r="Z70" s="461" t="str">
        <f t="shared" ref="Z70:AJ70" si="12">TEXT(DATE(2026,COLUMN()-COLUMN($X$70),1),"mmm-aa")</f>
        <v>feb-26</v>
      </c>
      <c r="AA70" s="461" t="str">
        <f t="shared" si="12"/>
        <v>mar-26</v>
      </c>
      <c r="AB70" s="461" t="str">
        <f t="shared" si="12"/>
        <v>abr-26</v>
      </c>
      <c r="AC70" s="461" t="str">
        <f t="shared" si="12"/>
        <v>may-26</v>
      </c>
      <c r="AD70" s="461" t="str">
        <f t="shared" si="12"/>
        <v>jun-26</v>
      </c>
      <c r="AE70" s="461" t="str">
        <f t="shared" si="12"/>
        <v>jul-26</v>
      </c>
      <c r="AF70" s="461" t="str">
        <f t="shared" si="12"/>
        <v>ago-26</v>
      </c>
      <c r="AG70" s="461" t="str">
        <f t="shared" si="12"/>
        <v>sep-26</v>
      </c>
      <c r="AH70" s="461" t="str">
        <f t="shared" si="12"/>
        <v>oct-26</v>
      </c>
      <c r="AI70" s="461" t="str">
        <f t="shared" si="12"/>
        <v>nov-26</v>
      </c>
      <c r="AJ70" s="461" t="str">
        <f t="shared" si="12"/>
        <v>dic-26</v>
      </c>
      <c r="AK70" s="729"/>
      <c r="AL70" s="729"/>
      <c r="AM70" s="729"/>
      <c r="AN70" s="729"/>
      <c r="AO70" s="729"/>
      <c r="AP70" s="729"/>
      <c r="AQ70" s="729"/>
      <c r="AR70" s="729"/>
      <c r="AS70" s="729"/>
      <c r="AT70" s="729"/>
      <c r="AU70" s="729"/>
      <c r="AV70" s="729"/>
      <c r="AW70" s="729"/>
      <c r="AX70" s="729"/>
      <c r="AY70" s="729"/>
    </row>
    <row r="71" spans="1:51">
      <c r="A71" s="674"/>
      <c r="B71" s="674"/>
      <c r="C71" s="674"/>
      <c r="D71" s="674"/>
      <c r="E71" s="674"/>
      <c r="F71" s="674"/>
      <c r="G71" s="674"/>
      <c r="H71" s="674"/>
      <c r="I71" s="674"/>
      <c r="J71" s="674"/>
      <c r="K71" s="674"/>
      <c r="L71" s="674"/>
      <c r="M71" s="674"/>
      <c r="N71" s="674"/>
      <c r="O71" s="674"/>
      <c r="P71" s="674"/>
      <c r="Q71" s="674"/>
      <c r="R71" s="674"/>
      <c r="S71" s="674"/>
      <c r="T71" s="674"/>
      <c r="U71" s="674"/>
      <c r="V71" s="674"/>
      <c r="W71" s="674"/>
      <c r="X71" s="674" t="s">
        <v>944</v>
      </c>
      <c r="Y71" s="726">
        <f>('Modelo Base'!F133+'Modelo Base'!F144)/1000000</f>
        <v>72.783461000000003</v>
      </c>
      <c r="Z71" s="726">
        <f>('Modelo Base'!G133+'Modelo Base'!G144)/1000000</f>
        <v>101.365099</v>
      </c>
      <c r="AA71" s="726">
        <f>('Modelo Base'!H133+'Modelo Base'!H144)/1000000</f>
        <v>104.18998000000001</v>
      </c>
      <c r="AB71" s="726">
        <f>('Modelo Base'!I133+'Modelo Base'!I144)/1000000</f>
        <v>112.56347</v>
      </c>
      <c r="AC71" s="748">
        <f>('Modelo Base'!J133+'Modelo Base'!J144)/1000000</f>
        <v>2742.2389480000002</v>
      </c>
      <c r="AD71" s="748">
        <f>('Modelo Base'!K133+'Modelo Base'!K144)/1000000</f>
        <v>2725.070428</v>
      </c>
      <c r="AE71" s="748">
        <f>('Modelo Base'!L133+'Modelo Base'!L144)/1000000</f>
        <v>2725.070428</v>
      </c>
      <c r="AF71" s="748">
        <f>('Modelo Base'!M133+'Modelo Base'!M144)/1000000</f>
        <v>2725.070428</v>
      </c>
      <c r="AG71" s="748">
        <f>('Modelo Base'!N133+'Modelo Base'!N144)/1000000</f>
        <v>2725.070428</v>
      </c>
      <c r="AH71" s="748">
        <f>('Modelo Base'!O133+'Modelo Base'!O144)/1000000</f>
        <v>2725.070428</v>
      </c>
      <c r="AI71" s="748">
        <f>('Modelo Base'!P133+'Modelo Base'!P144)/1000000</f>
        <v>2725.070428</v>
      </c>
      <c r="AJ71" s="748">
        <f>('Modelo Base'!Q133+'Modelo Base'!Q144)/1000000</f>
        <v>2725.070428</v>
      </c>
      <c r="AK71" s="729"/>
      <c r="AL71" s="729"/>
      <c r="AM71" s="729"/>
      <c r="AN71" s="729"/>
      <c r="AO71" s="729"/>
      <c r="AP71" s="729"/>
      <c r="AQ71" s="729"/>
      <c r="AR71" s="729"/>
      <c r="AS71" s="729"/>
      <c r="AT71" s="729"/>
      <c r="AU71" s="729"/>
      <c r="AV71" s="729"/>
      <c r="AW71" s="729"/>
      <c r="AX71" s="729"/>
      <c r="AY71" s="729"/>
    </row>
    <row r="72" spans="1:51">
      <c r="A72" s="674"/>
      <c r="B72" s="674"/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4"/>
      <c r="N72" s="674"/>
      <c r="O72" s="674"/>
      <c r="P72" s="674"/>
      <c r="Q72" s="674"/>
      <c r="R72" s="674"/>
      <c r="S72" s="674"/>
      <c r="T72" s="674"/>
      <c r="U72" s="674"/>
      <c r="V72" s="674"/>
      <c r="W72" s="674"/>
      <c r="X72" s="674"/>
      <c r="Y72" s="674"/>
      <c r="Z72" s="674"/>
      <c r="AA72" s="674"/>
      <c r="AB72" s="674"/>
      <c r="AC72" s="674"/>
      <c r="AD72" s="674"/>
      <c r="AE72" s="674"/>
      <c r="AF72" s="674"/>
      <c r="AG72" s="674"/>
      <c r="AH72" s="674"/>
      <c r="AI72" s="674"/>
      <c r="AJ72" s="674"/>
      <c r="AK72" s="729"/>
      <c r="AL72" s="729"/>
      <c r="AM72" s="729"/>
      <c r="AN72" s="729"/>
      <c r="AO72" s="729"/>
      <c r="AP72" s="729"/>
      <c r="AQ72" s="729"/>
      <c r="AR72" s="729"/>
      <c r="AS72" s="729"/>
      <c r="AT72" s="729"/>
      <c r="AU72" s="729"/>
      <c r="AV72" s="729"/>
      <c r="AW72" s="729"/>
      <c r="AX72" s="729"/>
      <c r="AY72" s="729"/>
    </row>
    <row r="73" spans="1:51">
      <c r="A73" s="674"/>
      <c r="B73" s="674"/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4"/>
      <c r="P73" s="674"/>
      <c r="Q73" s="674"/>
      <c r="R73" s="674"/>
      <c r="S73" s="674"/>
      <c r="T73" s="674"/>
      <c r="U73" s="674"/>
      <c r="V73" s="674"/>
      <c r="W73" s="674"/>
      <c r="X73" s="674"/>
      <c r="Y73" s="674"/>
      <c r="Z73" s="674"/>
      <c r="AA73" s="674"/>
      <c r="AB73" s="674"/>
      <c r="AC73" s="674"/>
      <c r="AD73" s="674"/>
      <c r="AE73" s="674"/>
      <c r="AF73" s="674"/>
      <c r="AG73" s="674"/>
      <c r="AH73" s="674"/>
      <c r="AI73" s="674"/>
      <c r="AJ73" s="674"/>
      <c r="AK73" s="729"/>
      <c r="AL73" s="729"/>
      <c r="AM73" s="729"/>
      <c r="AN73" s="729"/>
      <c r="AO73" s="729"/>
      <c r="AP73" s="729"/>
      <c r="AQ73" s="729"/>
      <c r="AR73" s="729"/>
      <c r="AS73" s="729"/>
      <c r="AT73" s="729"/>
      <c r="AU73" s="729"/>
      <c r="AV73" s="729"/>
      <c r="AW73" s="729"/>
      <c r="AX73" s="729"/>
      <c r="AY73" s="729"/>
    </row>
    <row r="74" spans="1:51" ht="30" customHeight="1">
      <c r="A74" s="467"/>
      <c r="B74" s="461"/>
      <c r="C74" s="461"/>
      <c r="D74" s="461"/>
      <c r="E74" s="461"/>
      <c r="F74" s="461"/>
      <c r="G74" s="461"/>
      <c r="H74" s="461"/>
      <c r="I74" s="461"/>
      <c r="J74" s="461"/>
      <c r="K74" s="461"/>
      <c r="L74" s="461"/>
      <c r="M74" s="461"/>
      <c r="N74" s="461"/>
      <c r="O74" s="461"/>
      <c r="P74" s="461"/>
      <c r="Q74" s="461"/>
      <c r="R74" s="461"/>
      <c r="S74" s="461"/>
      <c r="T74" s="461"/>
      <c r="U74" s="461"/>
      <c r="V74" s="461"/>
      <c r="W74" s="461"/>
      <c r="X74" s="461" t="s">
        <v>631</v>
      </c>
      <c r="Y74" s="461" t="str">
        <f>TEXT(DATE(2026,COLUMN()-COLUMN($X$74),1),"mmm-aa")</f>
        <v>ene-26</v>
      </c>
      <c r="Z74" s="461" t="str">
        <f t="shared" ref="Z74:AJ74" si="13">TEXT(DATE(2026,COLUMN()-COLUMN($X$74),1),"mmm-aa")</f>
        <v>feb-26</v>
      </c>
      <c r="AA74" s="461" t="str">
        <f t="shared" si="13"/>
        <v>mar-26</v>
      </c>
      <c r="AB74" s="461" t="str">
        <f t="shared" si="13"/>
        <v>abr-26</v>
      </c>
      <c r="AC74" s="461" t="str">
        <f t="shared" si="13"/>
        <v>may-26</v>
      </c>
      <c r="AD74" s="461" t="str">
        <f t="shared" si="13"/>
        <v>jun-26</v>
      </c>
      <c r="AE74" s="461" t="str">
        <f t="shared" si="13"/>
        <v>jul-26</v>
      </c>
      <c r="AF74" s="461" t="str">
        <f t="shared" si="13"/>
        <v>ago-26</v>
      </c>
      <c r="AG74" s="461" t="str">
        <f t="shared" si="13"/>
        <v>sep-26</v>
      </c>
      <c r="AH74" s="461" t="str">
        <f t="shared" si="13"/>
        <v>oct-26</v>
      </c>
      <c r="AI74" s="461" t="str">
        <f t="shared" si="13"/>
        <v>nov-26</v>
      </c>
      <c r="AJ74" s="461" t="str">
        <f t="shared" si="13"/>
        <v>dic-26</v>
      </c>
      <c r="AK74" s="729"/>
      <c r="AL74" s="729"/>
      <c r="AM74" s="729"/>
      <c r="AN74" s="729"/>
      <c r="AO74" s="729"/>
      <c r="AP74" s="729"/>
      <c r="AQ74" s="729"/>
      <c r="AR74" s="729"/>
      <c r="AS74" s="729"/>
      <c r="AT74" s="729"/>
      <c r="AU74" s="729"/>
      <c r="AV74" s="729"/>
      <c r="AW74" s="729"/>
      <c r="AX74" s="729"/>
      <c r="AY74" s="729"/>
    </row>
    <row r="75" spans="1:51">
      <c r="A75" s="674"/>
      <c r="B75" s="674"/>
      <c r="C75" s="674"/>
      <c r="D75" s="674"/>
      <c r="E75" s="674"/>
      <c r="F75" s="674"/>
      <c r="G75" s="674"/>
      <c r="H75" s="674"/>
      <c r="I75" s="674"/>
      <c r="J75" s="674"/>
      <c r="K75" s="674"/>
      <c r="L75" s="674"/>
      <c r="M75" s="674"/>
      <c r="N75" s="674"/>
      <c r="O75" s="674"/>
      <c r="P75" s="674"/>
      <c r="Q75" s="674"/>
      <c r="R75" s="674"/>
      <c r="S75" s="674"/>
      <c r="T75" s="674"/>
      <c r="U75" s="674"/>
      <c r="V75" s="674"/>
      <c r="W75" s="674"/>
      <c r="X75" s="674" t="s">
        <v>947</v>
      </c>
      <c r="Y75" s="748">
        <f>'Modelo Base'!F212/1000000</f>
        <v>14.35008</v>
      </c>
      <c r="Z75" s="748">
        <f>'Modelo Base'!G212/1000000</f>
        <v>1.7917000000000001</v>
      </c>
      <c r="AA75" s="748">
        <f>'Modelo Base'!H212/1000000</f>
        <v>25.570584</v>
      </c>
      <c r="AB75" s="748">
        <f>'Modelo Base'!I212/1000000</f>
        <v>24.496645000000001</v>
      </c>
      <c r="AC75" s="726">
        <f>'Modelo Base'!J212/1000000</f>
        <v>22.513415999999999</v>
      </c>
      <c r="AD75" s="726">
        <f>'Modelo Base'!K212/1000000</f>
        <v>23.325495</v>
      </c>
      <c r="AE75" s="726">
        <f>'Modelo Base'!L212/1000000</f>
        <v>19.229474</v>
      </c>
      <c r="AF75" s="726">
        <f>'Modelo Base'!M212/1000000</f>
        <v>259.3220148153888</v>
      </c>
      <c r="AG75" s="726">
        <f>'Modelo Base'!N212/1000000</f>
        <v>291.29677518750037</v>
      </c>
      <c r="AH75" s="726">
        <f>'Modelo Base'!O212/1000000</f>
        <v>323.27187913674356</v>
      </c>
      <c r="AI75" s="726">
        <f>'Modelo Base'!P212/1000000</f>
        <v>349.36363053683249</v>
      </c>
      <c r="AJ75" s="726">
        <f>'Modelo Base'!Q212/1000000</f>
        <v>381.33940455692004</v>
      </c>
      <c r="AK75" s="729"/>
      <c r="AL75" s="729"/>
      <c r="AM75" s="729"/>
      <c r="AN75" s="729"/>
      <c r="AO75" s="729"/>
      <c r="AP75" s="729"/>
      <c r="AQ75" s="729"/>
      <c r="AR75" s="729"/>
      <c r="AS75" s="729"/>
      <c r="AT75" s="729"/>
      <c r="AU75" s="729"/>
      <c r="AV75" s="729"/>
      <c r="AW75" s="729"/>
      <c r="AX75" s="729"/>
      <c r="AY75" s="729"/>
    </row>
    <row r="76" spans="1:51">
      <c r="A76" s="674"/>
      <c r="B76" s="674"/>
      <c r="C76" s="674"/>
      <c r="D76" s="674"/>
      <c r="E76" s="674"/>
      <c r="F76" s="674"/>
      <c r="G76" s="674"/>
      <c r="H76" s="674"/>
      <c r="I76" s="674"/>
      <c r="J76" s="674"/>
      <c r="K76" s="674"/>
      <c r="L76" s="674"/>
      <c r="M76" s="674"/>
      <c r="N76" s="674"/>
      <c r="O76" s="674"/>
      <c r="P76" s="674"/>
      <c r="Q76" s="674"/>
      <c r="R76" s="674"/>
      <c r="S76" s="674"/>
      <c r="T76" s="674"/>
      <c r="U76" s="674"/>
      <c r="V76" s="674"/>
      <c r="W76" s="674"/>
      <c r="X76" s="674"/>
      <c r="Y76" s="674"/>
      <c r="Z76" s="674"/>
      <c r="AA76" s="674"/>
      <c r="AB76" s="674"/>
      <c r="AC76" s="674"/>
      <c r="AD76" s="674"/>
      <c r="AE76" s="674"/>
      <c r="AF76" s="674"/>
      <c r="AG76" s="674"/>
      <c r="AH76" s="674"/>
      <c r="AI76" s="674"/>
      <c r="AJ76" s="674"/>
      <c r="AK76" s="729"/>
      <c r="AL76" s="729"/>
      <c r="AM76" s="729"/>
      <c r="AN76" s="729"/>
      <c r="AO76" s="729"/>
      <c r="AP76" s="729"/>
      <c r="AQ76" s="729"/>
      <c r="AR76" s="729"/>
      <c r="AS76" s="729"/>
      <c r="AT76" s="729"/>
      <c r="AU76" s="729"/>
      <c r="AV76" s="729"/>
      <c r="AW76" s="729"/>
      <c r="AX76" s="729"/>
      <c r="AY76" s="729"/>
    </row>
    <row r="77" spans="1:51">
      <c r="A77" s="674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4"/>
      <c r="P77" s="674"/>
      <c r="Q77" s="674"/>
      <c r="R77" s="674"/>
      <c r="S77" s="674"/>
      <c r="T77" s="674"/>
      <c r="U77" s="674"/>
      <c r="V77" s="674"/>
      <c r="W77" s="674"/>
      <c r="X77" s="674"/>
      <c r="Y77" s="674"/>
      <c r="Z77" s="674"/>
      <c r="AA77" s="674"/>
      <c r="AB77" s="674"/>
      <c r="AC77" s="674"/>
      <c r="AD77" s="674"/>
      <c r="AE77" s="674"/>
      <c r="AF77" s="674"/>
      <c r="AG77" s="674"/>
      <c r="AH77" s="674"/>
      <c r="AI77" s="674"/>
      <c r="AJ77" s="674"/>
      <c r="AK77" s="729"/>
      <c r="AL77" s="729"/>
      <c r="AM77" s="729"/>
      <c r="AN77" s="729"/>
      <c r="AO77" s="729"/>
      <c r="AP77" s="729"/>
      <c r="AQ77" s="729"/>
      <c r="AR77" s="729"/>
      <c r="AS77" s="729"/>
      <c r="AT77" s="729"/>
      <c r="AU77" s="729"/>
      <c r="AV77" s="729"/>
      <c r="AW77" s="729"/>
      <c r="AX77" s="729"/>
      <c r="AY77" s="729"/>
    </row>
    <row r="78" spans="1:51" ht="30" customHeight="1">
      <c r="A78" s="467"/>
      <c r="B78" s="461"/>
      <c r="C78" s="461"/>
      <c r="D78" s="461"/>
      <c r="E78" s="461"/>
      <c r="F78" s="461"/>
      <c r="G78" s="461"/>
      <c r="H78" s="461"/>
      <c r="I78" s="461"/>
      <c r="J78" s="461"/>
      <c r="K78" s="461"/>
      <c r="L78" s="461"/>
      <c r="M78" s="461"/>
      <c r="N78" s="461"/>
      <c r="O78" s="461"/>
      <c r="P78" s="461"/>
      <c r="Q78" s="461"/>
      <c r="R78" s="461"/>
      <c r="S78" s="461"/>
      <c r="T78" s="461"/>
      <c r="U78" s="461"/>
      <c r="V78" s="461"/>
      <c r="W78" s="461"/>
      <c r="X78" s="461" t="s">
        <v>631</v>
      </c>
      <c r="Y78" s="461" t="str">
        <f>TEXT(DATE(2026,COLUMN()-COLUMN($X$78),1),"mmm-aa")</f>
        <v>ene-26</v>
      </c>
      <c r="Z78" s="461" t="str">
        <f t="shared" ref="Z78:AJ78" si="14">TEXT(DATE(2026,COLUMN()-COLUMN($X$78),1),"mmm-aa")</f>
        <v>feb-26</v>
      </c>
      <c r="AA78" s="461" t="str">
        <f t="shared" si="14"/>
        <v>mar-26</v>
      </c>
      <c r="AB78" s="461" t="str">
        <f t="shared" si="14"/>
        <v>abr-26</v>
      </c>
      <c r="AC78" s="461" t="str">
        <f t="shared" si="14"/>
        <v>may-26</v>
      </c>
      <c r="AD78" s="461" t="str">
        <f t="shared" si="14"/>
        <v>jun-26</v>
      </c>
      <c r="AE78" s="461" t="str">
        <f t="shared" si="14"/>
        <v>jul-26</v>
      </c>
      <c r="AF78" s="461" t="str">
        <f t="shared" si="14"/>
        <v>ago-26</v>
      </c>
      <c r="AG78" s="461" t="str">
        <f t="shared" si="14"/>
        <v>sep-26</v>
      </c>
      <c r="AH78" s="461" t="str">
        <f t="shared" si="14"/>
        <v>oct-26</v>
      </c>
      <c r="AI78" s="461" t="str">
        <f t="shared" si="14"/>
        <v>nov-26</v>
      </c>
      <c r="AJ78" s="461" t="str">
        <f t="shared" si="14"/>
        <v>dic-26</v>
      </c>
      <c r="AK78" s="729"/>
      <c r="AL78" s="729"/>
      <c r="AM78" s="729"/>
      <c r="AN78" s="729"/>
      <c r="AO78" s="729"/>
      <c r="AP78" s="729"/>
      <c r="AQ78" s="729"/>
      <c r="AR78" s="729"/>
      <c r="AS78" s="729"/>
      <c r="AT78" s="729"/>
      <c r="AU78" s="729"/>
      <c r="AV78" s="729"/>
      <c r="AW78" s="729"/>
      <c r="AX78" s="729"/>
      <c r="AY78" s="729"/>
    </row>
    <row r="79" spans="1:51">
      <c r="A79" s="674"/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 t="s">
        <v>669</v>
      </c>
      <c r="Y79" s="748">
        <f>'Modelo Base'!F213/1000000</f>
        <v>1074.062508</v>
      </c>
      <c r="Z79" s="748">
        <f>'Modelo Base'!G213/1000000</f>
        <v>1301.9831919999999</v>
      </c>
      <c r="AA79" s="748">
        <f>'Modelo Base'!H213/1000000</f>
        <v>1093.981665</v>
      </c>
      <c r="AB79" s="748">
        <f>'Modelo Base'!I213/1000000</f>
        <v>1024.2512959999999</v>
      </c>
      <c r="AC79" s="748">
        <f>'Modelo Base'!J213/1000000</f>
        <v>1150.522226</v>
      </c>
      <c r="AD79" s="748">
        <f>'Modelo Base'!K213/1000000</f>
        <v>1292.7147010000001</v>
      </c>
      <c r="AE79" s="748">
        <f>'Modelo Base'!L213/1000000</f>
        <v>1265.4681370000001</v>
      </c>
      <c r="AF79" s="748">
        <f>'Modelo Base'!M213/1000000</f>
        <v>3535.7944804623889</v>
      </c>
      <c r="AG79" s="748">
        <f>'Modelo Base'!N213/1000000</f>
        <v>3759.7827200902771</v>
      </c>
      <c r="AH79" s="748">
        <f>'Modelo Base'!O213/1000000</f>
        <v>3983.7706161410342</v>
      </c>
      <c r="AI79" s="748">
        <f>'Modelo Base'!P213/1000000</f>
        <v>4196.2579891409459</v>
      </c>
      <c r="AJ79" s="748">
        <f>'Modelo Base'!Q213/1000000</f>
        <v>4420.2452151208581</v>
      </c>
      <c r="AK79" s="729"/>
      <c r="AL79" s="729"/>
      <c r="AM79" s="729"/>
      <c r="AN79" s="729"/>
      <c r="AO79" s="729"/>
      <c r="AP79" s="729"/>
      <c r="AQ79" s="729"/>
      <c r="AR79" s="729"/>
      <c r="AS79" s="729"/>
      <c r="AT79" s="729"/>
      <c r="AU79" s="729"/>
      <c r="AV79" s="729"/>
      <c r="AW79" s="729"/>
      <c r="AX79" s="729"/>
      <c r="AY79" s="729"/>
    </row>
    <row r="80" spans="1:51">
      <c r="A80" s="674"/>
      <c r="B80" s="674"/>
      <c r="C80" s="674"/>
      <c r="D80" s="674"/>
      <c r="E80" s="674"/>
      <c r="F80" s="674"/>
      <c r="G80" s="674"/>
      <c r="H80" s="674"/>
      <c r="I80" s="674"/>
      <c r="J80" s="674"/>
      <c r="K80" s="674"/>
      <c r="L80" s="674"/>
      <c r="M80" s="674"/>
      <c r="N80" s="674"/>
      <c r="O80" s="674"/>
      <c r="P80" s="674"/>
      <c r="Q80" s="674"/>
      <c r="R80" s="674"/>
      <c r="S80" s="674"/>
      <c r="T80" s="674"/>
      <c r="U80" s="674"/>
      <c r="V80" s="674"/>
      <c r="W80" s="674"/>
      <c r="X80" s="674"/>
      <c r="Y80" s="674"/>
      <c r="Z80" s="674"/>
      <c r="AA80" s="674"/>
      <c r="AB80" s="674"/>
      <c r="AC80" s="674"/>
      <c r="AD80" s="674"/>
      <c r="AE80" s="674"/>
      <c r="AF80" s="674"/>
      <c r="AG80" s="674"/>
      <c r="AH80" s="674"/>
      <c r="AI80" s="674"/>
      <c r="AJ80" s="674"/>
      <c r="AK80" s="729"/>
      <c r="AL80" s="729"/>
      <c r="AM80" s="729"/>
      <c r="AN80" s="729"/>
      <c r="AO80" s="729"/>
      <c r="AP80" s="729"/>
      <c r="AQ80" s="729"/>
      <c r="AR80" s="729"/>
      <c r="AS80" s="729"/>
      <c r="AT80" s="729"/>
      <c r="AU80" s="729"/>
      <c r="AV80" s="729"/>
      <c r="AW80" s="729"/>
      <c r="AX80" s="729"/>
      <c r="AY80" s="729"/>
    </row>
    <row r="81" spans="1:51">
      <c r="A81" s="674"/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674"/>
      <c r="N81" s="674"/>
      <c r="O81" s="674"/>
      <c r="P81" s="674"/>
      <c r="Q81" s="674"/>
      <c r="R81" s="674"/>
      <c r="S81" s="674"/>
      <c r="T81" s="674"/>
      <c r="U81" s="674"/>
      <c r="V81" s="674"/>
      <c r="W81" s="674"/>
      <c r="X81" s="674"/>
      <c r="Y81" s="674"/>
      <c r="Z81" s="674"/>
      <c r="AA81" s="674"/>
      <c r="AB81" s="674"/>
      <c r="AC81" s="674"/>
      <c r="AD81" s="674"/>
      <c r="AE81" s="674"/>
      <c r="AF81" s="674"/>
      <c r="AG81" s="674"/>
      <c r="AH81" s="674"/>
      <c r="AI81" s="674"/>
      <c r="AJ81" s="674"/>
      <c r="AK81" s="729"/>
      <c r="AL81" s="729"/>
      <c r="AM81" s="729"/>
      <c r="AN81" s="729"/>
      <c r="AO81" s="729"/>
      <c r="AP81" s="729"/>
      <c r="AQ81" s="729"/>
      <c r="AR81" s="729"/>
      <c r="AS81" s="729"/>
      <c r="AT81" s="729"/>
      <c r="AU81" s="729"/>
      <c r="AV81" s="729"/>
      <c r="AW81" s="729"/>
      <c r="AX81" s="729"/>
      <c r="AY81" s="729"/>
    </row>
    <row r="82" spans="1:51" ht="30" customHeight="1">
      <c r="A82" s="467"/>
      <c r="B82" s="461"/>
      <c r="C82" s="461"/>
      <c r="D82" s="461"/>
      <c r="E82" s="461"/>
      <c r="F82" s="461"/>
      <c r="G82" s="461"/>
      <c r="H82" s="461"/>
      <c r="I82" s="461"/>
      <c r="J82" s="461"/>
      <c r="K82" s="461"/>
      <c r="L82" s="461"/>
      <c r="M82" s="461"/>
      <c r="N82" s="461"/>
      <c r="O82" s="461"/>
      <c r="P82" s="461"/>
      <c r="Q82" s="461"/>
      <c r="R82" s="461"/>
      <c r="S82" s="461"/>
      <c r="T82" s="461"/>
      <c r="U82" s="461"/>
      <c r="V82" s="461"/>
      <c r="W82" s="461"/>
      <c r="X82" s="461" t="s">
        <v>631</v>
      </c>
      <c r="Y82" s="461" t="str">
        <f>TEXT(DATE(2026,COLUMN()-COLUMN($X$82),1),"mmm-aa")</f>
        <v>ene-26</v>
      </c>
      <c r="Z82" s="461" t="str">
        <f t="shared" ref="Z82:AJ82" si="15">TEXT(DATE(2026,COLUMN()-COLUMN($X$82),1),"mmm-aa")</f>
        <v>feb-26</v>
      </c>
      <c r="AA82" s="461" t="str">
        <f t="shared" si="15"/>
        <v>mar-26</v>
      </c>
      <c r="AB82" s="461" t="str">
        <f t="shared" si="15"/>
        <v>abr-26</v>
      </c>
      <c r="AC82" s="461" t="str">
        <f t="shared" si="15"/>
        <v>may-26</v>
      </c>
      <c r="AD82" s="461" t="str">
        <f t="shared" si="15"/>
        <v>jun-26</v>
      </c>
      <c r="AE82" s="461" t="str">
        <f t="shared" si="15"/>
        <v>jul-26</v>
      </c>
      <c r="AF82" s="461" t="str">
        <f t="shared" si="15"/>
        <v>ago-26</v>
      </c>
      <c r="AG82" s="461" t="str">
        <f t="shared" si="15"/>
        <v>sep-26</v>
      </c>
      <c r="AH82" s="461" t="str">
        <f t="shared" si="15"/>
        <v>oct-26</v>
      </c>
      <c r="AI82" s="461" t="str">
        <f t="shared" si="15"/>
        <v>nov-26</v>
      </c>
      <c r="AJ82" s="461" t="str">
        <f t="shared" si="15"/>
        <v>dic-26</v>
      </c>
      <c r="AK82" s="729"/>
      <c r="AL82" s="729"/>
      <c r="AM82" s="729"/>
      <c r="AN82" s="729"/>
      <c r="AO82" s="729"/>
      <c r="AP82" s="729"/>
      <c r="AQ82" s="729"/>
      <c r="AR82" s="729"/>
      <c r="AS82" s="729"/>
      <c r="AT82" s="729"/>
      <c r="AU82" s="729"/>
      <c r="AV82" s="729"/>
      <c r="AW82" s="729"/>
      <c r="AX82" s="729"/>
      <c r="AY82" s="729"/>
    </row>
    <row r="83" spans="1:51">
      <c r="A83" s="674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4"/>
      <c r="P83" s="674"/>
      <c r="Q83" s="674"/>
      <c r="R83" s="674"/>
      <c r="S83" s="674"/>
      <c r="T83" s="674"/>
      <c r="U83" s="674"/>
      <c r="V83" s="674"/>
      <c r="W83" s="674"/>
      <c r="X83" s="674" t="s">
        <v>278</v>
      </c>
      <c r="Y83" s="726">
        <f>'Modelo Base'!F193/1000000</f>
        <v>69.979360999999997</v>
      </c>
      <c r="Z83" s="726">
        <f>'Modelo Base'!G193/1000000</f>
        <v>46.134031999999998</v>
      </c>
      <c r="AA83" s="726">
        <f>'Modelo Base'!H193/1000000</f>
        <v>-22.242792999999999</v>
      </c>
      <c r="AB83" s="726">
        <f>'Modelo Base'!I193/1000000</f>
        <v>4.8382519999999998</v>
      </c>
      <c r="AC83" s="726">
        <f>'Modelo Base'!J193/1000000</f>
        <v>113.00947499999999</v>
      </c>
      <c r="AD83" s="726">
        <f>'Modelo Base'!K193/1000000</f>
        <v>34.975495000000002</v>
      </c>
      <c r="AE83" s="726">
        <f>'Modelo Base'!L193/1000000</f>
        <v>29.342362000000001</v>
      </c>
      <c r="AF83" s="726">
        <f>'Modelo Base'!M193/1000000</f>
        <v>741.79675842857137</v>
      </c>
      <c r="AG83" s="726">
        <f>'Modelo Base'!N193/1000000</f>
        <v>833.2121155714284</v>
      </c>
      <c r="AH83" s="726">
        <f>'Modelo Base'!O193/1000000</f>
        <v>924.627472714286</v>
      </c>
      <c r="AI83" s="726">
        <f>'Modelo Base'!P193/1000000</f>
        <v>999.2322858571431</v>
      </c>
      <c r="AJ83" s="748">
        <f>'Modelo Base'!Q193/1000000</f>
        <v>1090.647643</v>
      </c>
      <c r="AK83" s="729"/>
      <c r="AL83" s="729"/>
      <c r="AM83" s="729"/>
      <c r="AN83" s="729"/>
      <c r="AO83" s="729"/>
      <c r="AP83" s="729"/>
      <c r="AQ83" s="729"/>
      <c r="AR83" s="729"/>
      <c r="AS83" s="729"/>
      <c r="AT83" s="729"/>
      <c r="AU83" s="729"/>
      <c r="AV83" s="729"/>
      <c r="AW83" s="729"/>
      <c r="AX83" s="729"/>
      <c r="AY83" s="729"/>
    </row>
    <row r="84" spans="1:51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4"/>
      <c r="P84" s="674"/>
      <c r="Q84" s="674"/>
      <c r="R84" s="674"/>
      <c r="S84" s="674"/>
      <c r="T84" s="674"/>
      <c r="U84" s="674"/>
      <c r="V84" s="674"/>
      <c r="W84" s="674"/>
      <c r="X84" s="674" t="s">
        <v>401</v>
      </c>
      <c r="Y84" s="726">
        <f>'Modelo Base'!F196/1000000</f>
        <v>63.485497000000002</v>
      </c>
      <c r="Z84" s="726">
        <f>'Modelo Base'!G196/1000000</f>
        <v>54.048915000000001</v>
      </c>
      <c r="AA84" s="726">
        <f>'Modelo Base'!H196/1000000</f>
        <v>-37.938006999999999</v>
      </c>
      <c r="AB84" s="726">
        <f>'Modelo Base'!I196/1000000</f>
        <v>0.70620300000000003</v>
      </c>
      <c r="AC84" s="726">
        <f>'Modelo Base'!J196/1000000</f>
        <v>108.374968</v>
      </c>
      <c r="AD84" s="726">
        <f>'Modelo Base'!K196/1000000</f>
        <v>33.343649999999997</v>
      </c>
      <c r="AE84" s="726">
        <f>'Modelo Base'!L196/1000000</f>
        <v>24.707052000000001</v>
      </c>
      <c r="AF84" s="726">
        <f>'Modelo Base'!M196/1000000</f>
        <v>481.59802751429356</v>
      </c>
      <c r="AG84" s="726">
        <f>'Modelo Base'!N196/1000000</f>
        <v>540.97972534821497</v>
      </c>
      <c r="AH84" s="726">
        <f>'Modelo Base'!O196/1000000</f>
        <v>600.36206125395233</v>
      </c>
      <c r="AI84" s="726">
        <f>'Modelo Base'!P196/1000000</f>
        <v>648.81817099697469</v>
      </c>
      <c r="AJ84" s="726">
        <f>'Modelo Base'!Q196/1000000</f>
        <v>708.2017513199944</v>
      </c>
      <c r="AK84" s="729"/>
      <c r="AL84" s="729"/>
      <c r="AM84" s="729"/>
      <c r="AN84" s="729"/>
      <c r="AO84" s="729"/>
      <c r="AP84" s="729"/>
      <c r="AQ84" s="729"/>
      <c r="AR84" s="729"/>
      <c r="AS84" s="729"/>
      <c r="AT84" s="729"/>
      <c r="AU84" s="729"/>
      <c r="AV84" s="729"/>
      <c r="AW84" s="729"/>
      <c r="AX84" s="729"/>
      <c r="AY84" s="729"/>
    </row>
    <row r="85" spans="1:51">
      <c r="A85" s="674"/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74"/>
      <c r="AB85" s="674"/>
      <c r="AC85" s="674"/>
      <c r="AD85" s="674"/>
      <c r="AE85" s="674"/>
      <c r="AF85" s="674"/>
      <c r="AG85" s="674"/>
      <c r="AH85" s="674"/>
      <c r="AI85" s="674"/>
      <c r="AJ85" s="674"/>
      <c r="AK85" s="729"/>
      <c r="AL85" s="729"/>
      <c r="AM85" s="729"/>
      <c r="AN85" s="729"/>
      <c r="AO85" s="729"/>
      <c r="AP85" s="729"/>
      <c r="AQ85" s="729"/>
      <c r="AR85" s="729"/>
      <c r="AS85" s="729"/>
      <c r="AT85" s="729"/>
      <c r="AU85" s="729"/>
      <c r="AV85" s="729"/>
      <c r="AW85" s="729"/>
      <c r="AX85" s="729"/>
      <c r="AY85" s="729"/>
    </row>
    <row r="86" spans="1:51">
      <c r="A86" s="674"/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74"/>
      <c r="AB86" s="674"/>
      <c r="AC86" s="674"/>
      <c r="AD86" s="674"/>
      <c r="AE86" s="674"/>
      <c r="AF86" s="674"/>
      <c r="AG86" s="674"/>
      <c r="AH86" s="674"/>
      <c r="AI86" s="674"/>
      <c r="AJ86" s="674"/>
      <c r="AK86" s="729"/>
      <c r="AL86" s="729"/>
      <c r="AM86" s="729"/>
      <c r="AN86" s="729"/>
      <c r="AO86" s="729"/>
      <c r="AP86" s="729"/>
      <c r="AQ86" s="729"/>
      <c r="AR86" s="729"/>
      <c r="AS86" s="729"/>
      <c r="AT86" s="729"/>
      <c r="AU86" s="729"/>
      <c r="AV86" s="729"/>
      <c r="AW86" s="729"/>
      <c r="AX86" s="729"/>
      <c r="AY86" s="729"/>
    </row>
    <row r="87" spans="1:51" ht="30" customHeight="1">
      <c r="A87" s="467"/>
      <c r="B87" s="461"/>
      <c r="C87" s="461"/>
      <c r="D87" s="461"/>
      <c r="E87" s="461"/>
      <c r="F87" s="461"/>
      <c r="G87" s="461"/>
      <c r="H87" s="461"/>
      <c r="I87" s="461"/>
      <c r="J87" s="461"/>
      <c r="K87" s="461"/>
      <c r="L87" s="461"/>
      <c r="M87" s="461"/>
      <c r="N87" s="461"/>
      <c r="O87" s="461"/>
      <c r="P87" s="461"/>
      <c r="Q87" s="461"/>
      <c r="R87" s="461"/>
      <c r="S87" s="461"/>
      <c r="T87" s="461"/>
      <c r="U87" s="461"/>
      <c r="V87" s="461"/>
      <c r="W87" s="461"/>
      <c r="X87" s="461" t="s">
        <v>631</v>
      </c>
      <c r="Y87" s="461" t="str">
        <f>TEXT(DATE(2026,COLUMN()-COLUMN($X$87),1),"mmm-aa")</f>
        <v>ene-26</v>
      </c>
      <c r="Z87" s="461" t="str">
        <f t="shared" ref="Z87:AJ87" si="16">TEXT(DATE(2026,COLUMN()-COLUMN($X$87),1),"mmm-aa")</f>
        <v>feb-26</v>
      </c>
      <c r="AA87" s="461" t="str">
        <f t="shared" si="16"/>
        <v>mar-26</v>
      </c>
      <c r="AB87" s="461" t="str">
        <f t="shared" si="16"/>
        <v>abr-26</v>
      </c>
      <c r="AC87" s="461" t="str">
        <f t="shared" si="16"/>
        <v>may-26</v>
      </c>
      <c r="AD87" s="461" t="str">
        <f t="shared" si="16"/>
        <v>jun-26</v>
      </c>
      <c r="AE87" s="461" t="str">
        <f t="shared" si="16"/>
        <v>jul-26</v>
      </c>
      <c r="AF87" s="461" t="str">
        <f t="shared" si="16"/>
        <v>ago-26</v>
      </c>
      <c r="AG87" s="461" t="str">
        <f t="shared" si="16"/>
        <v>sep-26</v>
      </c>
      <c r="AH87" s="461" t="str">
        <f t="shared" si="16"/>
        <v>oct-26</v>
      </c>
      <c r="AI87" s="461" t="str">
        <f t="shared" si="16"/>
        <v>nov-26</v>
      </c>
      <c r="AJ87" s="461" t="str">
        <f t="shared" si="16"/>
        <v>dic-26</v>
      </c>
      <c r="AK87" s="729"/>
      <c r="AL87" s="729"/>
      <c r="AM87" s="729"/>
      <c r="AN87" s="729"/>
      <c r="AO87" s="729"/>
      <c r="AP87" s="729"/>
      <c r="AQ87" s="729"/>
      <c r="AR87" s="729"/>
      <c r="AS87" s="729"/>
      <c r="AT87" s="729"/>
      <c r="AU87" s="729"/>
      <c r="AV87" s="729"/>
      <c r="AW87" s="729"/>
      <c r="AX87" s="729"/>
      <c r="AY87" s="729"/>
    </row>
    <row r="88" spans="1:51">
      <c r="A88" s="674"/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674"/>
      <c r="M88" s="674"/>
      <c r="N88" s="674"/>
      <c r="O88" s="674"/>
      <c r="P88" s="674"/>
      <c r="Q88" s="674"/>
      <c r="R88" s="674"/>
      <c r="S88" s="674"/>
      <c r="T88" s="674"/>
      <c r="U88" s="674"/>
      <c r="V88" s="674"/>
      <c r="W88" s="674"/>
      <c r="X88" s="674" t="s">
        <v>953</v>
      </c>
      <c r="Y88" s="726">
        <f>'Modelo Base'!F138/1000000</f>
        <v>0.63706025416666678</v>
      </c>
      <c r="Z88" s="726">
        <f>'Modelo Base'!G138/1000000</f>
        <v>0.72561900000000001</v>
      </c>
      <c r="AA88" s="726">
        <f>'Modelo Base'!H138/1000000</f>
        <v>0.85647949583333349</v>
      </c>
      <c r="AB88" s="726">
        <f>'Modelo Base'!I138/1000000</f>
        <v>0.90313937499999997</v>
      </c>
      <c r="AC88" s="726">
        <f>'Modelo Base'!J138/1000000</f>
        <v>0.93802891666666666</v>
      </c>
      <c r="AD88" s="726">
        <f>'Modelo Base'!K138/1000000</f>
        <v>0.82991472500000008</v>
      </c>
      <c r="AE88" s="726">
        <f>'Modelo Base'!L138/1000000</f>
        <v>0.69586622499999995</v>
      </c>
      <c r="AF88" s="726">
        <f>'Modelo Base'!M138/1000000</f>
        <v>0.69586622499999995</v>
      </c>
      <c r="AG88" s="726">
        <f>'Modelo Base'!N138/1000000</f>
        <v>0.69586622499999995</v>
      </c>
      <c r="AH88" s="726">
        <f>'Modelo Base'!O138/1000000</f>
        <v>0.69586622499999995</v>
      </c>
      <c r="AI88" s="726">
        <f>'Modelo Base'!P138/1000000</f>
        <v>0.69586622499999995</v>
      </c>
      <c r="AJ88" s="726">
        <f>'Modelo Base'!Q138/1000000</f>
        <v>0.69586622499999995</v>
      </c>
      <c r="AK88" s="729"/>
      <c r="AL88" s="729"/>
      <c r="AM88" s="729"/>
      <c r="AN88" s="729"/>
      <c r="AO88" s="729"/>
      <c r="AP88" s="729"/>
      <c r="AQ88" s="729"/>
      <c r="AR88" s="729"/>
      <c r="AS88" s="729"/>
      <c r="AT88" s="729"/>
      <c r="AU88" s="729"/>
      <c r="AV88" s="729"/>
      <c r="AW88" s="729"/>
      <c r="AX88" s="729"/>
      <c r="AY88" s="729"/>
    </row>
    <row r="89" spans="1:51">
      <c r="A89" s="674"/>
      <c r="B89" s="674"/>
      <c r="C89" s="674"/>
      <c r="D89" s="674"/>
      <c r="E89" s="674"/>
      <c r="F89" s="674"/>
      <c r="G89" s="674"/>
      <c r="H89" s="674"/>
      <c r="I89" s="674"/>
      <c r="J89" s="674"/>
      <c r="K89" s="674"/>
      <c r="L89" s="674"/>
      <c r="M89" s="674"/>
      <c r="N89" s="674"/>
      <c r="O89" s="674"/>
      <c r="P89" s="674"/>
      <c r="Q89" s="674"/>
      <c r="R89" s="674"/>
      <c r="S89" s="674"/>
      <c r="T89" s="674"/>
      <c r="U89" s="674"/>
      <c r="V89" s="674"/>
      <c r="W89" s="674"/>
      <c r="X89" s="674"/>
      <c r="Y89" s="674"/>
      <c r="Z89" s="674"/>
      <c r="AA89" s="674"/>
      <c r="AB89" s="674"/>
      <c r="AC89" s="674"/>
      <c r="AD89" s="674"/>
      <c r="AE89" s="674"/>
      <c r="AF89" s="674"/>
      <c r="AG89" s="674"/>
      <c r="AH89" s="674"/>
      <c r="AI89" s="674"/>
      <c r="AJ89" s="674"/>
      <c r="AK89" s="729"/>
      <c r="AL89" s="729"/>
      <c r="AM89" s="729"/>
      <c r="AN89" s="729"/>
      <c r="AO89" s="729"/>
      <c r="AP89" s="729"/>
      <c r="AQ89" s="729"/>
      <c r="AR89" s="729"/>
      <c r="AS89" s="729"/>
      <c r="AT89" s="729"/>
      <c r="AU89" s="729"/>
      <c r="AV89" s="729"/>
      <c r="AW89" s="729"/>
      <c r="AX89" s="729"/>
      <c r="AY89" s="729"/>
    </row>
    <row r="90" spans="1:51">
      <c r="A90" s="674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4"/>
      <c r="P90" s="674"/>
      <c r="Q90" s="674"/>
      <c r="R90" s="674"/>
      <c r="S90" s="674"/>
      <c r="T90" s="674"/>
      <c r="U90" s="674"/>
      <c r="V90" s="674"/>
      <c r="W90" s="674"/>
      <c r="X90" s="674"/>
      <c r="Y90" s="674"/>
      <c r="Z90" s="674"/>
      <c r="AA90" s="674"/>
      <c r="AB90" s="674"/>
      <c r="AC90" s="674"/>
      <c r="AD90" s="674"/>
      <c r="AE90" s="674"/>
      <c r="AF90" s="674"/>
      <c r="AG90" s="674"/>
      <c r="AH90" s="674"/>
      <c r="AI90" s="674"/>
      <c r="AJ90" s="674"/>
      <c r="AK90" s="729"/>
      <c r="AL90" s="729"/>
      <c r="AM90" s="729"/>
      <c r="AN90" s="729"/>
      <c r="AO90" s="729"/>
      <c r="AP90" s="729"/>
      <c r="AQ90" s="729"/>
      <c r="AR90" s="729"/>
      <c r="AS90" s="729"/>
      <c r="AT90" s="729"/>
      <c r="AU90" s="729"/>
      <c r="AV90" s="729"/>
      <c r="AW90" s="729"/>
      <c r="AX90" s="729"/>
      <c r="AY90" s="729"/>
    </row>
    <row r="91" spans="1:51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4"/>
      <c r="P91" s="674"/>
      <c r="Q91" s="674"/>
      <c r="R91" s="674"/>
      <c r="S91" s="674"/>
      <c r="T91" s="674"/>
      <c r="U91" s="674"/>
      <c r="V91" s="674"/>
      <c r="W91" s="674"/>
      <c r="X91" s="674"/>
      <c r="Y91" s="674"/>
      <c r="Z91" s="674"/>
      <c r="AA91" s="674"/>
      <c r="AB91" s="674"/>
      <c r="AC91" s="674"/>
      <c r="AD91" s="674"/>
      <c r="AE91" s="674"/>
      <c r="AF91" s="674"/>
      <c r="AG91" s="674"/>
      <c r="AH91" s="674"/>
      <c r="AI91" s="674"/>
      <c r="AJ91" s="674"/>
      <c r="AK91" s="729"/>
      <c r="AL91" s="729"/>
      <c r="AM91" s="729"/>
      <c r="AN91" s="729"/>
      <c r="AO91" s="729"/>
      <c r="AP91" s="729"/>
      <c r="AQ91" s="729"/>
      <c r="AR91" s="729"/>
      <c r="AS91" s="729"/>
      <c r="AT91" s="729"/>
      <c r="AU91" s="729"/>
      <c r="AV91" s="729"/>
      <c r="AW91" s="729"/>
      <c r="AX91" s="729"/>
      <c r="AY91" s="729"/>
    </row>
    <row r="92" spans="1:51" ht="30" customHeight="1">
      <c r="A92" s="467"/>
      <c r="B92" s="461"/>
      <c r="C92" s="461"/>
      <c r="D92" s="461"/>
      <c r="E92" s="461"/>
      <c r="F92" s="461"/>
      <c r="G92" s="461"/>
      <c r="H92" s="461"/>
      <c r="I92" s="461"/>
      <c r="J92" s="461"/>
      <c r="K92" s="461"/>
      <c r="L92" s="461"/>
      <c r="M92" s="461"/>
      <c r="N92" s="461"/>
      <c r="O92" s="461"/>
      <c r="P92" s="461"/>
      <c r="Q92" s="461"/>
      <c r="R92" s="461"/>
      <c r="S92" s="461"/>
      <c r="T92" s="461"/>
      <c r="U92" s="461"/>
      <c r="V92" s="461"/>
      <c r="W92" s="461"/>
      <c r="X92" s="461" t="s">
        <v>961</v>
      </c>
      <c r="Y92" s="461" t="str">
        <f t="shared" ref="Y92:AJ92" si="17">Y$2</f>
        <v>ene-26</v>
      </c>
      <c r="Z92" s="461" t="str">
        <f t="shared" si="17"/>
        <v>feb-26</v>
      </c>
      <c r="AA92" s="461" t="str">
        <f t="shared" si="17"/>
        <v>mar-26</v>
      </c>
      <c r="AB92" s="461" t="str">
        <f t="shared" si="17"/>
        <v>abr-26</v>
      </c>
      <c r="AC92" s="461" t="str">
        <f t="shared" si="17"/>
        <v>may-26</v>
      </c>
      <c r="AD92" s="461" t="str">
        <f t="shared" si="17"/>
        <v>jun-26</v>
      </c>
      <c r="AE92" s="461" t="str">
        <f t="shared" si="17"/>
        <v>jul-26</v>
      </c>
      <c r="AF92" s="461" t="str">
        <f t="shared" si="17"/>
        <v>ago-26</v>
      </c>
      <c r="AG92" s="461" t="str">
        <f t="shared" si="17"/>
        <v>sep-26</v>
      </c>
      <c r="AH92" s="461" t="str">
        <f t="shared" si="17"/>
        <v>oct-26</v>
      </c>
      <c r="AI92" s="461" t="str">
        <f t="shared" si="17"/>
        <v>nov-26</v>
      </c>
      <c r="AJ92" s="461" t="str">
        <f t="shared" si="17"/>
        <v>dic-26</v>
      </c>
      <c r="AK92" s="729"/>
      <c r="AL92" s="729"/>
      <c r="AM92" s="729"/>
      <c r="AN92" s="729"/>
      <c r="AO92" s="729"/>
      <c r="AP92" s="729"/>
      <c r="AQ92" s="729"/>
      <c r="AR92" s="729"/>
      <c r="AS92" s="729"/>
      <c r="AT92" s="729"/>
      <c r="AU92" s="729"/>
      <c r="AV92" s="729"/>
      <c r="AW92" s="729"/>
      <c r="AX92" s="729"/>
      <c r="AY92" s="729"/>
    </row>
    <row r="93" spans="1:51">
      <c r="A93" s="674"/>
      <c r="B93" s="674"/>
      <c r="C93" s="674"/>
      <c r="D93" s="674"/>
      <c r="E93" s="674"/>
      <c r="F93" s="674"/>
      <c r="G93" s="674"/>
      <c r="H93" s="674"/>
      <c r="I93" s="674"/>
      <c r="J93" s="674"/>
      <c r="K93" s="674"/>
      <c r="L93" s="674"/>
      <c r="M93" s="674"/>
      <c r="N93" s="674"/>
      <c r="O93" s="674"/>
      <c r="P93" s="674"/>
      <c r="Q93" s="674"/>
      <c r="R93" s="674"/>
      <c r="S93" s="674"/>
      <c r="T93" s="674"/>
      <c r="U93" s="674"/>
      <c r="V93" s="674"/>
      <c r="W93" s="674"/>
      <c r="X93" s="674" t="s">
        <v>962</v>
      </c>
      <c r="Y93" s="726">
        <f>'Modelo Base'!F54</f>
        <v>0.6103933202029288</v>
      </c>
      <c r="Z93" s="726">
        <f>'Modelo Base'!G54</f>
        <v>0.53869870414082643</v>
      </c>
      <c r="AA93" s="726">
        <f>'Modelo Base'!H54</f>
        <v>0.42107324429007298</v>
      </c>
      <c r="AB93" s="726">
        <f>'Modelo Base'!I54</f>
        <v>0.49488623202952642</v>
      </c>
      <c r="AC93" s="726">
        <f>'Modelo Base'!J54</f>
        <v>0.56991629644802488</v>
      </c>
      <c r="AD93" s="726">
        <f>'Modelo Base'!K54</f>
        <v>0.53626180162138459</v>
      </c>
      <c r="AE93" s="726">
        <f>'Modelo Base'!L54</f>
        <v>0.52651520593567536</v>
      </c>
      <c r="AF93" s="726">
        <f>'Modelo Base'!M54</f>
        <v>0.7759816853462268</v>
      </c>
      <c r="AG93" s="726">
        <f>'Modelo Base'!N54</f>
        <v>0.78828090738911971</v>
      </c>
      <c r="AH93" s="726">
        <f>'Modelo Base'!O54</f>
        <v>0.79929989551475966</v>
      </c>
      <c r="AI93" s="726">
        <f>'Modelo Base'!P54</f>
        <v>0.80380124197548719</v>
      </c>
      <c r="AJ93" s="726">
        <f>'Modelo Base'!Q54</f>
        <v>0.81304978275956175</v>
      </c>
      <c r="AK93" s="729"/>
      <c r="AL93" s="729"/>
      <c r="AM93" s="729"/>
      <c r="AN93" s="729"/>
      <c r="AO93" s="729"/>
      <c r="AP93" s="729"/>
      <c r="AQ93" s="729"/>
      <c r="AR93" s="729"/>
      <c r="AS93" s="729"/>
      <c r="AT93" s="729"/>
      <c r="AU93" s="729"/>
      <c r="AV93" s="729"/>
      <c r="AW93" s="729"/>
      <c r="AX93" s="729"/>
      <c r="AY93" s="729"/>
    </row>
    <row r="94" spans="1:51">
      <c r="A94" s="674"/>
      <c r="B94" s="674"/>
      <c r="C94" s="674"/>
      <c r="D94" s="674"/>
      <c r="E94" s="674"/>
      <c r="F94" s="674"/>
      <c r="G94" s="674"/>
      <c r="H94" s="674"/>
      <c r="I94" s="674"/>
      <c r="J94" s="674"/>
      <c r="K94" s="674"/>
      <c r="L94" s="674"/>
      <c r="M94" s="674"/>
      <c r="N94" s="674"/>
      <c r="O94" s="674"/>
      <c r="P94" s="674"/>
      <c r="Q94" s="674"/>
      <c r="R94" s="674"/>
      <c r="S94" s="674"/>
      <c r="T94" s="674"/>
      <c r="U94" s="674"/>
      <c r="V94" s="674"/>
      <c r="W94" s="674"/>
      <c r="X94" s="674"/>
      <c r="Y94" s="674"/>
      <c r="Z94" s="674"/>
      <c r="AA94" s="674"/>
      <c r="AB94" s="674"/>
      <c r="AC94" s="674"/>
      <c r="AD94" s="674"/>
      <c r="AE94" s="674"/>
      <c r="AF94" s="674"/>
      <c r="AG94" s="674"/>
      <c r="AH94" s="674"/>
      <c r="AI94" s="674"/>
      <c r="AJ94" s="674"/>
      <c r="AK94" s="729"/>
      <c r="AL94" s="729"/>
      <c r="AM94" s="729"/>
      <c r="AN94" s="729"/>
      <c r="AO94" s="729"/>
      <c r="AP94" s="729"/>
      <c r="AQ94" s="729"/>
      <c r="AR94" s="729"/>
      <c r="AS94" s="729"/>
      <c r="AT94" s="729"/>
      <c r="AU94" s="729"/>
      <c r="AV94" s="729"/>
      <c r="AW94" s="729"/>
      <c r="AX94" s="729"/>
      <c r="AY94" s="729"/>
    </row>
    <row r="95" spans="1:51">
      <c r="A95" s="674"/>
      <c r="B95" s="674"/>
      <c r="C95" s="674"/>
      <c r="D95" s="674"/>
      <c r="E95" s="674"/>
      <c r="F95" s="674"/>
      <c r="G95" s="674"/>
      <c r="H95" s="674"/>
      <c r="I95" s="674"/>
      <c r="J95" s="674"/>
      <c r="K95" s="674"/>
      <c r="L95" s="674"/>
      <c r="M95" s="674"/>
      <c r="N95" s="674"/>
      <c r="O95" s="674"/>
      <c r="P95" s="674"/>
      <c r="Q95" s="674"/>
      <c r="R95" s="674"/>
      <c r="S95" s="674"/>
      <c r="T95" s="674"/>
      <c r="U95" s="674"/>
      <c r="V95" s="674"/>
      <c r="W95" s="674"/>
      <c r="X95" s="674"/>
      <c r="Y95" s="674"/>
      <c r="Z95" s="674"/>
      <c r="AA95" s="674"/>
      <c r="AB95" s="674"/>
      <c r="AC95" s="674"/>
      <c r="AD95" s="674"/>
      <c r="AE95" s="674"/>
      <c r="AF95" s="674"/>
      <c r="AG95" s="674"/>
      <c r="AH95" s="674"/>
      <c r="AI95" s="674"/>
      <c r="AJ95" s="674"/>
      <c r="AK95" s="729"/>
      <c r="AL95" s="729"/>
      <c r="AM95" s="729"/>
      <c r="AN95" s="729"/>
      <c r="AO95" s="729"/>
      <c r="AP95" s="729"/>
      <c r="AQ95" s="729"/>
      <c r="AR95" s="729"/>
      <c r="AS95" s="729"/>
      <c r="AT95" s="729"/>
      <c r="AU95" s="729"/>
      <c r="AV95" s="729"/>
      <c r="AW95" s="729"/>
      <c r="AX95" s="729"/>
      <c r="AY95" s="729"/>
    </row>
    <row r="96" spans="1:51" ht="30" customHeight="1">
      <c r="A96" s="467"/>
      <c r="B96" s="461"/>
      <c r="C96" s="461"/>
      <c r="D96" s="461"/>
      <c r="E96" s="461"/>
      <c r="F96" s="461"/>
      <c r="G96" s="461"/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R96" s="461"/>
      <c r="S96" s="461"/>
      <c r="T96" s="461"/>
      <c r="U96" s="461"/>
      <c r="V96" s="461"/>
      <c r="W96" s="461"/>
      <c r="X96" s="461" t="s">
        <v>961</v>
      </c>
      <c r="Y96" s="461" t="str">
        <f t="shared" ref="Y96:AJ96" si="18">Y$2</f>
        <v>ene-26</v>
      </c>
      <c r="Z96" s="461" t="str">
        <f t="shared" si="18"/>
        <v>feb-26</v>
      </c>
      <c r="AA96" s="461" t="str">
        <f t="shared" si="18"/>
        <v>mar-26</v>
      </c>
      <c r="AB96" s="461" t="str">
        <f t="shared" si="18"/>
        <v>abr-26</v>
      </c>
      <c r="AC96" s="461" t="str">
        <f t="shared" si="18"/>
        <v>may-26</v>
      </c>
      <c r="AD96" s="461" t="str">
        <f t="shared" si="18"/>
        <v>jun-26</v>
      </c>
      <c r="AE96" s="461" t="str">
        <f t="shared" si="18"/>
        <v>jul-26</v>
      </c>
      <c r="AF96" s="461" t="str">
        <f t="shared" si="18"/>
        <v>ago-26</v>
      </c>
      <c r="AG96" s="461" t="str">
        <f t="shared" si="18"/>
        <v>sep-26</v>
      </c>
      <c r="AH96" s="461" t="str">
        <f t="shared" si="18"/>
        <v>oct-26</v>
      </c>
      <c r="AI96" s="461" t="str">
        <f t="shared" si="18"/>
        <v>nov-26</v>
      </c>
      <c r="AJ96" s="461" t="str">
        <f t="shared" si="18"/>
        <v>dic-26</v>
      </c>
      <c r="AK96" s="729"/>
      <c r="AL96" s="729"/>
      <c r="AM96" s="729"/>
      <c r="AN96" s="729"/>
      <c r="AO96" s="729"/>
      <c r="AP96" s="729"/>
      <c r="AQ96" s="729"/>
      <c r="AR96" s="729"/>
      <c r="AS96" s="729"/>
      <c r="AT96" s="729"/>
      <c r="AU96" s="729"/>
      <c r="AV96" s="729"/>
      <c r="AW96" s="729"/>
      <c r="AX96" s="729"/>
      <c r="AY96" s="729"/>
    </row>
    <row r="97" spans="1:51">
      <c r="A97" s="674"/>
      <c r="B97" s="674"/>
      <c r="C97" s="674"/>
      <c r="D97" s="674"/>
      <c r="E97" s="674"/>
      <c r="F97" s="674"/>
      <c r="G97" s="674"/>
      <c r="H97" s="674"/>
      <c r="I97" s="674"/>
      <c r="J97" s="674"/>
      <c r="K97" s="674"/>
      <c r="L97" s="674"/>
      <c r="M97" s="674"/>
      <c r="N97" s="674"/>
      <c r="O97" s="674"/>
      <c r="P97" s="674"/>
      <c r="Q97" s="674"/>
      <c r="R97" s="674"/>
      <c r="S97" s="674"/>
      <c r="T97" s="674"/>
      <c r="U97" s="674"/>
      <c r="V97" s="674"/>
      <c r="W97" s="674"/>
      <c r="X97" s="674" t="s">
        <v>963</v>
      </c>
      <c r="Y97" s="726">
        <f>'Modelo Base'!F52/1000000</f>
        <v>238.53579400000001</v>
      </c>
      <c r="Z97" s="726">
        <f>'Modelo Base'!G52/1000000</f>
        <v>343.30879099999999</v>
      </c>
      <c r="AA97" s="726">
        <f>'Modelo Base'!H52/1000000</f>
        <v>455.63920100000001</v>
      </c>
      <c r="AB97" s="726">
        <f>'Modelo Base'!I52/1000000</f>
        <v>379.273594</v>
      </c>
      <c r="AC97" s="726">
        <f>'Modelo Base'!J52/1000000</f>
        <v>355.47052300000001</v>
      </c>
      <c r="AD97" s="726">
        <f>'Modelo Base'!K52/1000000</f>
        <v>348.47760599999998</v>
      </c>
      <c r="AE97" s="726">
        <f>'Modelo Base'!L52/1000000</f>
        <v>321.91783800000002</v>
      </c>
      <c r="AF97" s="726">
        <f>'Modelo Base'!M52/1000000</f>
        <v>352.52106041666661</v>
      </c>
      <c r="AG97" s="726">
        <f>'Modelo Base'!N52/1000000</f>
        <v>352.52106041666661</v>
      </c>
      <c r="AH97" s="726">
        <f>'Modelo Base'!O52/1000000</f>
        <v>352.52106041666661</v>
      </c>
      <c r="AI97" s="726">
        <f>'Modelo Base'!P52/1000000</f>
        <v>362.55021941666661</v>
      </c>
      <c r="AJ97" s="726">
        <f>'Modelo Base'!Q52/1000000</f>
        <v>362.55021941666661</v>
      </c>
      <c r="AK97" s="729"/>
      <c r="AL97" s="729"/>
      <c r="AM97" s="729"/>
      <c r="AN97" s="729"/>
      <c r="AO97" s="729"/>
      <c r="AP97" s="729"/>
      <c r="AQ97" s="729"/>
      <c r="AR97" s="729"/>
      <c r="AS97" s="729"/>
      <c r="AT97" s="729"/>
      <c r="AU97" s="729"/>
      <c r="AV97" s="729"/>
      <c r="AW97" s="729"/>
      <c r="AX97" s="729"/>
      <c r="AY97" s="729"/>
    </row>
    <row r="98" spans="1:51">
      <c r="A98" s="674"/>
      <c r="B98" s="674"/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74"/>
      <c r="Q98" s="674"/>
      <c r="R98" s="674"/>
      <c r="S98" s="674"/>
      <c r="T98" s="674"/>
      <c r="U98" s="674"/>
      <c r="V98" s="674"/>
      <c r="W98" s="674"/>
      <c r="X98" s="674" t="s">
        <v>964</v>
      </c>
      <c r="Y98" s="726">
        <f>SUM('Modelo Base'!F56:F58)/1000000</f>
        <v>303.73254600000001</v>
      </c>
      <c r="Z98" s="726">
        <f>SUM('Modelo Base'!G56:G58)/1000000</f>
        <v>354.77531399999998</v>
      </c>
      <c r="AA98" s="726">
        <f>SUM('Modelo Base'!H56:H58)/1000000</f>
        <v>353.64477900000003</v>
      </c>
      <c r="AB98" s="726">
        <f>SUM('Modelo Base'!I56:I58)/1000000</f>
        <v>366.75581599999998</v>
      </c>
      <c r="AC98" s="726">
        <f>SUM('Modelo Base'!J56:J58)/1000000</f>
        <v>358.03474799999998</v>
      </c>
      <c r="AD98" s="726">
        <f>SUM('Modelo Base'!K56:K58)/1000000</f>
        <v>368.00021299999997</v>
      </c>
      <c r="AE98" s="726">
        <f>SUM('Modelo Base'!L56:L58)/1000000</f>
        <v>328.63035200000002</v>
      </c>
      <c r="AF98" s="726">
        <f>SUM('Modelo Base'!M56:M58)/1000000</f>
        <v>479.30825258333323</v>
      </c>
      <c r="AG98" s="726">
        <f>SUM('Modelo Base'!N56:N58)/1000000</f>
        <v>479.30825258333323</v>
      </c>
      <c r="AH98" s="726">
        <f>SUM('Modelo Base'!O56:O58)/1000000</f>
        <v>479.30825258333323</v>
      </c>
      <c r="AI98" s="726">
        <f>SUM('Modelo Base'!P56:P58)/1000000</f>
        <v>486.08963758333323</v>
      </c>
      <c r="AJ98" s="726">
        <f>SUM('Modelo Base'!Q56:Q58)/1000000</f>
        <v>486.08963758333323</v>
      </c>
      <c r="AK98" s="729"/>
      <c r="AL98" s="729"/>
      <c r="AM98" s="729"/>
      <c r="AN98" s="729"/>
      <c r="AO98" s="729"/>
      <c r="AP98" s="729"/>
      <c r="AQ98" s="729"/>
      <c r="AR98" s="729"/>
      <c r="AS98" s="729"/>
      <c r="AT98" s="729"/>
      <c r="AU98" s="729"/>
      <c r="AV98" s="729"/>
      <c r="AW98" s="729"/>
      <c r="AX98" s="729"/>
      <c r="AY98" s="729"/>
    </row>
    <row r="99" spans="1:51">
      <c r="A99" s="674"/>
      <c r="B99" s="674"/>
      <c r="C99" s="674"/>
      <c r="D99" s="674"/>
      <c r="E99" s="674"/>
      <c r="F99" s="674"/>
      <c r="G99" s="674"/>
      <c r="H99" s="674"/>
      <c r="I99" s="674"/>
      <c r="J99" s="674"/>
      <c r="K99" s="674"/>
      <c r="L99" s="674"/>
      <c r="M99" s="674"/>
      <c r="N99" s="674"/>
      <c r="O99" s="674"/>
      <c r="P99" s="674"/>
      <c r="Q99" s="674"/>
      <c r="R99" s="674"/>
      <c r="S99" s="674"/>
      <c r="T99" s="674"/>
      <c r="U99" s="674"/>
      <c r="V99" s="674"/>
      <c r="W99" s="674"/>
      <c r="X99" s="674"/>
      <c r="Y99" s="674"/>
      <c r="Z99" s="674"/>
      <c r="AA99" s="674"/>
      <c r="AB99" s="674"/>
      <c r="AC99" s="674"/>
      <c r="AD99" s="674"/>
      <c r="AE99" s="674"/>
      <c r="AF99" s="674"/>
      <c r="AG99" s="674"/>
      <c r="AH99" s="674"/>
      <c r="AI99" s="674"/>
      <c r="AJ99" s="674"/>
      <c r="AK99" s="729"/>
      <c r="AL99" s="729"/>
      <c r="AM99" s="729"/>
      <c r="AN99" s="729"/>
      <c r="AO99" s="729"/>
      <c r="AP99" s="729"/>
      <c r="AQ99" s="729"/>
      <c r="AR99" s="729"/>
      <c r="AS99" s="729"/>
      <c r="AT99" s="729"/>
      <c r="AU99" s="729"/>
      <c r="AV99" s="729"/>
      <c r="AW99" s="729"/>
      <c r="AX99" s="729"/>
      <c r="AY99" s="729"/>
    </row>
    <row r="100" spans="1:51">
      <c r="A100" s="674"/>
      <c r="B100" s="674"/>
      <c r="C100" s="674"/>
      <c r="D100" s="674"/>
      <c r="E100" s="674"/>
      <c r="F100" s="674"/>
      <c r="G100" s="674"/>
      <c r="H100" s="674"/>
      <c r="I100" s="674"/>
      <c r="J100" s="674"/>
      <c r="K100" s="674"/>
      <c r="L100" s="674"/>
      <c r="M100" s="674"/>
      <c r="N100" s="674"/>
      <c r="O100" s="674"/>
      <c r="P100" s="674"/>
      <c r="Q100" s="674"/>
      <c r="R100" s="674"/>
      <c r="S100" s="674"/>
      <c r="T100" s="674"/>
      <c r="U100" s="674"/>
      <c r="V100" s="674"/>
      <c r="W100" s="674"/>
      <c r="X100" s="674"/>
      <c r="Y100" s="674"/>
      <c r="Z100" s="674"/>
      <c r="AA100" s="674"/>
      <c r="AB100" s="674"/>
      <c r="AC100" s="674"/>
      <c r="AD100" s="674"/>
      <c r="AE100" s="674"/>
      <c r="AF100" s="674"/>
      <c r="AG100" s="674"/>
      <c r="AH100" s="674"/>
      <c r="AI100" s="674"/>
      <c r="AJ100" s="674"/>
      <c r="AK100" s="729"/>
      <c r="AL100" s="729"/>
      <c r="AM100" s="729"/>
      <c r="AN100" s="729"/>
      <c r="AO100" s="729"/>
      <c r="AP100" s="729"/>
      <c r="AQ100" s="729"/>
      <c r="AR100" s="729"/>
      <c r="AS100" s="729"/>
      <c r="AT100" s="729"/>
      <c r="AU100" s="729"/>
      <c r="AV100" s="729"/>
      <c r="AW100" s="729"/>
      <c r="AX100" s="729"/>
      <c r="AY100" s="729"/>
    </row>
    <row r="101" spans="1:51">
      <c r="A101" s="674"/>
      <c r="B101" s="674"/>
      <c r="C101" s="674"/>
      <c r="D101" s="674"/>
      <c r="E101" s="674"/>
      <c r="F101" s="674"/>
      <c r="G101" s="674"/>
      <c r="H101" s="674"/>
      <c r="I101" s="674"/>
      <c r="J101" s="674"/>
      <c r="K101" s="674"/>
      <c r="L101" s="674"/>
      <c r="M101" s="674"/>
      <c r="N101" s="674"/>
      <c r="O101" s="674"/>
      <c r="P101" s="674"/>
      <c r="Q101" s="674"/>
      <c r="R101" s="674"/>
      <c r="S101" s="674"/>
      <c r="T101" s="674"/>
      <c r="U101" s="674"/>
      <c r="V101" s="674"/>
      <c r="W101" s="674"/>
      <c r="X101" s="674"/>
      <c r="Y101" s="674"/>
      <c r="Z101" s="674"/>
      <c r="AA101" s="674"/>
      <c r="AB101" s="674"/>
      <c r="AC101" s="674"/>
      <c r="AD101" s="674"/>
      <c r="AE101" s="674"/>
      <c r="AF101" s="674"/>
      <c r="AG101" s="674"/>
      <c r="AH101" s="674"/>
      <c r="AI101" s="674"/>
      <c r="AJ101" s="674"/>
      <c r="AK101" s="729"/>
      <c r="AL101" s="729"/>
      <c r="AM101" s="729"/>
      <c r="AN101" s="729"/>
      <c r="AO101" s="729"/>
      <c r="AP101" s="729"/>
      <c r="AQ101" s="729"/>
      <c r="AR101" s="729"/>
      <c r="AS101" s="729"/>
      <c r="AT101" s="729"/>
      <c r="AU101" s="729"/>
      <c r="AV101" s="729"/>
      <c r="AW101" s="729"/>
      <c r="AX101" s="729"/>
      <c r="AY101" s="729"/>
    </row>
    <row r="102" spans="1:51" ht="30" customHeight="1">
      <c r="A102" s="467"/>
      <c r="B102" s="461"/>
      <c r="C102" s="461"/>
      <c r="D102" s="461"/>
      <c r="E102" s="461"/>
      <c r="F102" s="461"/>
      <c r="G102" s="46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R102" s="461"/>
      <c r="S102" s="461"/>
      <c r="T102" s="461"/>
      <c r="U102" s="461"/>
      <c r="V102" s="461"/>
      <c r="W102" s="461"/>
      <c r="X102" s="461" t="s">
        <v>961</v>
      </c>
      <c r="Y102" s="461" t="str">
        <f t="shared" ref="Y102:AJ102" si="19">Y$2</f>
        <v>ene-26</v>
      </c>
      <c r="Z102" s="461" t="str">
        <f t="shared" si="19"/>
        <v>feb-26</v>
      </c>
      <c r="AA102" s="461" t="str">
        <f t="shared" si="19"/>
        <v>mar-26</v>
      </c>
      <c r="AB102" s="461" t="str">
        <f t="shared" si="19"/>
        <v>abr-26</v>
      </c>
      <c r="AC102" s="461" t="str">
        <f t="shared" si="19"/>
        <v>may-26</v>
      </c>
      <c r="AD102" s="461" t="str">
        <f t="shared" si="19"/>
        <v>jun-26</v>
      </c>
      <c r="AE102" s="461" t="str">
        <f t="shared" si="19"/>
        <v>jul-26</v>
      </c>
      <c r="AF102" s="461" t="str">
        <f t="shared" si="19"/>
        <v>ago-26</v>
      </c>
      <c r="AG102" s="461" t="str">
        <f t="shared" si="19"/>
        <v>sep-26</v>
      </c>
      <c r="AH102" s="461" t="str">
        <f t="shared" si="19"/>
        <v>oct-26</v>
      </c>
      <c r="AI102" s="461" t="str">
        <f t="shared" si="19"/>
        <v>nov-26</v>
      </c>
      <c r="AJ102" s="461" t="str">
        <f t="shared" si="19"/>
        <v>dic-26</v>
      </c>
      <c r="AK102" s="729"/>
      <c r="AL102" s="729"/>
      <c r="AM102" s="729"/>
      <c r="AN102" s="729"/>
      <c r="AO102" s="729"/>
      <c r="AP102" s="729"/>
      <c r="AQ102" s="729"/>
      <c r="AR102" s="729"/>
      <c r="AS102" s="729"/>
      <c r="AT102" s="729"/>
      <c r="AU102" s="729"/>
      <c r="AV102" s="729"/>
      <c r="AW102" s="729"/>
      <c r="AX102" s="729"/>
      <c r="AY102" s="729"/>
    </row>
    <row r="103" spans="1:51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4"/>
      <c r="P103" s="674"/>
      <c r="Q103" s="674"/>
      <c r="R103" s="674"/>
      <c r="S103" s="674"/>
      <c r="T103" s="674"/>
      <c r="U103" s="674"/>
      <c r="V103" s="674"/>
      <c r="W103" s="674"/>
      <c r="X103" s="674" t="s">
        <v>965</v>
      </c>
      <c r="Y103" s="748">
        <f>'Modelo Base'!F452/1000000</f>
        <v>0</v>
      </c>
      <c r="Z103" s="726">
        <f>'Modelo Base'!G452/1000000</f>
        <v>74.229877999999999</v>
      </c>
      <c r="AA103" s="726">
        <f>'Modelo Base'!H452/1000000</f>
        <v>36.400677000000002</v>
      </c>
      <c r="AB103" s="726">
        <f>'Modelo Base'!I452/1000000</f>
        <v>0</v>
      </c>
      <c r="AC103" s="748">
        <f>'Modelo Base'!J452/1000000</f>
        <v>0</v>
      </c>
      <c r="AD103" s="726">
        <f>'Modelo Base'!K452/1000000</f>
        <v>116.01763800000001</v>
      </c>
      <c r="AE103" s="726">
        <f>'Modelo Base'!L452/1000000</f>
        <v>57.192073999999998</v>
      </c>
      <c r="AF103" s="748">
        <f>'Modelo Base'!M452/1000000</f>
        <v>1849.4543261575398</v>
      </c>
      <c r="AG103" s="748">
        <f>'Modelo Base'!N452/1000000</f>
        <v>1535.9378777098336</v>
      </c>
      <c r="AH103" s="748">
        <f>'Modelo Base'!O452/1000000</f>
        <v>1162.9808324913813</v>
      </c>
      <c r="AI103" s="726">
        <f>'Modelo Base'!P452/1000000</f>
        <v>730.01020247931524</v>
      </c>
      <c r="AJ103" s="726">
        <f>'Modelo Base'!Q452/1000000</f>
        <v>249.09984232448102</v>
      </c>
      <c r="AK103" s="729"/>
      <c r="AL103" s="729"/>
      <c r="AM103" s="729"/>
      <c r="AN103" s="729"/>
      <c r="AO103" s="729"/>
      <c r="AP103" s="729"/>
      <c r="AQ103" s="729"/>
      <c r="AR103" s="729"/>
      <c r="AS103" s="729"/>
      <c r="AT103" s="729"/>
      <c r="AU103" s="729"/>
      <c r="AV103" s="729"/>
      <c r="AW103" s="729"/>
      <c r="AX103" s="729"/>
      <c r="AY103" s="729"/>
    </row>
    <row r="104" spans="1:51">
      <c r="A104" s="674"/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74"/>
      <c r="AB104" s="674"/>
      <c r="AC104" s="674"/>
      <c r="AD104" s="674"/>
      <c r="AE104" s="674"/>
      <c r="AF104" s="674"/>
      <c r="AG104" s="674"/>
      <c r="AH104" s="674"/>
      <c r="AI104" s="674"/>
      <c r="AJ104" s="674"/>
      <c r="AK104" s="729"/>
      <c r="AL104" s="729"/>
      <c r="AM104" s="729"/>
      <c r="AN104" s="729"/>
      <c r="AO104" s="729"/>
      <c r="AP104" s="729"/>
      <c r="AQ104" s="729"/>
      <c r="AR104" s="729"/>
      <c r="AS104" s="729"/>
      <c r="AT104" s="729"/>
      <c r="AU104" s="729"/>
      <c r="AV104" s="729"/>
      <c r="AW104" s="729"/>
      <c r="AX104" s="729"/>
      <c r="AY104" s="729"/>
    </row>
    <row r="105" spans="1:51">
      <c r="A105" s="674"/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74"/>
      <c r="AB105" s="674"/>
      <c r="AC105" s="674"/>
      <c r="AD105" s="674"/>
      <c r="AE105" s="674"/>
      <c r="AF105" s="674"/>
      <c r="AG105" s="674"/>
      <c r="AH105" s="674"/>
      <c r="AI105" s="674"/>
      <c r="AJ105" s="674"/>
      <c r="AK105" s="729"/>
      <c r="AL105" s="729"/>
      <c r="AM105" s="729"/>
      <c r="AN105" s="729"/>
      <c r="AO105" s="729"/>
      <c r="AP105" s="729"/>
      <c r="AQ105" s="729"/>
      <c r="AR105" s="729"/>
      <c r="AS105" s="729"/>
      <c r="AT105" s="729"/>
      <c r="AU105" s="729"/>
      <c r="AV105" s="729"/>
      <c r="AW105" s="729"/>
      <c r="AX105" s="729"/>
      <c r="AY105" s="729"/>
    </row>
    <row r="106" spans="1:51" ht="30" customHeight="1">
      <c r="A106" s="467"/>
      <c r="B106" s="461"/>
      <c r="C106" s="461"/>
      <c r="D106" s="461"/>
      <c r="E106" s="461"/>
      <c r="F106" s="461"/>
      <c r="G106" s="461"/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R106" s="461"/>
      <c r="S106" s="461"/>
      <c r="T106" s="461"/>
      <c r="U106" s="461"/>
      <c r="V106" s="461"/>
      <c r="W106" s="461"/>
      <c r="X106" s="461" t="s">
        <v>961</v>
      </c>
      <c r="Y106" s="461" t="str">
        <f t="shared" ref="Y106:AJ106" si="20">Y$2</f>
        <v>ene-26</v>
      </c>
      <c r="Z106" s="461" t="str">
        <f t="shared" si="20"/>
        <v>feb-26</v>
      </c>
      <c r="AA106" s="461" t="str">
        <f t="shared" si="20"/>
        <v>mar-26</v>
      </c>
      <c r="AB106" s="461" t="str">
        <f t="shared" si="20"/>
        <v>abr-26</v>
      </c>
      <c r="AC106" s="461" t="str">
        <f t="shared" si="20"/>
        <v>may-26</v>
      </c>
      <c r="AD106" s="461" t="str">
        <f t="shared" si="20"/>
        <v>jun-26</v>
      </c>
      <c r="AE106" s="461" t="str">
        <f t="shared" si="20"/>
        <v>jul-26</v>
      </c>
      <c r="AF106" s="461" t="str">
        <f t="shared" si="20"/>
        <v>ago-26</v>
      </c>
      <c r="AG106" s="461" t="str">
        <f t="shared" si="20"/>
        <v>sep-26</v>
      </c>
      <c r="AH106" s="461" t="str">
        <f t="shared" si="20"/>
        <v>oct-26</v>
      </c>
      <c r="AI106" s="461" t="str">
        <f t="shared" si="20"/>
        <v>nov-26</v>
      </c>
      <c r="AJ106" s="461" t="str">
        <f t="shared" si="20"/>
        <v>dic-26</v>
      </c>
      <c r="AK106" s="729"/>
      <c r="AL106" s="729"/>
      <c r="AM106" s="729"/>
      <c r="AN106" s="729"/>
      <c r="AO106" s="729"/>
      <c r="AP106" s="729"/>
      <c r="AQ106" s="729"/>
      <c r="AR106" s="729"/>
      <c r="AS106" s="729"/>
      <c r="AT106" s="729"/>
      <c r="AU106" s="729"/>
      <c r="AV106" s="729"/>
      <c r="AW106" s="729"/>
      <c r="AX106" s="729"/>
      <c r="AY106" s="729"/>
    </row>
    <row r="107" spans="1:51" ht="15" thickBot="1">
      <c r="A107" s="302" t="s">
        <v>952</v>
      </c>
      <c r="B107" s="302"/>
      <c r="C107" s="302"/>
      <c r="D107" s="302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674"/>
      <c r="T107" s="674"/>
      <c r="U107" s="674"/>
      <c r="V107" s="674"/>
      <c r="W107" s="674"/>
      <c r="X107" s="674" t="s">
        <v>966</v>
      </c>
      <c r="Y107" s="748">
        <f>'Modelo Base'!F113/1000000</f>
        <v>5014.8351750000002</v>
      </c>
      <c r="Z107" s="748">
        <f>'Modelo Base'!G113/1000000</f>
        <v>5250.0737929999996</v>
      </c>
      <c r="AA107" s="748">
        <f>'Modelo Base'!H113/1000000</f>
        <v>5182.1901049999997</v>
      </c>
      <c r="AB107" s="748">
        <f>'Modelo Base'!I113/1000000</f>
        <v>5140.184816</v>
      </c>
      <c r="AC107" s="748">
        <f>'Modelo Base'!J113/1000000</f>
        <v>5320.1716649999998</v>
      </c>
      <c r="AD107" s="748">
        <f>'Modelo Base'!K113/1000000</f>
        <v>5374.856769</v>
      </c>
      <c r="AE107" s="748">
        <f>'Modelo Base'!L113/1000000</f>
        <v>5296.4249920000002</v>
      </c>
      <c r="AF107" s="748">
        <f>'Modelo Base'!M113/1000000</f>
        <v>7933.7481120000002</v>
      </c>
      <c r="AG107" s="748">
        <f>'Modelo Base'!N113/1000000</f>
        <v>8189.711112</v>
      </c>
      <c r="AH107" s="748">
        <f>'Modelo Base'!O113/1000000</f>
        <v>8445.6741120000006</v>
      </c>
      <c r="AI107" s="748">
        <f>'Modelo Base'!P113/1000000</f>
        <v>8701.6371120000003</v>
      </c>
      <c r="AJ107" s="748">
        <f>'Modelo Base'!Q113/1000000</f>
        <v>8957.6001120000001</v>
      </c>
      <c r="AK107" s="729"/>
      <c r="AL107" s="729"/>
      <c r="AM107" s="729"/>
      <c r="AN107" s="729"/>
      <c r="AO107" s="729"/>
      <c r="AP107" s="729"/>
      <c r="AQ107" s="729"/>
      <c r="AR107" s="729"/>
      <c r="AS107" s="729"/>
      <c r="AT107" s="729"/>
      <c r="AU107" s="729"/>
      <c r="AV107" s="729"/>
      <c r="AW107" s="729"/>
      <c r="AX107" s="729"/>
      <c r="AY107" s="729"/>
    </row>
    <row r="108" spans="1:51" ht="15" thickTop="1">
      <c r="A108" s="674"/>
      <c r="B108" s="674"/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  <c r="M108" s="674"/>
      <c r="N108" s="674"/>
      <c r="O108" s="674"/>
      <c r="P108" s="674"/>
      <c r="Q108" s="674"/>
      <c r="R108" s="674"/>
      <c r="S108" s="674"/>
      <c r="T108" s="674"/>
      <c r="U108" s="674"/>
      <c r="V108" s="674"/>
      <c r="W108" s="674"/>
      <c r="X108" s="674" t="s">
        <v>967</v>
      </c>
      <c r="Y108" s="748">
        <f>'Modelo Base'!F118/1000000</f>
        <v>516.47832100000005</v>
      </c>
      <c r="Z108" s="748">
        <f>'Modelo Base'!G118/1000000</f>
        <v>495.57399700000002</v>
      </c>
      <c r="AA108" s="748">
        <f>'Modelo Base'!H118/1000000</f>
        <v>596.60814900000003</v>
      </c>
      <c r="AB108" s="748">
        <f>'Modelo Base'!I118/1000000</f>
        <v>588.33840799999996</v>
      </c>
      <c r="AC108" s="726">
        <f>'Modelo Base'!J118/1000000</f>
        <v>524.82446600000003</v>
      </c>
      <c r="AD108" s="726">
        <f>'Modelo Base'!K118/1000000</f>
        <v>506.71640100000002</v>
      </c>
      <c r="AE108" s="726">
        <f>'Modelo Base'!L118/1000000</f>
        <v>422.989778</v>
      </c>
      <c r="AF108" s="726">
        <f>'Modelo Base'!M118/1000000</f>
        <v>870.35851953761085</v>
      </c>
      <c r="AG108" s="726">
        <f>'Modelo Base'!N118/1000000</f>
        <v>902.33327990972248</v>
      </c>
      <c r="AH108" s="726">
        <f>'Modelo Base'!O118/1000000</f>
        <v>934.30838385896561</v>
      </c>
      <c r="AI108" s="726">
        <f>'Modelo Base'!P118/1000000</f>
        <v>977.78401085905455</v>
      </c>
      <c r="AJ108" s="748">
        <f>'Modelo Base'!Q118/1000000</f>
        <v>1009.7597848791422</v>
      </c>
      <c r="AK108" s="729"/>
      <c r="AL108" s="729"/>
      <c r="AM108" s="729"/>
      <c r="AN108" s="729"/>
      <c r="AO108" s="729"/>
      <c r="AP108" s="729"/>
      <c r="AQ108" s="729"/>
      <c r="AR108" s="729"/>
      <c r="AS108" s="729"/>
      <c r="AT108" s="729"/>
      <c r="AU108" s="729"/>
      <c r="AV108" s="729"/>
      <c r="AW108" s="729"/>
      <c r="AX108" s="729"/>
      <c r="AY108" s="729"/>
    </row>
    <row r="109" spans="1:51">
      <c r="A109" s="674"/>
      <c r="B109" s="674"/>
      <c r="C109" s="674"/>
      <c r="D109" s="674"/>
      <c r="E109" s="674"/>
      <c r="F109" s="674"/>
      <c r="G109" s="674"/>
      <c r="H109" s="674"/>
      <c r="I109" s="674"/>
      <c r="J109" s="674"/>
      <c r="K109" s="674"/>
      <c r="L109" s="674"/>
      <c r="M109" s="674"/>
      <c r="N109" s="674"/>
      <c r="O109" s="674"/>
      <c r="P109" s="674"/>
      <c r="Q109" s="674"/>
      <c r="R109" s="674"/>
      <c r="S109" s="674"/>
      <c r="T109" s="674"/>
      <c r="U109" s="674"/>
      <c r="V109" s="674"/>
      <c r="W109" s="674"/>
      <c r="X109" s="674"/>
      <c r="Y109" s="674"/>
      <c r="Z109" s="674"/>
      <c r="AA109" s="674"/>
      <c r="AB109" s="674"/>
      <c r="AC109" s="674"/>
      <c r="AD109" s="674"/>
      <c r="AE109" s="674"/>
      <c r="AF109" s="674"/>
      <c r="AG109" s="674"/>
      <c r="AH109" s="674"/>
      <c r="AI109" s="674"/>
      <c r="AJ109" s="674"/>
      <c r="AK109" s="729"/>
      <c r="AL109" s="729"/>
      <c r="AM109" s="729"/>
      <c r="AN109" s="729"/>
      <c r="AO109" s="729"/>
      <c r="AP109" s="729"/>
      <c r="AQ109" s="729"/>
      <c r="AR109" s="729"/>
      <c r="AS109" s="729"/>
      <c r="AT109" s="729"/>
      <c r="AU109" s="729"/>
      <c r="AV109" s="729"/>
      <c r="AW109" s="729"/>
      <c r="AX109" s="729"/>
      <c r="AY109" s="729"/>
    </row>
    <row r="110" spans="1:51">
      <c r="A110" s="674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4"/>
      <c r="P110" s="674"/>
      <c r="Q110" s="674"/>
      <c r="R110" s="674"/>
      <c r="S110" s="674"/>
      <c r="T110" s="674"/>
      <c r="U110" s="674"/>
      <c r="V110" s="674"/>
      <c r="W110" s="674"/>
      <c r="X110" s="674"/>
      <c r="Y110" s="674"/>
      <c r="Z110" s="674"/>
      <c r="AA110" s="674"/>
      <c r="AB110" s="674"/>
      <c r="AC110" s="674"/>
      <c r="AD110" s="674"/>
      <c r="AE110" s="674"/>
      <c r="AF110" s="674"/>
      <c r="AG110" s="674"/>
      <c r="AH110" s="674"/>
      <c r="AI110" s="674"/>
      <c r="AJ110" s="674"/>
      <c r="AK110" s="729"/>
      <c r="AL110" s="729"/>
      <c r="AM110" s="729"/>
      <c r="AN110" s="729"/>
      <c r="AO110" s="729"/>
      <c r="AP110" s="729"/>
      <c r="AQ110" s="729"/>
      <c r="AR110" s="729"/>
      <c r="AS110" s="729"/>
      <c r="AT110" s="729"/>
      <c r="AU110" s="729"/>
      <c r="AV110" s="729"/>
      <c r="AW110" s="729"/>
      <c r="AX110" s="729"/>
      <c r="AY110" s="729"/>
    </row>
    <row r="111" spans="1:51" ht="30" customHeight="1">
      <c r="A111" s="467"/>
      <c r="B111" s="461"/>
      <c r="C111" s="461"/>
      <c r="D111" s="461"/>
      <c r="E111" s="461"/>
      <c r="F111" s="461"/>
      <c r="G111" s="461"/>
      <c r="H111" s="461"/>
      <c r="I111" s="461"/>
      <c r="J111" s="461"/>
      <c r="K111" s="461"/>
      <c r="L111" s="461"/>
      <c r="M111" s="461"/>
      <c r="N111" s="461"/>
      <c r="O111" s="461"/>
      <c r="P111" s="461"/>
      <c r="Q111" s="461"/>
      <c r="R111" s="461"/>
      <c r="S111" s="461"/>
      <c r="T111" s="461"/>
      <c r="U111" s="461"/>
      <c r="V111" s="461"/>
      <c r="W111" s="461"/>
      <c r="X111" s="461" t="s">
        <v>961</v>
      </c>
      <c r="Y111" s="461" t="str">
        <f t="shared" ref="Y111:AJ111" si="21">Y$2</f>
        <v>ene-26</v>
      </c>
      <c r="Z111" s="461" t="str">
        <f t="shared" si="21"/>
        <v>feb-26</v>
      </c>
      <c r="AA111" s="461" t="str">
        <f t="shared" si="21"/>
        <v>mar-26</v>
      </c>
      <c r="AB111" s="461" t="str">
        <f t="shared" si="21"/>
        <v>abr-26</v>
      </c>
      <c r="AC111" s="461" t="str">
        <f t="shared" si="21"/>
        <v>may-26</v>
      </c>
      <c r="AD111" s="461" t="str">
        <f t="shared" si="21"/>
        <v>jun-26</v>
      </c>
      <c r="AE111" s="461" t="str">
        <f t="shared" si="21"/>
        <v>jul-26</v>
      </c>
      <c r="AF111" s="461" t="str">
        <f t="shared" si="21"/>
        <v>ago-26</v>
      </c>
      <c r="AG111" s="461" t="str">
        <f t="shared" si="21"/>
        <v>sep-26</v>
      </c>
      <c r="AH111" s="461" t="str">
        <f t="shared" si="21"/>
        <v>oct-26</v>
      </c>
      <c r="AI111" s="461" t="str">
        <f t="shared" si="21"/>
        <v>nov-26</v>
      </c>
      <c r="AJ111" s="461" t="str">
        <f t="shared" si="21"/>
        <v>dic-26</v>
      </c>
      <c r="AK111" s="729"/>
      <c r="AL111" s="729"/>
      <c r="AM111" s="729"/>
      <c r="AN111" s="729"/>
      <c r="AO111" s="729"/>
      <c r="AP111" s="729"/>
      <c r="AQ111" s="729"/>
      <c r="AR111" s="729"/>
      <c r="AS111" s="729"/>
      <c r="AT111" s="729"/>
      <c r="AU111" s="729"/>
      <c r="AV111" s="729"/>
      <c r="AW111" s="729"/>
      <c r="AX111" s="729"/>
      <c r="AY111" s="729"/>
    </row>
    <row r="112" spans="1:51">
      <c r="A112" s="674"/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 t="s">
        <v>968</v>
      </c>
      <c r="Y112" s="726">
        <f>IF('Modelo Base'!$S$193=0,0,('Modelo Base'!F133+'Modelo Base'!F144)/'Modelo Base'!$S$193)</f>
        <v>1.4958930482153505E-2</v>
      </c>
      <c r="Z112" s="726">
        <f>IF('Modelo Base'!$S$193=0,0,('Modelo Base'!G133+'Modelo Base'!G144)/'Modelo Base'!$S$193)</f>
        <v>2.083321469499242E-2</v>
      </c>
      <c r="AA112" s="726">
        <f>IF('Modelo Base'!$S$193=0,0,('Modelo Base'!H133+'Modelo Base'!H144)/'Modelo Base'!$S$193)</f>
        <v>2.1413802618660358E-2</v>
      </c>
      <c r="AB112" s="726">
        <f>IF('Modelo Base'!$S$193=0,0,('Modelo Base'!I133+'Modelo Base'!I144)/'Modelo Base'!$S$193)</f>
        <v>2.3134776766935716E-2</v>
      </c>
      <c r="AC112" s="726">
        <f>IF('Modelo Base'!$S$193=0,0,('Modelo Base'!J133+'Modelo Base'!J144)/'Modelo Base'!$S$193)</f>
        <v>0.56360279141693692</v>
      </c>
      <c r="AD112" s="726">
        <f>IF('Modelo Base'!$S$193=0,0,('Modelo Base'!K133+'Modelo Base'!K144)/'Modelo Base'!$S$193)</f>
        <v>0.56007420547676756</v>
      </c>
      <c r="AE112" s="726">
        <f>IF('Modelo Base'!$S$193=0,0,('Modelo Base'!L133+'Modelo Base'!L144)/'Modelo Base'!$S$193)</f>
        <v>0.56007420547676756</v>
      </c>
      <c r="AF112" s="726">
        <f>IF('Modelo Base'!$S$193=0,0,('Modelo Base'!M133+'Modelo Base'!M144)/'Modelo Base'!$S$193)</f>
        <v>0.56007420547676756</v>
      </c>
      <c r="AG112" s="726">
        <f>IF('Modelo Base'!$S$193=0,0,('Modelo Base'!N133+'Modelo Base'!N144)/'Modelo Base'!$S$193)</f>
        <v>0.56007420547676756</v>
      </c>
      <c r="AH112" s="726">
        <f>IF('Modelo Base'!$S$193=0,0,('Modelo Base'!O133+'Modelo Base'!O144)/'Modelo Base'!$S$193)</f>
        <v>0.56007420547676756</v>
      </c>
      <c r="AI112" s="726">
        <f>IF('Modelo Base'!$S$193=0,0,('Modelo Base'!P133+'Modelo Base'!P144)/'Modelo Base'!$S$193)</f>
        <v>0.56007420547676756</v>
      </c>
      <c r="AJ112" s="726">
        <f>IF('Modelo Base'!$S$193=0,0,('Modelo Base'!Q133+'Modelo Base'!Q144)/'Modelo Base'!$S$193)</f>
        <v>0.56007420547676756</v>
      </c>
      <c r="AK112" s="729"/>
      <c r="AL112" s="729"/>
      <c r="AM112" s="729"/>
      <c r="AN112" s="729"/>
      <c r="AO112" s="729"/>
      <c r="AP112" s="729"/>
      <c r="AQ112" s="729"/>
      <c r="AR112" s="729"/>
      <c r="AS112" s="729"/>
      <c r="AT112" s="729"/>
      <c r="AU112" s="729"/>
      <c r="AV112" s="729"/>
      <c r="AW112" s="729"/>
      <c r="AX112" s="729"/>
      <c r="AY112" s="729"/>
    </row>
    <row r="113" spans="1:51">
      <c r="A113" s="674"/>
      <c r="B113" s="674"/>
      <c r="C113" s="674"/>
      <c r="D113" s="674"/>
      <c r="E113" s="674"/>
      <c r="F113" s="674"/>
      <c r="G113" s="674"/>
      <c r="H113" s="674"/>
      <c r="I113" s="674"/>
      <c r="J113" s="674"/>
      <c r="K113" s="674"/>
      <c r="L113" s="674"/>
      <c r="M113" s="674"/>
      <c r="N113" s="674"/>
      <c r="O113" s="674"/>
      <c r="P113" s="674"/>
      <c r="Q113" s="674"/>
      <c r="R113" s="674"/>
      <c r="S113" s="674"/>
      <c r="T113" s="674"/>
      <c r="U113" s="674"/>
      <c r="V113" s="674"/>
      <c r="W113" s="674"/>
      <c r="X113" s="674"/>
      <c r="Y113" s="674"/>
      <c r="Z113" s="674"/>
      <c r="AA113" s="674"/>
      <c r="AB113" s="674"/>
      <c r="AC113" s="674"/>
      <c r="AD113" s="674"/>
      <c r="AE113" s="674"/>
      <c r="AF113" s="674"/>
      <c r="AG113" s="674"/>
      <c r="AH113" s="674"/>
      <c r="AI113" s="674"/>
      <c r="AJ113" s="674"/>
      <c r="AK113" s="729"/>
      <c r="AL113" s="729"/>
      <c r="AM113" s="729"/>
      <c r="AN113" s="729"/>
      <c r="AO113" s="729"/>
      <c r="AP113" s="729"/>
      <c r="AQ113" s="729"/>
      <c r="AR113" s="729"/>
      <c r="AS113" s="729"/>
      <c r="AT113" s="729"/>
      <c r="AU113" s="729"/>
      <c r="AV113" s="729"/>
      <c r="AW113" s="729"/>
      <c r="AX113" s="729"/>
      <c r="AY113" s="729"/>
    </row>
    <row r="114" spans="1:51">
      <c r="A114" s="674"/>
      <c r="B114" s="674"/>
      <c r="C114" s="674"/>
      <c r="D114" s="674"/>
      <c r="E114" s="674"/>
      <c r="F114" s="674"/>
      <c r="G114" s="674"/>
      <c r="H114" s="674"/>
      <c r="I114" s="674"/>
      <c r="J114" s="674"/>
      <c r="K114" s="674"/>
      <c r="L114" s="674"/>
      <c r="M114" s="674"/>
      <c r="N114" s="674"/>
      <c r="O114" s="674"/>
      <c r="P114" s="674"/>
      <c r="Q114" s="674"/>
      <c r="R114" s="674"/>
      <c r="S114" s="674"/>
      <c r="T114" s="674"/>
      <c r="U114" s="674"/>
      <c r="V114" s="674"/>
      <c r="W114" s="674"/>
      <c r="X114" s="674"/>
      <c r="Y114" s="674"/>
      <c r="Z114" s="674"/>
      <c r="AA114" s="674"/>
      <c r="AB114" s="674"/>
      <c r="AC114" s="674"/>
      <c r="AD114" s="674"/>
      <c r="AE114" s="674"/>
      <c r="AF114" s="674"/>
      <c r="AG114" s="674"/>
      <c r="AH114" s="674"/>
      <c r="AI114" s="674"/>
      <c r="AJ114" s="674"/>
      <c r="AK114" s="729"/>
      <c r="AL114" s="729"/>
      <c r="AM114" s="729"/>
      <c r="AN114" s="729"/>
      <c r="AO114" s="729"/>
      <c r="AP114" s="729"/>
      <c r="AQ114" s="729"/>
      <c r="AR114" s="729"/>
      <c r="AS114" s="729"/>
      <c r="AT114" s="729"/>
      <c r="AU114" s="729"/>
      <c r="AV114" s="729"/>
      <c r="AW114" s="729"/>
      <c r="AX114" s="729"/>
      <c r="AY114" s="729"/>
    </row>
    <row r="115" spans="1:51">
      <c r="A115" s="674"/>
      <c r="B115" s="674"/>
      <c r="C115" s="674"/>
      <c r="D115" s="674"/>
      <c r="E115" s="674"/>
      <c r="F115" s="674"/>
      <c r="G115" s="674"/>
      <c r="H115" s="674"/>
      <c r="I115" s="674"/>
      <c r="J115" s="674"/>
      <c r="K115" s="674"/>
      <c r="L115" s="674"/>
      <c r="M115" s="674"/>
      <c r="N115" s="674"/>
      <c r="O115" s="674"/>
      <c r="P115" s="674"/>
      <c r="Q115" s="674"/>
      <c r="R115" s="674"/>
      <c r="S115" s="674"/>
      <c r="T115" s="674"/>
      <c r="U115" s="674"/>
      <c r="V115" s="674"/>
      <c r="W115" s="674"/>
      <c r="X115" s="674"/>
      <c r="Y115" s="674"/>
      <c r="Z115" s="674"/>
      <c r="AA115" s="674"/>
      <c r="AB115" s="674"/>
      <c r="AC115" s="674"/>
      <c r="AD115" s="674"/>
      <c r="AE115" s="674"/>
      <c r="AF115" s="674"/>
      <c r="AG115" s="674"/>
      <c r="AH115" s="674"/>
      <c r="AI115" s="674"/>
      <c r="AJ115" s="674"/>
      <c r="AK115" s="729"/>
      <c r="AL115" s="729"/>
      <c r="AM115" s="729"/>
      <c r="AN115" s="729"/>
      <c r="AO115" s="729"/>
      <c r="AP115" s="729"/>
      <c r="AQ115" s="729"/>
      <c r="AR115" s="729"/>
      <c r="AS115" s="729"/>
      <c r="AT115" s="729"/>
      <c r="AU115" s="729"/>
      <c r="AV115" s="729"/>
      <c r="AW115" s="729"/>
      <c r="AX115" s="729"/>
      <c r="AY115" s="729"/>
    </row>
    <row r="116" spans="1:51">
      <c r="A116" s="674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4"/>
      <c r="P116" s="674"/>
      <c r="Q116" s="674"/>
      <c r="R116" s="674"/>
      <c r="S116" s="674"/>
      <c r="T116" s="674"/>
      <c r="U116" s="674"/>
      <c r="V116" s="674"/>
      <c r="W116" s="674"/>
      <c r="X116" s="674"/>
      <c r="Y116" s="674"/>
      <c r="Z116" s="674"/>
      <c r="AA116" s="674"/>
      <c r="AB116" s="674"/>
      <c r="AC116" s="674"/>
      <c r="AD116" s="674"/>
      <c r="AE116" s="674"/>
      <c r="AF116" s="674"/>
      <c r="AG116" s="674"/>
      <c r="AH116" s="674"/>
      <c r="AI116" s="674"/>
      <c r="AJ116" s="674"/>
      <c r="AK116" s="729"/>
      <c r="AL116" s="729"/>
      <c r="AM116" s="729"/>
      <c r="AN116" s="729"/>
      <c r="AO116" s="729"/>
      <c r="AP116" s="729"/>
      <c r="AQ116" s="729"/>
      <c r="AR116" s="729"/>
      <c r="AS116" s="729"/>
      <c r="AT116" s="729"/>
      <c r="AU116" s="729"/>
      <c r="AV116" s="729"/>
      <c r="AW116" s="729"/>
      <c r="AX116" s="729"/>
      <c r="AY116" s="729"/>
    </row>
    <row r="117" spans="1:51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4"/>
      <c r="P117" s="674"/>
      <c r="Q117" s="674"/>
      <c r="R117" s="674"/>
      <c r="S117" s="674"/>
      <c r="T117" s="674"/>
      <c r="U117" s="674"/>
      <c r="V117" s="674"/>
      <c r="W117" s="674"/>
      <c r="X117" s="674"/>
      <c r="Y117" s="674"/>
      <c r="Z117" s="674"/>
      <c r="AA117" s="674"/>
      <c r="AB117" s="674"/>
      <c r="AC117" s="674"/>
      <c r="AD117" s="674"/>
      <c r="AE117" s="674"/>
      <c r="AF117" s="674"/>
      <c r="AG117" s="674"/>
      <c r="AH117" s="674"/>
      <c r="AI117" s="674"/>
      <c r="AJ117" s="674"/>
      <c r="AK117" s="729"/>
      <c r="AL117" s="729"/>
      <c r="AM117" s="729"/>
      <c r="AN117" s="729"/>
      <c r="AO117" s="729"/>
      <c r="AP117" s="729"/>
      <c r="AQ117" s="729"/>
      <c r="AR117" s="729"/>
      <c r="AS117" s="729"/>
      <c r="AT117" s="729"/>
      <c r="AU117" s="729"/>
      <c r="AV117" s="729"/>
      <c r="AW117" s="729"/>
      <c r="AX117" s="729"/>
      <c r="AY117" s="729"/>
    </row>
    <row r="118" spans="1:51">
      <c r="A118" s="674"/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74"/>
      <c r="AB118" s="674"/>
      <c r="AC118" s="674"/>
      <c r="AD118" s="674"/>
      <c r="AE118" s="674"/>
      <c r="AF118" s="674"/>
      <c r="AG118" s="674"/>
      <c r="AH118" s="674"/>
      <c r="AI118" s="674"/>
      <c r="AJ118" s="674"/>
      <c r="AK118" s="729"/>
      <c r="AL118" s="729"/>
      <c r="AM118" s="729"/>
      <c r="AN118" s="729"/>
      <c r="AO118" s="729"/>
      <c r="AP118" s="729"/>
      <c r="AQ118" s="729"/>
      <c r="AR118" s="729"/>
      <c r="AS118" s="729"/>
      <c r="AT118" s="729"/>
      <c r="AU118" s="729"/>
      <c r="AV118" s="729"/>
      <c r="AW118" s="729"/>
      <c r="AX118" s="729"/>
      <c r="AY118" s="729"/>
    </row>
    <row r="119" spans="1:51">
      <c r="A119" s="674"/>
      <c r="B119" s="674"/>
      <c r="C119" s="674"/>
      <c r="D119" s="674"/>
      <c r="E119" s="674"/>
      <c r="F119" s="674"/>
      <c r="G119" s="674"/>
      <c r="H119" s="674"/>
      <c r="I119" s="674"/>
      <c r="J119" s="674"/>
      <c r="K119" s="674"/>
      <c r="L119" s="674"/>
      <c r="M119" s="674"/>
      <c r="N119" s="674"/>
      <c r="O119" s="674"/>
      <c r="P119" s="674"/>
      <c r="Q119" s="674"/>
      <c r="R119" s="674"/>
      <c r="S119" s="674"/>
      <c r="T119" s="674"/>
      <c r="U119" s="674"/>
      <c r="V119" s="674"/>
      <c r="W119" s="674"/>
      <c r="X119" s="674"/>
      <c r="Y119" s="674"/>
      <c r="Z119" s="674"/>
      <c r="AA119" s="674"/>
      <c r="AB119" s="674"/>
      <c r="AC119" s="674"/>
      <c r="AD119" s="674"/>
      <c r="AE119" s="674"/>
      <c r="AF119" s="674"/>
      <c r="AG119" s="674"/>
      <c r="AH119" s="674"/>
      <c r="AI119" s="674"/>
      <c r="AJ119" s="674"/>
      <c r="AK119" s="729"/>
      <c r="AL119" s="729"/>
      <c r="AM119" s="729"/>
      <c r="AN119" s="729"/>
      <c r="AO119" s="729"/>
      <c r="AP119" s="729"/>
      <c r="AQ119" s="729"/>
      <c r="AR119" s="729"/>
      <c r="AS119" s="729"/>
      <c r="AT119" s="729"/>
      <c r="AU119" s="729"/>
      <c r="AV119" s="729"/>
      <c r="AW119" s="729"/>
      <c r="AX119" s="729"/>
      <c r="AY119" s="729"/>
    </row>
    <row r="120" spans="1:51">
      <c r="A120" s="674"/>
      <c r="B120" s="674"/>
      <c r="C120" s="674"/>
      <c r="D120" s="674"/>
      <c r="E120" s="674"/>
      <c r="F120" s="674"/>
      <c r="G120" s="674"/>
      <c r="H120" s="674"/>
      <c r="I120" s="674"/>
      <c r="J120" s="674"/>
      <c r="K120" s="674"/>
      <c r="L120" s="674"/>
      <c r="M120" s="674"/>
      <c r="N120" s="674"/>
      <c r="O120" s="674"/>
      <c r="P120" s="674"/>
      <c r="Q120" s="674"/>
      <c r="R120" s="674"/>
      <c r="S120" s="674"/>
      <c r="T120" s="674"/>
      <c r="U120" s="674"/>
      <c r="V120" s="674"/>
      <c r="W120" s="674"/>
      <c r="X120" s="674"/>
      <c r="Y120" s="674"/>
      <c r="Z120" s="674"/>
      <c r="AA120" s="674"/>
      <c r="AB120" s="674"/>
      <c r="AC120" s="674"/>
      <c r="AD120" s="674"/>
      <c r="AE120" s="674"/>
      <c r="AF120" s="674"/>
      <c r="AG120" s="674"/>
      <c r="AH120" s="674"/>
      <c r="AI120" s="674"/>
      <c r="AJ120" s="674"/>
      <c r="AK120" s="729"/>
      <c r="AL120" s="729"/>
      <c r="AM120" s="729"/>
      <c r="AN120" s="729"/>
      <c r="AO120" s="729"/>
      <c r="AP120" s="729"/>
      <c r="AQ120" s="729"/>
      <c r="AR120" s="729"/>
      <c r="AS120" s="729"/>
      <c r="AT120" s="729"/>
      <c r="AU120" s="729"/>
      <c r="AV120" s="729"/>
      <c r="AW120" s="729"/>
      <c r="AX120" s="729"/>
      <c r="AY120" s="729"/>
    </row>
    <row r="121" spans="1:51">
      <c r="A121" s="674"/>
      <c r="B121" s="674"/>
      <c r="C121" s="674"/>
      <c r="D121" s="674"/>
      <c r="E121" s="674"/>
      <c r="F121" s="674"/>
      <c r="G121" s="674"/>
      <c r="H121" s="674"/>
      <c r="I121" s="674"/>
      <c r="J121" s="674"/>
      <c r="K121" s="674"/>
      <c r="L121" s="674"/>
      <c r="M121" s="674"/>
      <c r="N121" s="674"/>
      <c r="O121" s="674"/>
      <c r="P121" s="674"/>
      <c r="Q121" s="674"/>
      <c r="R121" s="674"/>
      <c r="S121" s="674"/>
      <c r="T121" s="674"/>
      <c r="U121" s="674"/>
      <c r="V121" s="674"/>
      <c r="W121" s="674"/>
      <c r="X121" s="674"/>
      <c r="Y121" s="674"/>
      <c r="Z121" s="674"/>
      <c r="AA121" s="674"/>
      <c r="AB121" s="674"/>
      <c r="AC121" s="674"/>
      <c r="AD121" s="674"/>
      <c r="AE121" s="674"/>
      <c r="AF121" s="674"/>
      <c r="AG121" s="674"/>
      <c r="AH121" s="674"/>
      <c r="AI121" s="674"/>
      <c r="AJ121" s="674"/>
      <c r="AK121" s="729"/>
      <c r="AL121" s="729"/>
      <c r="AM121" s="729"/>
      <c r="AN121" s="729"/>
      <c r="AO121" s="729"/>
      <c r="AP121" s="729"/>
      <c r="AQ121" s="729"/>
      <c r="AR121" s="729"/>
      <c r="AS121" s="729"/>
      <c r="AT121" s="729"/>
      <c r="AU121" s="729"/>
      <c r="AV121" s="729"/>
      <c r="AW121" s="729"/>
      <c r="AX121" s="729"/>
      <c r="AY121" s="729"/>
    </row>
    <row r="122" spans="1:51">
      <c r="A122" s="674"/>
      <c r="B122" s="674"/>
      <c r="C122" s="674"/>
      <c r="D122" s="674"/>
      <c r="E122" s="674"/>
      <c r="F122" s="674"/>
      <c r="G122" s="674"/>
      <c r="H122" s="674"/>
      <c r="I122" s="674"/>
      <c r="J122" s="674"/>
      <c r="K122" s="674"/>
      <c r="L122" s="674"/>
      <c r="M122" s="674"/>
      <c r="N122" s="674"/>
      <c r="O122" s="674"/>
      <c r="P122" s="674"/>
      <c r="Q122" s="674"/>
      <c r="R122" s="674"/>
      <c r="S122" s="674"/>
      <c r="T122" s="674"/>
      <c r="U122" s="674"/>
      <c r="V122" s="674"/>
      <c r="W122" s="674"/>
      <c r="X122" s="674"/>
      <c r="Y122" s="674"/>
      <c r="Z122" s="674"/>
      <c r="AA122" s="674"/>
      <c r="AB122" s="674"/>
      <c r="AC122" s="674"/>
      <c r="AD122" s="674"/>
      <c r="AE122" s="674"/>
      <c r="AF122" s="674"/>
      <c r="AG122" s="674"/>
      <c r="AH122" s="674"/>
      <c r="AI122" s="674"/>
      <c r="AJ122" s="674"/>
      <c r="AK122" s="729"/>
      <c r="AL122" s="729"/>
      <c r="AM122" s="729"/>
      <c r="AN122" s="729"/>
      <c r="AO122" s="729"/>
      <c r="AP122" s="729"/>
      <c r="AQ122" s="729"/>
      <c r="AR122" s="729"/>
      <c r="AS122" s="729"/>
      <c r="AT122" s="729"/>
      <c r="AU122" s="729"/>
      <c r="AV122" s="729"/>
      <c r="AW122" s="729"/>
      <c r="AX122" s="729"/>
      <c r="AY122" s="729"/>
    </row>
    <row r="123" spans="1:51">
      <c r="A123" s="674"/>
      <c r="B123" s="674"/>
      <c r="C123" s="674"/>
      <c r="D123" s="674"/>
      <c r="E123" s="674"/>
      <c r="F123" s="674"/>
      <c r="G123" s="674"/>
      <c r="H123" s="674"/>
      <c r="I123" s="674"/>
      <c r="J123" s="674"/>
      <c r="K123" s="674"/>
      <c r="L123" s="674"/>
      <c r="M123" s="674"/>
      <c r="N123" s="674"/>
      <c r="O123" s="674"/>
      <c r="P123" s="674"/>
      <c r="Q123" s="674"/>
      <c r="R123" s="674"/>
      <c r="S123" s="674"/>
      <c r="T123" s="674"/>
      <c r="U123" s="674"/>
      <c r="V123" s="674"/>
      <c r="W123" s="674"/>
      <c r="X123" s="674"/>
      <c r="Y123" s="674"/>
      <c r="Z123" s="674"/>
      <c r="AA123" s="674"/>
      <c r="AB123" s="674"/>
      <c r="AC123" s="674"/>
      <c r="AD123" s="674"/>
      <c r="AE123" s="674"/>
      <c r="AF123" s="674"/>
      <c r="AG123" s="674"/>
      <c r="AH123" s="674"/>
      <c r="AI123" s="674"/>
      <c r="AJ123" s="674"/>
      <c r="AK123" s="729"/>
      <c r="AL123" s="729"/>
      <c r="AM123" s="729"/>
      <c r="AN123" s="729"/>
      <c r="AO123" s="729"/>
      <c r="AP123" s="729"/>
      <c r="AQ123" s="729"/>
      <c r="AR123" s="729"/>
      <c r="AS123" s="729"/>
      <c r="AT123" s="729"/>
      <c r="AU123" s="729"/>
      <c r="AV123" s="729"/>
      <c r="AW123" s="729"/>
      <c r="AX123" s="729"/>
      <c r="AY123" s="729"/>
    </row>
    <row r="124" spans="1:51">
      <c r="A124" s="674"/>
      <c r="B124" s="674"/>
      <c r="C124" s="674"/>
      <c r="D124" s="674"/>
      <c r="E124" s="674"/>
      <c r="F124" s="674"/>
      <c r="G124" s="674"/>
      <c r="H124" s="674"/>
      <c r="I124" s="674"/>
      <c r="J124" s="674"/>
      <c r="K124" s="674"/>
      <c r="L124" s="674"/>
      <c r="M124" s="674"/>
      <c r="N124" s="674"/>
      <c r="O124" s="674"/>
      <c r="P124" s="674"/>
      <c r="Q124" s="674"/>
      <c r="R124" s="674"/>
      <c r="S124" s="674"/>
      <c r="T124" s="674"/>
      <c r="U124" s="674"/>
      <c r="V124" s="674"/>
      <c r="W124" s="674"/>
      <c r="X124" s="674"/>
      <c r="Y124" s="674"/>
      <c r="Z124" s="674"/>
      <c r="AA124" s="674"/>
      <c r="AB124" s="674"/>
      <c r="AC124" s="674"/>
      <c r="AD124" s="674"/>
      <c r="AE124" s="674"/>
      <c r="AF124" s="674"/>
      <c r="AG124" s="674"/>
      <c r="AH124" s="674"/>
      <c r="AI124" s="674"/>
      <c r="AJ124" s="674"/>
      <c r="AK124" s="729"/>
      <c r="AL124" s="729"/>
      <c r="AM124" s="729"/>
      <c r="AN124" s="729"/>
      <c r="AO124" s="729"/>
      <c r="AP124" s="729"/>
      <c r="AQ124" s="729"/>
      <c r="AR124" s="729"/>
      <c r="AS124" s="729"/>
      <c r="AT124" s="729"/>
      <c r="AU124" s="729"/>
      <c r="AV124" s="729"/>
      <c r="AW124" s="729"/>
      <c r="AX124" s="729"/>
      <c r="AY124" s="729"/>
    </row>
    <row r="125" spans="1:51">
      <c r="A125" s="674"/>
      <c r="B125" s="674"/>
      <c r="C125" s="674"/>
      <c r="D125" s="674"/>
      <c r="E125" s="674"/>
      <c r="F125" s="674"/>
      <c r="G125" s="674"/>
      <c r="H125" s="674"/>
      <c r="I125" s="674"/>
      <c r="J125" s="674"/>
      <c r="K125" s="674"/>
      <c r="L125" s="674"/>
      <c r="M125" s="674"/>
      <c r="N125" s="674"/>
      <c r="O125" s="674"/>
      <c r="P125" s="674"/>
      <c r="Q125" s="674"/>
      <c r="R125" s="674"/>
      <c r="S125" s="674"/>
      <c r="T125" s="674"/>
      <c r="U125" s="674"/>
      <c r="V125" s="674"/>
      <c r="W125" s="674"/>
      <c r="X125" s="674"/>
      <c r="Y125" s="674"/>
      <c r="Z125" s="674"/>
      <c r="AA125" s="674"/>
      <c r="AB125" s="674"/>
      <c r="AC125" s="674"/>
      <c r="AD125" s="674"/>
      <c r="AE125" s="674"/>
      <c r="AF125" s="674"/>
      <c r="AG125" s="674"/>
      <c r="AH125" s="674"/>
      <c r="AI125" s="674"/>
      <c r="AJ125" s="674"/>
      <c r="AK125" s="729"/>
      <c r="AL125" s="729"/>
      <c r="AM125" s="729"/>
      <c r="AN125" s="729"/>
      <c r="AO125" s="729"/>
      <c r="AP125" s="729"/>
      <c r="AQ125" s="729"/>
      <c r="AR125" s="729"/>
      <c r="AS125" s="729"/>
      <c r="AT125" s="729"/>
      <c r="AU125" s="729"/>
      <c r="AV125" s="729"/>
      <c r="AW125" s="729"/>
      <c r="AX125" s="729"/>
      <c r="AY125" s="729"/>
    </row>
    <row r="126" spans="1:51">
      <c r="A126" s="674"/>
      <c r="B126" s="674"/>
      <c r="C126" s="674"/>
      <c r="D126" s="674"/>
      <c r="E126" s="674"/>
      <c r="F126" s="674"/>
      <c r="G126" s="674"/>
      <c r="H126" s="674"/>
      <c r="I126" s="674"/>
      <c r="J126" s="674"/>
      <c r="K126" s="674"/>
      <c r="L126" s="674"/>
      <c r="M126" s="674"/>
      <c r="N126" s="674"/>
      <c r="O126" s="674"/>
      <c r="P126" s="674"/>
      <c r="Q126" s="674"/>
      <c r="R126" s="674"/>
      <c r="S126" s="674"/>
      <c r="T126" s="674"/>
      <c r="U126" s="674"/>
      <c r="V126" s="674"/>
      <c r="W126" s="674"/>
      <c r="X126" s="674"/>
      <c r="Y126" s="674"/>
      <c r="Z126" s="674"/>
      <c r="AA126" s="674"/>
      <c r="AB126" s="674"/>
      <c r="AC126" s="674"/>
      <c r="AD126" s="674"/>
      <c r="AE126" s="674"/>
      <c r="AF126" s="674"/>
      <c r="AG126" s="674"/>
      <c r="AH126" s="674"/>
      <c r="AI126" s="674"/>
      <c r="AJ126" s="674"/>
      <c r="AK126" s="729"/>
      <c r="AL126" s="729"/>
      <c r="AM126" s="729"/>
      <c r="AN126" s="729"/>
      <c r="AO126" s="729"/>
      <c r="AP126" s="729"/>
      <c r="AQ126" s="729"/>
      <c r="AR126" s="729"/>
      <c r="AS126" s="729"/>
      <c r="AT126" s="729"/>
      <c r="AU126" s="729"/>
      <c r="AV126" s="729"/>
      <c r="AW126" s="729"/>
      <c r="AX126" s="729"/>
      <c r="AY126" s="729"/>
    </row>
    <row r="127" spans="1:51">
      <c r="A127" s="674"/>
      <c r="B127" s="674"/>
      <c r="C127" s="674"/>
      <c r="D127" s="674"/>
      <c r="E127" s="674"/>
      <c r="F127" s="674"/>
      <c r="G127" s="674"/>
      <c r="H127" s="674"/>
      <c r="I127" s="674"/>
      <c r="J127" s="674"/>
      <c r="K127" s="674"/>
      <c r="L127" s="674"/>
      <c r="M127" s="674"/>
      <c r="N127" s="674"/>
      <c r="O127" s="674"/>
      <c r="P127" s="674"/>
      <c r="Q127" s="674"/>
      <c r="R127" s="674"/>
      <c r="S127" s="674"/>
      <c r="T127" s="674"/>
      <c r="U127" s="674"/>
      <c r="V127" s="674"/>
      <c r="W127" s="674"/>
      <c r="X127" s="674"/>
      <c r="Y127" s="674"/>
      <c r="Z127" s="674"/>
      <c r="AA127" s="674"/>
      <c r="AB127" s="674"/>
      <c r="AC127" s="674"/>
      <c r="AD127" s="674"/>
      <c r="AE127" s="674"/>
      <c r="AF127" s="674"/>
      <c r="AG127" s="674"/>
      <c r="AH127" s="674"/>
      <c r="AI127" s="674"/>
      <c r="AJ127" s="674"/>
      <c r="AK127" s="729"/>
      <c r="AL127" s="729"/>
      <c r="AM127" s="729"/>
      <c r="AN127" s="729"/>
      <c r="AO127" s="729"/>
      <c r="AP127" s="729"/>
      <c r="AQ127" s="729"/>
      <c r="AR127" s="729"/>
      <c r="AS127" s="729"/>
      <c r="AT127" s="729"/>
      <c r="AU127" s="729"/>
      <c r="AV127" s="729"/>
      <c r="AW127" s="729"/>
      <c r="AX127" s="729"/>
      <c r="AY127" s="729"/>
    </row>
    <row r="128" spans="1:51">
      <c r="A128" s="674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4"/>
      <c r="P128" s="674"/>
      <c r="Q128" s="674"/>
      <c r="R128" s="674"/>
      <c r="S128" s="674"/>
      <c r="T128" s="674"/>
      <c r="U128" s="674"/>
      <c r="V128" s="674"/>
      <c r="W128" s="674"/>
      <c r="X128" s="674"/>
      <c r="Y128" s="674"/>
      <c r="Z128" s="674"/>
      <c r="AA128" s="674"/>
      <c r="AB128" s="674"/>
      <c r="AC128" s="674"/>
      <c r="AD128" s="674"/>
      <c r="AE128" s="674"/>
      <c r="AF128" s="674"/>
      <c r="AG128" s="674"/>
      <c r="AH128" s="674"/>
      <c r="AI128" s="674"/>
      <c r="AJ128" s="674"/>
      <c r="AK128" s="729"/>
      <c r="AL128" s="729"/>
      <c r="AM128" s="729"/>
      <c r="AN128" s="729"/>
      <c r="AO128" s="729"/>
      <c r="AP128" s="729"/>
      <c r="AQ128" s="729"/>
      <c r="AR128" s="729"/>
      <c r="AS128" s="729"/>
      <c r="AT128" s="729"/>
      <c r="AU128" s="729"/>
      <c r="AV128" s="729"/>
      <c r="AW128" s="729"/>
      <c r="AX128" s="729"/>
      <c r="AY128" s="729"/>
    </row>
    <row r="129" spans="1:51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4"/>
      <c r="P129" s="674"/>
      <c r="Q129" s="674"/>
      <c r="R129" s="674"/>
      <c r="S129" s="674"/>
      <c r="T129" s="674"/>
      <c r="U129" s="674"/>
      <c r="V129" s="674"/>
      <c r="W129" s="674"/>
      <c r="X129" s="674"/>
      <c r="Y129" s="674"/>
      <c r="Z129" s="674"/>
      <c r="AA129" s="674"/>
      <c r="AB129" s="674"/>
      <c r="AC129" s="674"/>
      <c r="AD129" s="674"/>
      <c r="AE129" s="674"/>
      <c r="AF129" s="674"/>
      <c r="AG129" s="674"/>
      <c r="AH129" s="674"/>
      <c r="AI129" s="674"/>
      <c r="AJ129" s="674"/>
      <c r="AK129" s="729"/>
      <c r="AL129" s="729"/>
      <c r="AM129" s="729"/>
      <c r="AN129" s="729"/>
      <c r="AO129" s="729"/>
      <c r="AP129" s="729"/>
      <c r="AQ129" s="729"/>
      <c r="AR129" s="729"/>
      <c r="AS129" s="729"/>
      <c r="AT129" s="729"/>
      <c r="AU129" s="729"/>
      <c r="AV129" s="729"/>
      <c r="AW129" s="729"/>
      <c r="AX129" s="729"/>
      <c r="AY129" s="729"/>
    </row>
    <row r="130" spans="1:51">
      <c r="A130" s="674"/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74"/>
      <c r="AB130" s="674"/>
      <c r="AC130" s="674"/>
      <c r="AD130" s="674"/>
      <c r="AE130" s="674"/>
      <c r="AF130" s="674"/>
      <c r="AG130" s="674"/>
      <c r="AH130" s="674"/>
      <c r="AI130" s="674"/>
      <c r="AJ130" s="674"/>
      <c r="AK130" s="729"/>
      <c r="AL130" s="729"/>
      <c r="AM130" s="729"/>
      <c r="AN130" s="729"/>
      <c r="AO130" s="729"/>
      <c r="AP130" s="729"/>
      <c r="AQ130" s="729"/>
      <c r="AR130" s="729"/>
      <c r="AS130" s="729"/>
      <c r="AT130" s="729"/>
      <c r="AU130" s="729"/>
      <c r="AV130" s="729"/>
      <c r="AW130" s="729"/>
      <c r="AX130" s="729"/>
      <c r="AY130" s="729"/>
    </row>
    <row r="131" spans="1:51">
      <c r="A131" s="674"/>
      <c r="B131" s="674"/>
      <c r="C131" s="674"/>
      <c r="D131" s="674"/>
      <c r="E131" s="674"/>
      <c r="F131" s="674"/>
      <c r="G131" s="674"/>
      <c r="H131" s="674"/>
      <c r="I131" s="674"/>
      <c r="J131" s="674"/>
      <c r="K131" s="674"/>
      <c r="L131" s="674"/>
      <c r="M131" s="674"/>
      <c r="N131" s="674"/>
      <c r="O131" s="674"/>
      <c r="P131" s="674"/>
      <c r="Q131" s="674"/>
      <c r="R131" s="674"/>
      <c r="S131" s="674"/>
      <c r="T131" s="674"/>
      <c r="U131" s="674"/>
      <c r="V131" s="674"/>
      <c r="W131" s="674"/>
      <c r="X131" s="674"/>
      <c r="Y131" s="674"/>
      <c r="Z131" s="674"/>
      <c r="AA131" s="674"/>
      <c r="AB131" s="674"/>
      <c r="AC131" s="674"/>
      <c r="AD131" s="674"/>
      <c r="AE131" s="674"/>
      <c r="AF131" s="674"/>
      <c r="AG131" s="674"/>
      <c r="AH131" s="674"/>
      <c r="AI131" s="674"/>
      <c r="AJ131" s="674"/>
      <c r="AK131" s="729"/>
      <c r="AL131" s="729"/>
      <c r="AM131" s="729"/>
      <c r="AN131" s="729"/>
      <c r="AO131" s="729"/>
      <c r="AP131" s="729"/>
      <c r="AQ131" s="729"/>
      <c r="AR131" s="729"/>
      <c r="AS131" s="729"/>
      <c r="AT131" s="729"/>
      <c r="AU131" s="729"/>
      <c r="AV131" s="729"/>
      <c r="AW131" s="729"/>
      <c r="AX131" s="729"/>
      <c r="AY131" s="729"/>
    </row>
    <row r="132" spans="1:51">
      <c r="A132" s="674"/>
      <c r="B132" s="674"/>
      <c r="C132" s="674"/>
      <c r="D132" s="674"/>
      <c r="E132" s="674"/>
      <c r="F132" s="674"/>
      <c r="G132" s="674"/>
      <c r="H132" s="674"/>
      <c r="I132" s="674"/>
      <c r="J132" s="674"/>
      <c r="K132" s="674"/>
      <c r="L132" s="674"/>
      <c r="M132" s="674"/>
      <c r="N132" s="674"/>
      <c r="O132" s="674"/>
      <c r="P132" s="674"/>
      <c r="Q132" s="674"/>
      <c r="R132" s="674"/>
      <c r="S132" s="674"/>
      <c r="T132" s="674"/>
      <c r="U132" s="674"/>
      <c r="V132" s="674"/>
      <c r="W132" s="674"/>
      <c r="X132" s="674"/>
      <c r="Y132" s="674"/>
      <c r="Z132" s="674"/>
      <c r="AA132" s="674"/>
      <c r="AB132" s="674"/>
      <c r="AC132" s="674"/>
      <c r="AD132" s="674"/>
      <c r="AE132" s="674"/>
      <c r="AF132" s="674"/>
      <c r="AG132" s="674"/>
      <c r="AH132" s="674"/>
      <c r="AI132" s="674"/>
      <c r="AJ132" s="674"/>
      <c r="AK132" s="729"/>
      <c r="AL132" s="729"/>
      <c r="AM132" s="729"/>
      <c r="AN132" s="729"/>
      <c r="AO132" s="729"/>
      <c r="AP132" s="729"/>
      <c r="AQ132" s="729"/>
      <c r="AR132" s="729"/>
      <c r="AS132" s="729"/>
      <c r="AT132" s="729"/>
      <c r="AU132" s="729"/>
      <c r="AV132" s="729"/>
      <c r="AW132" s="729"/>
      <c r="AX132" s="729"/>
      <c r="AY132" s="729"/>
    </row>
    <row r="133" spans="1:51">
      <c r="A133" s="674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4"/>
      <c r="P133" s="674"/>
      <c r="Q133" s="674"/>
      <c r="R133" s="674"/>
      <c r="S133" s="674"/>
      <c r="T133" s="674"/>
      <c r="U133" s="674"/>
      <c r="V133" s="674"/>
      <c r="W133" s="674"/>
      <c r="X133" s="674"/>
      <c r="Y133" s="674"/>
      <c r="Z133" s="674"/>
      <c r="AA133" s="674"/>
      <c r="AB133" s="674"/>
      <c r="AC133" s="674"/>
      <c r="AD133" s="674"/>
      <c r="AE133" s="674"/>
      <c r="AF133" s="674"/>
      <c r="AG133" s="674"/>
      <c r="AH133" s="674"/>
      <c r="AI133" s="674"/>
      <c r="AJ133" s="674"/>
      <c r="AK133" s="729"/>
      <c r="AL133" s="729"/>
      <c r="AM133" s="729"/>
      <c r="AN133" s="729"/>
      <c r="AO133" s="729"/>
      <c r="AP133" s="729"/>
      <c r="AQ133" s="729"/>
      <c r="AR133" s="729"/>
      <c r="AS133" s="729"/>
      <c r="AT133" s="729"/>
      <c r="AU133" s="729"/>
      <c r="AV133" s="729"/>
      <c r="AW133" s="729"/>
      <c r="AX133" s="729"/>
      <c r="AY133" s="729"/>
    </row>
    <row r="134" spans="1:51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4"/>
      <c r="P134" s="674"/>
      <c r="Q134" s="674"/>
      <c r="R134" s="674"/>
      <c r="S134" s="674"/>
      <c r="T134" s="674"/>
      <c r="U134" s="674"/>
      <c r="V134" s="674"/>
      <c r="W134" s="674"/>
      <c r="X134" s="674"/>
      <c r="Y134" s="674"/>
      <c r="Z134" s="674"/>
      <c r="AA134" s="674"/>
      <c r="AB134" s="674"/>
      <c r="AC134" s="674"/>
      <c r="AD134" s="674"/>
      <c r="AE134" s="674"/>
      <c r="AF134" s="674"/>
      <c r="AG134" s="674"/>
      <c r="AH134" s="674"/>
      <c r="AI134" s="674"/>
      <c r="AJ134" s="674"/>
      <c r="AK134" s="729"/>
      <c r="AL134" s="729"/>
      <c r="AM134" s="729"/>
      <c r="AN134" s="729"/>
      <c r="AO134" s="729"/>
      <c r="AP134" s="729"/>
      <c r="AQ134" s="729"/>
      <c r="AR134" s="729"/>
      <c r="AS134" s="729"/>
      <c r="AT134" s="729"/>
      <c r="AU134" s="729"/>
      <c r="AV134" s="729"/>
      <c r="AW134" s="729"/>
      <c r="AX134" s="729"/>
      <c r="AY134" s="729"/>
    </row>
    <row r="135" spans="1:51">
      <c r="A135" s="674"/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74"/>
      <c r="AB135" s="674"/>
      <c r="AC135" s="674"/>
      <c r="AD135" s="674"/>
      <c r="AE135" s="674"/>
      <c r="AF135" s="674"/>
      <c r="AG135" s="674"/>
      <c r="AH135" s="674"/>
      <c r="AI135" s="674"/>
      <c r="AJ135" s="674"/>
      <c r="AK135" s="729"/>
      <c r="AL135" s="729"/>
      <c r="AM135" s="729"/>
      <c r="AN135" s="729"/>
      <c r="AO135" s="729"/>
      <c r="AP135" s="729"/>
      <c r="AQ135" s="729"/>
      <c r="AR135" s="729"/>
      <c r="AS135" s="729"/>
      <c r="AT135" s="729"/>
      <c r="AU135" s="729"/>
      <c r="AV135" s="729"/>
      <c r="AW135" s="729"/>
      <c r="AX135" s="729"/>
      <c r="AY135" s="729"/>
    </row>
    <row r="136" spans="1:51">
      <c r="A136" s="674"/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74"/>
      <c r="AB136" s="674"/>
      <c r="AC136" s="674"/>
      <c r="AD136" s="674"/>
      <c r="AE136" s="674"/>
      <c r="AF136" s="674"/>
      <c r="AG136" s="674"/>
      <c r="AH136" s="674"/>
      <c r="AI136" s="674"/>
      <c r="AJ136" s="674"/>
      <c r="AK136" s="729"/>
      <c r="AL136" s="729"/>
      <c r="AM136" s="729"/>
      <c r="AN136" s="729"/>
      <c r="AO136" s="729"/>
      <c r="AP136" s="729"/>
      <c r="AQ136" s="729"/>
      <c r="AR136" s="729"/>
      <c r="AS136" s="729"/>
      <c r="AT136" s="729"/>
      <c r="AU136" s="729"/>
      <c r="AV136" s="729"/>
      <c r="AW136" s="729"/>
      <c r="AX136" s="729"/>
      <c r="AY136" s="729"/>
    </row>
    <row r="137" spans="1:51">
      <c r="A137" s="674"/>
      <c r="B137" s="674"/>
      <c r="C137" s="674"/>
      <c r="D137" s="674"/>
      <c r="E137" s="674"/>
      <c r="F137" s="674"/>
      <c r="G137" s="674"/>
      <c r="H137" s="674"/>
      <c r="I137" s="674"/>
      <c r="J137" s="674"/>
      <c r="K137" s="674"/>
      <c r="L137" s="674"/>
      <c r="M137" s="674"/>
      <c r="N137" s="674"/>
      <c r="O137" s="674"/>
      <c r="P137" s="674"/>
      <c r="Q137" s="674"/>
      <c r="R137" s="674"/>
      <c r="S137" s="674"/>
      <c r="T137" s="674"/>
      <c r="U137" s="674"/>
      <c r="V137" s="674"/>
      <c r="W137" s="674"/>
      <c r="X137" s="674"/>
      <c r="Y137" s="674"/>
      <c r="Z137" s="674"/>
      <c r="AA137" s="674"/>
      <c r="AB137" s="674"/>
      <c r="AC137" s="674"/>
      <c r="AD137" s="674"/>
      <c r="AE137" s="674"/>
      <c r="AF137" s="674"/>
      <c r="AG137" s="674"/>
      <c r="AH137" s="674"/>
      <c r="AI137" s="674"/>
      <c r="AJ137" s="674"/>
      <c r="AK137" s="729"/>
      <c r="AL137" s="729"/>
      <c r="AM137" s="729"/>
      <c r="AN137" s="729"/>
      <c r="AO137" s="729"/>
      <c r="AP137" s="729"/>
      <c r="AQ137" s="729"/>
      <c r="AR137" s="729"/>
      <c r="AS137" s="729"/>
      <c r="AT137" s="729"/>
      <c r="AU137" s="729"/>
      <c r="AV137" s="729"/>
      <c r="AW137" s="729"/>
      <c r="AX137" s="729"/>
      <c r="AY137" s="729"/>
    </row>
    <row r="138" spans="1:51">
      <c r="A138" s="674"/>
      <c r="B138" s="674"/>
      <c r="C138" s="674"/>
      <c r="D138" s="674"/>
      <c r="E138" s="674"/>
      <c r="F138" s="674"/>
      <c r="G138" s="674"/>
      <c r="H138" s="674"/>
      <c r="I138" s="674"/>
      <c r="J138" s="674"/>
      <c r="K138" s="674"/>
      <c r="L138" s="674"/>
      <c r="M138" s="674"/>
      <c r="N138" s="674"/>
      <c r="O138" s="674"/>
      <c r="P138" s="674"/>
      <c r="Q138" s="674"/>
      <c r="R138" s="674"/>
      <c r="S138" s="674"/>
      <c r="T138" s="674"/>
      <c r="U138" s="674"/>
      <c r="V138" s="674"/>
      <c r="W138" s="674"/>
      <c r="X138" s="674"/>
      <c r="Y138" s="674"/>
      <c r="Z138" s="674"/>
      <c r="AA138" s="674"/>
      <c r="AB138" s="674"/>
      <c r="AC138" s="674"/>
      <c r="AD138" s="674"/>
      <c r="AE138" s="674"/>
      <c r="AF138" s="674"/>
      <c r="AG138" s="674"/>
      <c r="AH138" s="674"/>
      <c r="AI138" s="674"/>
      <c r="AJ138" s="674"/>
      <c r="AK138" s="729"/>
      <c r="AL138" s="729"/>
      <c r="AM138" s="729"/>
      <c r="AN138" s="729"/>
      <c r="AO138" s="729"/>
      <c r="AP138" s="729"/>
      <c r="AQ138" s="729"/>
      <c r="AR138" s="729"/>
      <c r="AS138" s="729"/>
      <c r="AT138" s="729"/>
      <c r="AU138" s="729"/>
      <c r="AV138" s="729"/>
      <c r="AW138" s="729"/>
      <c r="AX138" s="729"/>
      <c r="AY138" s="729"/>
    </row>
    <row r="139" spans="1:51">
      <c r="A139" s="674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4"/>
      <c r="P139" s="674"/>
      <c r="Q139" s="674"/>
      <c r="R139" s="674"/>
      <c r="S139" s="674"/>
      <c r="T139" s="674"/>
      <c r="U139" s="674"/>
      <c r="V139" s="674"/>
      <c r="W139" s="674"/>
      <c r="X139" s="674"/>
      <c r="Y139" s="674"/>
      <c r="Z139" s="674"/>
      <c r="AA139" s="674"/>
      <c r="AB139" s="674"/>
      <c r="AC139" s="674"/>
      <c r="AD139" s="674"/>
      <c r="AE139" s="674"/>
      <c r="AF139" s="674"/>
      <c r="AG139" s="674"/>
      <c r="AH139" s="674"/>
      <c r="AI139" s="674"/>
      <c r="AJ139" s="674"/>
      <c r="AK139" s="729"/>
      <c r="AL139" s="729"/>
      <c r="AM139" s="729"/>
      <c r="AN139" s="729"/>
      <c r="AO139" s="729"/>
      <c r="AP139" s="729"/>
      <c r="AQ139" s="729"/>
      <c r="AR139" s="729"/>
      <c r="AS139" s="729"/>
      <c r="AT139" s="729"/>
      <c r="AU139" s="729"/>
      <c r="AV139" s="729"/>
      <c r="AW139" s="729"/>
      <c r="AX139" s="729"/>
      <c r="AY139" s="729"/>
    </row>
    <row r="140" spans="1:51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4"/>
      <c r="P140" s="674"/>
      <c r="Q140" s="674"/>
      <c r="R140" s="674"/>
      <c r="S140" s="674"/>
      <c r="T140" s="674"/>
      <c r="U140" s="674"/>
      <c r="V140" s="674"/>
      <c r="W140" s="674"/>
      <c r="X140" s="674"/>
      <c r="Y140" s="674"/>
      <c r="Z140" s="674"/>
      <c r="AA140" s="674"/>
      <c r="AB140" s="674"/>
      <c r="AC140" s="674"/>
      <c r="AD140" s="674"/>
      <c r="AE140" s="674"/>
      <c r="AF140" s="674"/>
      <c r="AG140" s="674"/>
      <c r="AH140" s="674"/>
      <c r="AI140" s="674"/>
      <c r="AJ140" s="674"/>
      <c r="AK140" s="729"/>
      <c r="AL140" s="729"/>
      <c r="AM140" s="729"/>
      <c r="AN140" s="729"/>
      <c r="AO140" s="729"/>
      <c r="AP140" s="729"/>
      <c r="AQ140" s="729"/>
      <c r="AR140" s="729"/>
      <c r="AS140" s="729"/>
      <c r="AT140" s="729"/>
      <c r="AU140" s="729"/>
      <c r="AV140" s="729"/>
      <c r="AW140" s="729"/>
      <c r="AX140" s="729"/>
      <c r="AY140" s="729"/>
    </row>
    <row r="141" spans="1:51">
      <c r="A141" s="674"/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74"/>
      <c r="AB141" s="674"/>
      <c r="AC141" s="674"/>
      <c r="AD141" s="674"/>
      <c r="AE141" s="674"/>
      <c r="AF141" s="674"/>
      <c r="AG141" s="674"/>
      <c r="AH141" s="674"/>
      <c r="AI141" s="674"/>
      <c r="AJ141" s="674"/>
      <c r="AK141" s="729"/>
      <c r="AL141" s="729"/>
      <c r="AM141" s="729"/>
      <c r="AN141" s="729"/>
      <c r="AO141" s="729"/>
      <c r="AP141" s="729"/>
      <c r="AQ141" s="729"/>
      <c r="AR141" s="729"/>
      <c r="AS141" s="729"/>
      <c r="AT141" s="729"/>
      <c r="AU141" s="729"/>
      <c r="AV141" s="729"/>
      <c r="AW141" s="729"/>
      <c r="AX141" s="729"/>
      <c r="AY141" s="729"/>
    </row>
    <row r="142" spans="1:51">
      <c r="A142" s="674"/>
      <c r="B142" s="674"/>
      <c r="C142" s="674"/>
      <c r="D142" s="674"/>
      <c r="E142" s="674"/>
      <c r="F142" s="674"/>
      <c r="G142" s="674"/>
      <c r="H142" s="674"/>
      <c r="I142" s="674"/>
      <c r="J142" s="674"/>
      <c r="K142" s="674"/>
      <c r="L142" s="674"/>
      <c r="M142" s="674"/>
      <c r="N142" s="674"/>
      <c r="O142" s="674"/>
      <c r="P142" s="674"/>
      <c r="Q142" s="674"/>
      <c r="R142" s="674"/>
      <c r="S142" s="674"/>
      <c r="T142" s="674"/>
      <c r="U142" s="674"/>
      <c r="V142" s="674"/>
      <c r="W142" s="674"/>
      <c r="X142" s="674"/>
      <c r="Y142" s="674"/>
      <c r="Z142" s="674"/>
      <c r="AA142" s="674"/>
      <c r="AB142" s="674"/>
      <c r="AC142" s="674"/>
      <c r="AD142" s="674"/>
      <c r="AE142" s="674"/>
      <c r="AF142" s="674"/>
      <c r="AG142" s="674"/>
      <c r="AH142" s="674"/>
      <c r="AI142" s="674"/>
      <c r="AJ142" s="674"/>
      <c r="AK142" s="729"/>
      <c r="AL142" s="729"/>
      <c r="AM142" s="729"/>
      <c r="AN142" s="729"/>
      <c r="AO142" s="729"/>
      <c r="AP142" s="729"/>
      <c r="AQ142" s="729"/>
      <c r="AR142" s="729"/>
      <c r="AS142" s="729"/>
      <c r="AT142" s="729"/>
      <c r="AU142" s="729"/>
      <c r="AV142" s="729"/>
      <c r="AW142" s="729"/>
      <c r="AX142" s="729"/>
      <c r="AY142" s="729"/>
    </row>
    <row r="143" spans="1:51">
      <c r="A143" s="674"/>
      <c r="B143" s="674"/>
      <c r="C143" s="674"/>
      <c r="D143" s="674"/>
      <c r="E143" s="674"/>
      <c r="F143" s="674"/>
      <c r="G143" s="674"/>
      <c r="H143" s="674"/>
      <c r="I143" s="674"/>
      <c r="J143" s="674"/>
      <c r="K143" s="674"/>
      <c r="L143" s="674"/>
      <c r="M143" s="674"/>
      <c r="N143" s="674"/>
      <c r="O143" s="674"/>
      <c r="P143" s="674"/>
      <c r="Q143" s="674"/>
      <c r="R143" s="674"/>
      <c r="S143" s="674"/>
      <c r="T143" s="674"/>
      <c r="U143" s="674"/>
      <c r="V143" s="674"/>
      <c r="W143" s="674"/>
      <c r="X143" s="674"/>
      <c r="Y143" s="674"/>
      <c r="Z143" s="674"/>
      <c r="AA143" s="674"/>
      <c r="AB143" s="674"/>
      <c r="AC143" s="674"/>
      <c r="AD143" s="674"/>
      <c r="AE143" s="674"/>
      <c r="AF143" s="674"/>
      <c r="AG143" s="674"/>
      <c r="AH143" s="674"/>
      <c r="AI143" s="674"/>
      <c r="AJ143" s="674"/>
      <c r="AK143" s="729"/>
      <c r="AL143" s="729"/>
      <c r="AM143" s="729"/>
      <c r="AN143" s="729"/>
      <c r="AO143" s="729"/>
      <c r="AP143" s="729"/>
      <c r="AQ143" s="729"/>
      <c r="AR143" s="729"/>
      <c r="AS143" s="729"/>
      <c r="AT143" s="729"/>
      <c r="AU143" s="729"/>
      <c r="AV143" s="729"/>
      <c r="AW143" s="729"/>
      <c r="AX143" s="729"/>
      <c r="AY143" s="729"/>
    </row>
    <row r="144" spans="1:51">
      <c r="A144" s="674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4"/>
      <c r="P144" s="674"/>
      <c r="Q144" s="674"/>
      <c r="R144" s="674"/>
      <c r="S144" s="674"/>
      <c r="T144" s="674"/>
      <c r="U144" s="674"/>
      <c r="V144" s="674"/>
      <c r="W144" s="674"/>
      <c r="X144" s="674"/>
      <c r="Y144" s="674"/>
      <c r="Z144" s="674"/>
      <c r="AA144" s="674"/>
      <c r="AB144" s="674"/>
      <c r="AC144" s="674"/>
      <c r="AD144" s="674"/>
      <c r="AE144" s="674"/>
      <c r="AF144" s="674"/>
      <c r="AG144" s="674"/>
      <c r="AH144" s="674"/>
      <c r="AI144" s="674"/>
      <c r="AJ144" s="674"/>
      <c r="AK144" s="729"/>
      <c r="AL144" s="729"/>
      <c r="AM144" s="729"/>
      <c r="AN144" s="729"/>
      <c r="AO144" s="729"/>
      <c r="AP144" s="729"/>
      <c r="AQ144" s="729"/>
      <c r="AR144" s="729"/>
      <c r="AS144" s="729"/>
      <c r="AT144" s="729"/>
      <c r="AU144" s="729"/>
      <c r="AV144" s="729"/>
      <c r="AW144" s="729"/>
      <c r="AX144" s="729"/>
      <c r="AY144" s="729"/>
    </row>
    <row r="145" spans="1:51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4"/>
      <c r="P145" s="674"/>
      <c r="Q145" s="674"/>
      <c r="R145" s="674"/>
      <c r="S145" s="674"/>
      <c r="T145" s="674"/>
      <c r="U145" s="674"/>
      <c r="V145" s="674"/>
      <c r="W145" s="674"/>
      <c r="X145" s="674"/>
      <c r="Y145" s="674"/>
      <c r="Z145" s="674"/>
      <c r="AA145" s="674"/>
      <c r="AB145" s="674"/>
      <c r="AC145" s="674"/>
      <c r="AD145" s="674"/>
      <c r="AE145" s="674"/>
      <c r="AF145" s="674"/>
      <c r="AG145" s="674"/>
      <c r="AH145" s="674"/>
      <c r="AI145" s="674"/>
      <c r="AJ145" s="674"/>
      <c r="AK145" s="729"/>
      <c r="AL145" s="729"/>
      <c r="AM145" s="729"/>
      <c r="AN145" s="729"/>
      <c r="AO145" s="729"/>
      <c r="AP145" s="729"/>
      <c r="AQ145" s="729"/>
      <c r="AR145" s="729"/>
      <c r="AS145" s="729"/>
      <c r="AT145" s="729"/>
      <c r="AU145" s="729"/>
      <c r="AV145" s="729"/>
      <c r="AW145" s="729"/>
      <c r="AX145" s="729"/>
      <c r="AY145" s="729"/>
    </row>
    <row r="146" spans="1:51">
      <c r="A146" s="674"/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74"/>
      <c r="AB146" s="674"/>
      <c r="AC146" s="674"/>
      <c r="AD146" s="674"/>
      <c r="AE146" s="674"/>
      <c r="AF146" s="674"/>
      <c r="AG146" s="674"/>
      <c r="AH146" s="674"/>
      <c r="AI146" s="674"/>
      <c r="AJ146" s="674"/>
      <c r="AK146" s="729"/>
      <c r="AL146" s="729"/>
      <c r="AM146" s="729"/>
      <c r="AN146" s="729"/>
      <c r="AO146" s="729"/>
      <c r="AP146" s="729"/>
      <c r="AQ146" s="729"/>
      <c r="AR146" s="729"/>
      <c r="AS146" s="729"/>
      <c r="AT146" s="729"/>
      <c r="AU146" s="729"/>
      <c r="AV146" s="729"/>
      <c r="AW146" s="729"/>
      <c r="AX146" s="729"/>
      <c r="AY146" s="729"/>
    </row>
    <row r="147" spans="1:51">
      <c r="A147" s="674"/>
      <c r="B147" s="674"/>
      <c r="C147" s="674"/>
      <c r="D147" s="674"/>
      <c r="E147" s="674"/>
      <c r="F147" s="674"/>
      <c r="G147" s="674"/>
      <c r="H147" s="674"/>
      <c r="I147" s="674"/>
      <c r="J147" s="674"/>
      <c r="K147" s="674"/>
      <c r="L147" s="674"/>
      <c r="M147" s="674"/>
      <c r="N147" s="674"/>
      <c r="O147" s="674"/>
      <c r="P147" s="674"/>
      <c r="Q147" s="674"/>
      <c r="R147" s="674"/>
      <c r="S147" s="674"/>
      <c r="T147" s="674"/>
      <c r="U147" s="674"/>
      <c r="V147" s="674"/>
      <c r="W147" s="674"/>
      <c r="X147" s="674"/>
      <c r="Y147" s="674"/>
      <c r="Z147" s="674"/>
      <c r="AA147" s="674"/>
      <c r="AB147" s="674"/>
      <c r="AC147" s="674"/>
      <c r="AD147" s="674"/>
      <c r="AE147" s="674"/>
      <c r="AF147" s="674"/>
      <c r="AG147" s="674"/>
      <c r="AH147" s="674"/>
      <c r="AI147" s="674"/>
      <c r="AJ147" s="674"/>
      <c r="AK147" s="729"/>
      <c r="AL147" s="729"/>
      <c r="AM147" s="729"/>
      <c r="AN147" s="729"/>
      <c r="AO147" s="729"/>
      <c r="AP147" s="729"/>
      <c r="AQ147" s="729"/>
      <c r="AR147" s="729"/>
      <c r="AS147" s="729"/>
      <c r="AT147" s="729"/>
      <c r="AU147" s="729"/>
      <c r="AV147" s="729"/>
      <c r="AW147" s="729"/>
      <c r="AX147" s="729"/>
      <c r="AY147" s="729"/>
    </row>
    <row r="148" spans="1:51">
      <c r="A148" s="674"/>
      <c r="B148" s="674"/>
      <c r="C148" s="674"/>
      <c r="D148" s="674"/>
      <c r="E148" s="674"/>
      <c r="F148" s="674"/>
      <c r="G148" s="674"/>
      <c r="H148" s="674"/>
      <c r="I148" s="674"/>
      <c r="J148" s="674"/>
      <c r="K148" s="674"/>
      <c r="L148" s="674"/>
      <c r="M148" s="674"/>
      <c r="N148" s="674"/>
      <c r="O148" s="674"/>
      <c r="P148" s="674"/>
      <c r="Q148" s="674"/>
      <c r="R148" s="674"/>
      <c r="S148" s="674"/>
      <c r="T148" s="674"/>
      <c r="U148" s="674"/>
      <c r="V148" s="674"/>
      <c r="W148" s="674"/>
      <c r="X148" s="674"/>
      <c r="Y148" s="674"/>
      <c r="Z148" s="674"/>
      <c r="AA148" s="674"/>
      <c r="AB148" s="674"/>
      <c r="AC148" s="674"/>
      <c r="AD148" s="674"/>
      <c r="AE148" s="674"/>
      <c r="AF148" s="674"/>
      <c r="AG148" s="674"/>
      <c r="AH148" s="674"/>
      <c r="AI148" s="674"/>
      <c r="AJ148" s="674"/>
      <c r="AK148" s="729"/>
      <c r="AL148" s="729"/>
      <c r="AM148" s="729"/>
      <c r="AN148" s="729"/>
      <c r="AO148" s="729"/>
      <c r="AP148" s="729"/>
      <c r="AQ148" s="729"/>
      <c r="AR148" s="729"/>
      <c r="AS148" s="729"/>
      <c r="AT148" s="729"/>
      <c r="AU148" s="729"/>
      <c r="AV148" s="729"/>
      <c r="AW148" s="729"/>
      <c r="AX148" s="729"/>
      <c r="AY148" s="729"/>
    </row>
    <row r="149" spans="1:51">
      <c r="A149" s="674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4"/>
      <c r="P149" s="674"/>
      <c r="Q149" s="674"/>
      <c r="R149" s="674"/>
      <c r="S149" s="674"/>
      <c r="T149" s="674"/>
      <c r="U149" s="674"/>
      <c r="V149" s="674"/>
      <c r="W149" s="674"/>
      <c r="X149" s="674"/>
      <c r="Y149" s="674"/>
      <c r="Z149" s="674"/>
      <c r="AA149" s="674"/>
      <c r="AB149" s="674"/>
      <c r="AC149" s="674"/>
      <c r="AD149" s="674"/>
      <c r="AE149" s="674"/>
      <c r="AF149" s="674"/>
      <c r="AG149" s="674"/>
      <c r="AH149" s="674"/>
      <c r="AI149" s="674"/>
      <c r="AJ149" s="674"/>
      <c r="AK149" s="729"/>
      <c r="AL149" s="729"/>
      <c r="AM149" s="729"/>
      <c r="AN149" s="729"/>
      <c r="AO149" s="729"/>
      <c r="AP149" s="729"/>
      <c r="AQ149" s="729"/>
      <c r="AR149" s="729"/>
      <c r="AS149" s="729"/>
      <c r="AT149" s="729"/>
      <c r="AU149" s="729"/>
      <c r="AV149" s="729"/>
      <c r="AW149" s="729"/>
      <c r="AX149" s="729"/>
      <c r="AY149" s="729"/>
    </row>
    <row r="150" spans="1:51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4"/>
      <c r="P150" s="674"/>
      <c r="Q150" s="674"/>
      <c r="R150" s="674"/>
      <c r="S150" s="674"/>
      <c r="T150" s="674"/>
      <c r="U150" s="674"/>
      <c r="V150" s="674"/>
      <c r="W150" s="674"/>
      <c r="X150" s="674"/>
      <c r="Y150" s="674"/>
      <c r="Z150" s="674"/>
      <c r="AA150" s="674"/>
      <c r="AB150" s="674"/>
      <c r="AC150" s="674"/>
      <c r="AD150" s="674"/>
      <c r="AE150" s="674"/>
      <c r="AF150" s="674"/>
      <c r="AG150" s="674"/>
      <c r="AH150" s="674"/>
      <c r="AI150" s="674"/>
      <c r="AJ150" s="674"/>
      <c r="AK150" s="729"/>
      <c r="AL150" s="729"/>
      <c r="AM150" s="729"/>
      <c r="AN150" s="729"/>
      <c r="AO150" s="729"/>
      <c r="AP150" s="729"/>
      <c r="AQ150" s="729"/>
      <c r="AR150" s="729"/>
      <c r="AS150" s="729"/>
      <c r="AT150" s="729"/>
      <c r="AU150" s="729"/>
      <c r="AV150" s="729"/>
      <c r="AW150" s="729"/>
      <c r="AX150" s="729"/>
      <c r="AY150" s="729"/>
    </row>
    <row r="151" spans="1:51">
      <c r="A151" s="674"/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74"/>
      <c r="AB151" s="674"/>
      <c r="AC151" s="674"/>
      <c r="AD151" s="674"/>
      <c r="AE151" s="674"/>
      <c r="AF151" s="674"/>
      <c r="AG151" s="674"/>
      <c r="AH151" s="674"/>
      <c r="AI151" s="674"/>
      <c r="AJ151" s="674"/>
      <c r="AK151" s="729"/>
      <c r="AL151" s="729"/>
      <c r="AM151" s="729"/>
      <c r="AN151" s="729"/>
      <c r="AO151" s="729"/>
      <c r="AP151" s="729"/>
      <c r="AQ151" s="729"/>
      <c r="AR151" s="729"/>
      <c r="AS151" s="729"/>
      <c r="AT151" s="729"/>
      <c r="AU151" s="729"/>
      <c r="AV151" s="729"/>
      <c r="AW151" s="729"/>
      <c r="AX151" s="729"/>
      <c r="AY151" s="729"/>
    </row>
    <row r="152" spans="1:51">
      <c r="A152" s="674"/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74"/>
      <c r="AB152" s="674"/>
      <c r="AC152" s="674"/>
      <c r="AD152" s="674"/>
      <c r="AE152" s="674"/>
      <c r="AF152" s="674"/>
      <c r="AG152" s="674"/>
      <c r="AH152" s="674"/>
      <c r="AI152" s="674"/>
      <c r="AJ152" s="674"/>
      <c r="AK152" s="729"/>
      <c r="AL152" s="729"/>
      <c r="AM152" s="729"/>
      <c r="AN152" s="729"/>
      <c r="AO152" s="729"/>
      <c r="AP152" s="729"/>
      <c r="AQ152" s="729"/>
      <c r="AR152" s="729"/>
      <c r="AS152" s="729"/>
      <c r="AT152" s="729"/>
      <c r="AU152" s="729"/>
      <c r="AV152" s="729"/>
      <c r="AW152" s="729"/>
      <c r="AX152" s="729"/>
      <c r="AY152" s="729"/>
    </row>
    <row r="153" spans="1:51">
      <c r="A153" s="674"/>
      <c r="B153" s="674"/>
      <c r="C153" s="674"/>
      <c r="D153" s="674"/>
      <c r="E153" s="674"/>
      <c r="F153" s="674"/>
      <c r="G153" s="674"/>
      <c r="H153" s="674"/>
      <c r="I153" s="674"/>
      <c r="J153" s="674"/>
      <c r="K153" s="674"/>
      <c r="L153" s="674"/>
      <c r="M153" s="674"/>
      <c r="N153" s="674"/>
      <c r="O153" s="674"/>
      <c r="P153" s="674"/>
      <c r="Q153" s="674"/>
      <c r="R153" s="674"/>
      <c r="S153" s="674"/>
      <c r="T153" s="674"/>
      <c r="U153" s="674"/>
      <c r="V153" s="674"/>
      <c r="W153" s="674"/>
      <c r="X153" s="674"/>
      <c r="Y153" s="674"/>
      <c r="Z153" s="674"/>
      <c r="AA153" s="674"/>
      <c r="AB153" s="674"/>
      <c r="AC153" s="674"/>
      <c r="AD153" s="674"/>
      <c r="AE153" s="674"/>
      <c r="AF153" s="674"/>
      <c r="AG153" s="674"/>
      <c r="AH153" s="674"/>
      <c r="AI153" s="674"/>
      <c r="AJ153" s="674"/>
      <c r="AK153" s="729"/>
      <c r="AL153" s="729"/>
      <c r="AM153" s="729"/>
      <c r="AN153" s="729"/>
      <c r="AO153" s="729"/>
      <c r="AP153" s="729"/>
      <c r="AQ153" s="729"/>
      <c r="AR153" s="729"/>
      <c r="AS153" s="729"/>
      <c r="AT153" s="729"/>
      <c r="AU153" s="729"/>
      <c r="AV153" s="729"/>
      <c r="AW153" s="729"/>
      <c r="AX153" s="729"/>
      <c r="AY153" s="729"/>
    </row>
    <row r="154" spans="1:51">
      <c r="A154" s="674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4"/>
      <c r="P154" s="674"/>
      <c r="Q154" s="674"/>
      <c r="R154" s="674"/>
      <c r="S154" s="674"/>
      <c r="T154" s="674"/>
      <c r="U154" s="674"/>
      <c r="V154" s="674"/>
      <c r="W154" s="674"/>
      <c r="X154" s="674"/>
      <c r="Y154" s="674"/>
      <c r="Z154" s="674"/>
      <c r="AA154" s="674"/>
      <c r="AB154" s="674"/>
      <c r="AC154" s="674"/>
      <c r="AD154" s="674"/>
      <c r="AE154" s="674"/>
      <c r="AF154" s="674"/>
      <c r="AG154" s="674"/>
      <c r="AH154" s="674"/>
      <c r="AI154" s="674"/>
      <c r="AJ154" s="674"/>
      <c r="AK154" s="729"/>
      <c r="AL154" s="729"/>
      <c r="AM154" s="729"/>
      <c r="AN154" s="729"/>
      <c r="AO154" s="729"/>
      <c r="AP154" s="729"/>
      <c r="AQ154" s="729"/>
      <c r="AR154" s="729"/>
      <c r="AS154" s="729"/>
      <c r="AT154" s="729"/>
      <c r="AU154" s="729"/>
      <c r="AV154" s="729"/>
      <c r="AW154" s="729"/>
      <c r="AX154" s="729"/>
      <c r="AY154" s="729"/>
    </row>
    <row r="155" spans="1:51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4"/>
      <c r="P155" s="674"/>
      <c r="Q155" s="674"/>
      <c r="R155" s="674"/>
      <c r="S155" s="674"/>
      <c r="T155" s="674"/>
      <c r="U155" s="674"/>
      <c r="V155" s="674"/>
      <c r="W155" s="674"/>
      <c r="X155" s="674"/>
      <c r="Y155" s="674"/>
      <c r="Z155" s="674"/>
      <c r="AA155" s="674"/>
      <c r="AB155" s="674"/>
      <c r="AC155" s="674"/>
      <c r="AD155" s="674"/>
      <c r="AE155" s="674"/>
      <c r="AF155" s="674"/>
      <c r="AG155" s="674"/>
      <c r="AH155" s="674"/>
      <c r="AI155" s="674"/>
      <c r="AJ155" s="674"/>
      <c r="AK155" s="729"/>
      <c r="AL155" s="729"/>
      <c r="AM155" s="729"/>
      <c r="AN155" s="729"/>
      <c r="AO155" s="729"/>
      <c r="AP155" s="729"/>
      <c r="AQ155" s="729"/>
      <c r="AR155" s="729"/>
      <c r="AS155" s="729"/>
      <c r="AT155" s="729"/>
      <c r="AU155" s="729"/>
      <c r="AV155" s="729"/>
      <c r="AW155" s="729"/>
      <c r="AX155" s="729"/>
      <c r="AY155" s="729"/>
    </row>
    <row r="156" spans="1:51">
      <c r="A156" s="674"/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74"/>
      <c r="AB156" s="674"/>
      <c r="AC156" s="674"/>
      <c r="AD156" s="674"/>
      <c r="AE156" s="674"/>
      <c r="AF156" s="674"/>
      <c r="AG156" s="674"/>
      <c r="AH156" s="674"/>
      <c r="AI156" s="674"/>
      <c r="AJ156" s="674"/>
      <c r="AK156" s="729"/>
      <c r="AL156" s="729"/>
      <c r="AM156" s="729"/>
      <c r="AN156" s="729"/>
      <c r="AO156" s="729"/>
      <c r="AP156" s="729"/>
      <c r="AQ156" s="729"/>
      <c r="AR156" s="729"/>
      <c r="AS156" s="729"/>
      <c r="AT156" s="729"/>
      <c r="AU156" s="729"/>
      <c r="AV156" s="729"/>
      <c r="AW156" s="729"/>
      <c r="AX156" s="729"/>
      <c r="AY156" s="729"/>
    </row>
    <row r="157" spans="1:51">
      <c r="A157" s="674"/>
      <c r="B157" s="674"/>
      <c r="C157" s="674"/>
      <c r="D157" s="674"/>
      <c r="E157" s="674"/>
      <c r="F157" s="674"/>
      <c r="G157" s="674"/>
      <c r="H157" s="674"/>
      <c r="I157" s="674"/>
      <c r="J157" s="674"/>
      <c r="K157" s="674"/>
      <c r="L157" s="674"/>
      <c r="M157" s="674"/>
      <c r="N157" s="674"/>
      <c r="O157" s="674"/>
      <c r="P157" s="674"/>
      <c r="Q157" s="674"/>
      <c r="R157" s="674"/>
      <c r="S157" s="674"/>
      <c r="T157" s="674"/>
      <c r="U157" s="674"/>
      <c r="V157" s="674"/>
      <c r="W157" s="674"/>
      <c r="X157" s="674"/>
      <c r="Y157" s="674"/>
      <c r="Z157" s="674"/>
      <c r="AA157" s="674"/>
      <c r="AB157" s="674"/>
      <c r="AC157" s="674"/>
      <c r="AD157" s="674"/>
      <c r="AE157" s="674"/>
      <c r="AF157" s="674"/>
      <c r="AG157" s="674"/>
      <c r="AH157" s="674"/>
      <c r="AI157" s="674"/>
      <c r="AJ157" s="674"/>
      <c r="AK157" s="729"/>
      <c r="AL157" s="729"/>
      <c r="AM157" s="729"/>
      <c r="AN157" s="729"/>
      <c r="AO157" s="729"/>
      <c r="AP157" s="729"/>
      <c r="AQ157" s="729"/>
      <c r="AR157" s="729"/>
      <c r="AS157" s="729"/>
      <c r="AT157" s="729"/>
      <c r="AU157" s="729"/>
      <c r="AV157" s="729"/>
      <c r="AW157" s="729"/>
      <c r="AX157" s="729"/>
      <c r="AY157" s="729"/>
    </row>
    <row r="158" spans="1:51">
      <c r="A158" s="674"/>
      <c r="B158" s="674"/>
      <c r="C158" s="674"/>
      <c r="D158" s="674"/>
      <c r="E158" s="674"/>
      <c r="F158" s="674"/>
      <c r="G158" s="674"/>
      <c r="H158" s="674"/>
      <c r="I158" s="674"/>
      <c r="J158" s="674"/>
      <c r="K158" s="674"/>
      <c r="L158" s="674"/>
      <c r="M158" s="674"/>
      <c r="N158" s="674"/>
      <c r="O158" s="674"/>
      <c r="P158" s="674"/>
      <c r="Q158" s="674"/>
      <c r="R158" s="674"/>
      <c r="S158" s="674"/>
      <c r="T158" s="674"/>
      <c r="U158" s="674"/>
      <c r="V158" s="674"/>
      <c r="W158" s="674"/>
      <c r="X158" s="674"/>
      <c r="Y158" s="674"/>
      <c r="Z158" s="674"/>
      <c r="AA158" s="674"/>
      <c r="AB158" s="674"/>
      <c r="AC158" s="674"/>
      <c r="AD158" s="674"/>
      <c r="AE158" s="674"/>
      <c r="AF158" s="674"/>
      <c r="AG158" s="674"/>
      <c r="AH158" s="674"/>
      <c r="AI158" s="674"/>
      <c r="AJ158" s="674"/>
      <c r="AK158" s="729"/>
      <c r="AL158" s="729"/>
      <c r="AM158" s="729"/>
      <c r="AN158" s="729"/>
      <c r="AO158" s="729"/>
      <c r="AP158" s="729"/>
      <c r="AQ158" s="729"/>
      <c r="AR158" s="729"/>
      <c r="AS158" s="729"/>
      <c r="AT158" s="729"/>
      <c r="AU158" s="729"/>
      <c r="AV158" s="729"/>
      <c r="AW158" s="729"/>
      <c r="AX158" s="729"/>
      <c r="AY158" s="729"/>
    </row>
    <row r="159" spans="1:51">
      <c r="A159" s="674"/>
      <c r="B159" s="674"/>
      <c r="C159" s="674"/>
      <c r="D159" s="674"/>
      <c r="E159" s="674"/>
      <c r="F159" s="674"/>
      <c r="G159" s="674"/>
      <c r="H159" s="674"/>
      <c r="I159" s="674"/>
      <c r="J159" s="674"/>
      <c r="K159" s="674"/>
      <c r="L159" s="674"/>
      <c r="M159" s="674"/>
      <c r="N159" s="674"/>
      <c r="O159" s="674"/>
      <c r="P159" s="674"/>
      <c r="Q159" s="674"/>
      <c r="R159" s="674"/>
      <c r="S159" s="674"/>
      <c r="T159" s="674"/>
      <c r="U159" s="674"/>
      <c r="V159" s="674"/>
      <c r="W159" s="674"/>
      <c r="X159" s="674"/>
      <c r="Y159" s="674"/>
      <c r="Z159" s="674"/>
      <c r="AA159" s="674"/>
      <c r="AB159" s="674"/>
      <c r="AC159" s="674"/>
      <c r="AD159" s="674"/>
      <c r="AE159" s="674"/>
      <c r="AF159" s="674"/>
      <c r="AG159" s="674"/>
      <c r="AH159" s="674"/>
      <c r="AI159" s="674"/>
      <c r="AJ159" s="674"/>
      <c r="AK159" s="729"/>
      <c r="AL159" s="729"/>
      <c r="AM159" s="729"/>
      <c r="AN159" s="729"/>
      <c r="AO159" s="729"/>
      <c r="AP159" s="729"/>
      <c r="AQ159" s="729"/>
      <c r="AR159" s="729"/>
      <c r="AS159" s="729"/>
      <c r="AT159" s="729"/>
      <c r="AU159" s="729"/>
      <c r="AV159" s="729"/>
      <c r="AW159" s="729"/>
      <c r="AX159" s="729"/>
      <c r="AY159" s="729"/>
    </row>
    <row r="160" spans="1:51">
      <c r="A160" s="674"/>
      <c r="B160" s="674"/>
      <c r="C160" s="674"/>
      <c r="D160" s="674"/>
      <c r="E160" s="674"/>
      <c r="F160" s="674"/>
      <c r="G160" s="674"/>
      <c r="H160" s="674"/>
      <c r="I160" s="674"/>
      <c r="J160" s="674"/>
      <c r="K160" s="674"/>
      <c r="L160" s="674"/>
      <c r="M160" s="674"/>
      <c r="N160" s="674"/>
      <c r="O160" s="674"/>
      <c r="P160" s="674"/>
      <c r="Q160" s="674"/>
      <c r="R160" s="674"/>
      <c r="S160" s="674"/>
      <c r="T160" s="674"/>
      <c r="U160" s="674"/>
      <c r="V160" s="674"/>
      <c r="W160" s="674"/>
      <c r="X160" s="674"/>
      <c r="Y160" s="674"/>
      <c r="Z160" s="674"/>
      <c r="AA160" s="674"/>
      <c r="AB160" s="674"/>
      <c r="AC160" s="674"/>
      <c r="AD160" s="674"/>
      <c r="AE160" s="674"/>
      <c r="AF160" s="674"/>
      <c r="AG160" s="674"/>
      <c r="AH160" s="674"/>
      <c r="AI160" s="674"/>
      <c r="AJ160" s="674"/>
      <c r="AK160" s="729"/>
      <c r="AL160" s="729"/>
      <c r="AM160" s="729"/>
      <c r="AN160" s="729"/>
      <c r="AO160" s="729"/>
      <c r="AP160" s="729"/>
      <c r="AQ160" s="729"/>
      <c r="AR160" s="729"/>
      <c r="AS160" s="729"/>
      <c r="AT160" s="729"/>
      <c r="AU160" s="729"/>
      <c r="AV160" s="729"/>
      <c r="AW160" s="729"/>
      <c r="AX160" s="729"/>
      <c r="AY160" s="729"/>
    </row>
    <row r="161" spans="1:51">
      <c r="A161" s="674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4"/>
      <c r="P161" s="674"/>
      <c r="Q161" s="674"/>
      <c r="R161" s="674"/>
      <c r="S161" s="674"/>
      <c r="T161" s="674"/>
      <c r="U161" s="674"/>
      <c r="V161" s="674"/>
      <c r="W161" s="674"/>
      <c r="X161" s="674"/>
      <c r="Y161" s="674"/>
      <c r="Z161" s="674"/>
      <c r="AA161" s="674"/>
      <c r="AB161" s="674"/>
      <c r="AC161" s="674"/>
      <c r="AD161" s="674"/>
      <c r="AE161" s="674"/>
      <c r="AF161" s="674"/>
      <c r="AG161" s="674"/>
      <c r="AH161" s="674"/>
      <c r="AI161" s="674"/>
      <c r="AJ161" s="674"/>
      <c r="AK161" s="729"/>
      <c r="AL161" s="729"/>
      <c r="AM161" s="729"/>
      <c r="AN161" s="729"/>
      <c r="AO161" s="729"/>
      <c r="AP161" s="729"/>
      <c r="AQ161" s="729"/>
      <c r="AR161" s="729"/>
      <c r="AS161" s="729"/>
      <c r="AT161" s="729"/>
      <c r="AU161" s="729"/>
      <c r="AV161" s="729"/>
      <c r="AW161" s="729"/>
      <c r="AX161" s="729"/>
      <c r="AY161" s="729"/>
    </row>
    <row r="162" spans="1:51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4"/>
      <c r="P162" s="674"/>
      <c r="Q162" s="674"/>
      <c r="R162" s="674"/>
      <c r="S162" s="674"/>
      <c r="T162" s="674"/>
      <c r="U162" s="674"/>
      <c r="V162" s="674"/>
      <c r="W162" s="674"/>
      <c r="X162" s="674"/>
      <c r="Y162" s="674"/>
      <c r="Z162" s="674"/>
      <c r="AA162" s="674"/>
      <c r="AB162" s="674"/>
      <c r="AC162" s="674"/>
      <c r="AD162" s="674"/>
      <c r="AE162" s="674"/>
      <c r="AF162" s="674"/>
      <c r="AG162" s="674"/>
      <c r="AH162" s="674"/>
      <c r="AI162" s="674"/>
      <c r="AJ162" s="674"/>
      <c r="AK162" s="729"/>
      <c r="AL162" s="729"/>
      <c r="AM162" s="729"/>
      <c r="AN162" s="729"/>
      <c r="AO162" s="729"/>
      <c r="AP162" s="729"/>
      <c r="AQ162" s="729"/>
      <c r="AR162" s="729"/>
      <c r="AS162" s="729"/>
      <c r="AT162" s="729"/>
      <c r="AU162" s="729"/>
      <c r="AV162" s="729"/>
      <c r="AW162" s="729"/>
      <c r="AX162" s="729"/>
      <c r="AY162" s="729"/>
    </row>
    <row r="163" spans="1:51">
      <c r="A163" s="674"/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74"/>
      <c r="AB163" s="674"/>
      <c r="AC163" s="674"/>
      <c r="AD163" s="674"/>
      <c r="AE163" s="674"/>
      <c r="AF163" s="674"/>
      <c r="AG163" s="674"/>
      <c r="AH163" s="674"/>
      <c r="AI163" s="674"/>
      <c r="AJ163" s="674"/>
      <c r="AK163" s="729"/>
      <c r="AL163" s="729"/>
      <c r="AM163" s="729"/>
      <c r="AN163" s="729"/>
      <c r="AO163" s="729"/>
      <c r="AP163" s="729"/>
      <c r="AQ163" s="729"/>
      <c r="AR163" s="729"/>
      <c r="AS163" s="729"/>
      <c r="AT163" s="729"/>
      <c r="AU163" s="729"/>
      <c r="AV163" s="729"/>
      <c r="AW163" s="729"/>
      <c r="AX163" s="729"/>
      <c r="AY163" s="729"/>
    </row>
    <row r="164" spans="1:51">
      <c r="A164" s="674"/>
      <c r="B164" s="674"/>
      <c r="C164" s="674"/>
      <c r="D164" s="674"/>
      <c r="E164" s="674"/>
      <c r="F164" s="674"/>
      <c r="G164" s="674"/>
      <c r="H164" s="674"/>
      <c r="I164" s="674"/>
      <c r="J164" s="674"/>
      <c r="K164" s="674"/>
      <c r="L164" s="674"/>
      <c r="M164" s="674"/>
      <c r="N164" s="674"/>
      <c r="O164" s="674"/>
      <c r="P164" s="674"/>
      <c r="Q164" s="674"/>
      <c r="R164" s="674"/>
      <c r="S164" s="674"/>
      <c r="T164" s="674"/>
      <c r="U164" s="674"/>
      <c r="V164" s="674"/>
      <c r="W164" s="674"/>
      <c r="X164" s="674"/>
      <c r="Y164" s="674"/>
      <c r="Z164" s="674"/>
      <c r="AA164" s="674"/>
      <c r="AB164" s="674"/>
      <c r="AC164" s="674"/>
      <c r="AD164" s="674"/>
      <c r="AE164" s="674"/>
      <c r="AF164" s="674"/>
      <c r="AG164" s="674"/>
      <c r="AH164" s="674"/>
      <c r="AI164" s="674"/>
      <c r="AJ164" s="674"/>
      <c r="AK164" s="729"/>
      <c r="AL164" s="729"/>
      <c r="AM164" s="729"/>
      <c r="AN164" s="729"/>
      <c r="AO164" s="729"/>
      <c r="AP164" s="729"/>
      <c r="AQ164" s="729"/>
      <c r="AR164" s="729"/>
      <c r="AS164" s="729"/>
      <c r="AT164" s="729"/>
      <c r="AU164" s="729"/>
      <c r="AV164" s="729"/>
      <c r="AW164" s="729"/>
      <c r="AX164" s="729"/>
      <c r="AY164" s="729"/>
    </row>
    <row r="165" spans="1:51">
      <c r="A165" s="674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4"/>
      <c r="P165" s="674"/>
      <c r="Q165" s="674"/>
      <c r="R165" s="674"/>
      <c r="S165" s="674"/>
      <c r="T165" s="674"/>
      <c r="U165" s="674"/>
      <c r="V165" s="674"/>
      <c r="W165" s="674"/>
      <c r="X165" s="674"/>
      <c r="Y165" s="674"/>
      <c r="Z165" s="674"/>
      <c r="AA165" s="674"/>
      <c r="AB165" s="674"/>
      <c r="AC165" s="674"/>
      <c r="AD165" s="674"/>
      <c r="AE165" s="674"/>
      <c r="AF165" s="674"/>
      <c r="AG165" s="674"/>
      <c r="AH165" s="674"/>
      <c r="AI165" s="674"/>
      <c r="AJ165" s="674"/>
      <c r="AK165" s="729"/>
      <c r="AL165" s="729"/>
      <c r="AM165" s="729"/>
      <c r="AN165" s="729"/>
      <c r="AO165" s="729"/>
      <c r="AP165" s="729"/>
      <c r="AQ165" s="729"/>
      <c r="AR165" s="729"/>
      <c r="AS165" s="729"/>
      <c r="AT165" s="729"/>
      <c r="AU165" s="729"/>
      <c r="AV165" s="729"/>
      <c r="AW165" s="729"/>
      <c r="AX165" s="729"/>
      <c r="AY165" s="729"/>
    </row>
    <row r="166" spans="1:51">
      <c r="A166" s="494" t="s">
        <v>960</v>
      </c>
      <c r="B166" s="494"/>
      <c r="C166" s="494"/>
      <c r="D166" s="494"/>
      <c r="E166" s="494"/>
      <c r="F166" s="494"/>
      <c r="G166" s="494"/>
      <c r="H166" s="494"/>
      <c r="I166" s="494"/>
      <c r="J166" s="494"/>
      <c r="K166" s="494"/>
      <c r="L166" s="494"/>
      <c r="M166" s="494"/>
      <c r="N166" s="494"/>
      <c r="O166" s="494"/>
      <c r="P166" s="494"/>
      <c r="Q166" s="494"/>
      <c r="R166" s="494"/>
      <c r="S166" s="464"/>
      <c r="T166" s="464"/>
      <c r="U166" s="464"/>
      <c r="V166" s="464"/>
      <c r="W166" s="464"/>
      <c r="X166" s="464"/>
      <c r="Y166" s="464"/>
      <c r="Z166" s="464"/>
      <c r="AA166" s="464"/>
      <c r="AB166" s="464"/>
      <c r="AC166" s="464"/>
      <c r="AD166" s="464"/>
      <c r="AE166" s="464"/>
      <c r="AF166" s="464"/>
      <c r="AG166" s="464"/>
      <c r="AH166" s="464"/>
      <c r="AI166" s="464"/>
      <c r="AJ166" s="464"/>
      <c r="AK166" s="729"/>
      <c r="AL166" s="729"/>
      <c r="AM166" s="729"/>
      <c r="AN166" s="729"/>
      <c r="AO166" s="729"/>
      <c r="AP166" s="729"/>
      <c r="AQ166" s="729"/>
      <c r="AR166" s="729"/>
      <c r="AS166" s="729"/>
      <c r="AT166" s="729"/>
      <c r="AU166" s="729"/>
      <c r="AV166" s="729"/>
      <c r="AW166" s="729"/>
      <c r="AX166" s="729"/>
      <c r="AY166" s="729"/>
    </row>
    <row r="167" spans="1:51" ht="18" customHeight="1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9"/>
      <c r="P167" s="729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  <c r="AF167" s="729"/>
      <c r="AG167" s="729"/>
      <c r="AH167" s="729"/>
      <c r="AI167" s="729"/>
      <c r="AJ167" s="729"/>
      <c r="AK167" s="729"/>
      <c r="AL167" s="729"/>
      <c r="AM167" s="729"/>
      <c r="AN167" s="729"/>
      <c r="AO167" s="729"/>
      <c r="AP167" s="729"/>
      <c r="AQ167" s="729"/>
      <c r="AR167" s="729"/>
      <c r="AS167" s="729"/>
      <c r="AT167" s="729"/>
      <c r="AU167" s="729"/>
      <c r="AV167" s="729"/>
      <c r="AW167" s="729"/>
      <c r="AX167" s="729"/>
      <c r="AY167" s="729"/>
    </row>
    <row r="168" spans="1:51" ht="18" customHeight="1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9"/>
      <c r="P168" s="729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  <c r="AF168" s="729"/>
      <c r="AG168" s="729"/>
      <c r="AH168" s="729"/>
      <c r="AI168" s="729"/>
      <c r="AJ168" s="729"/>
      <c r="AK168" s="729"/>
      <c r="AL168" s="729"/>
      <c r="AM168" s="729"/>
      <c r="AN168" s="729"/>
      <c r="AO168" s="729"/>
      <c r="AP168" s="729"/>
      <c r="AQ168" s="729"/>
      <c r="AR168" s="729"/>
      <c r="AS168" s="729"/>
      <c r="AT168" s="729"/>
      <c r="AU168" s="729"/>
      <c r="AV168" s="729"/>
      <c r="AW168" s="729"/>
      <c r="AX168" s="729"/>
      <c r="AY168" s="729"/>
    </row>
    <row r="169" spans="1:51" ht="18" customHeight="1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9"/>
      <c r="P169" s="729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  <c r="AF169" s="729"/>
      <c r="AG169" s="729"/>
      <c r="AH169" s="729"/>
      <c r="AI169" s="729"/>
      <c r="AJ169" s="729"/>
      <c r="AK169" s="729"/>
      <c r="AL169" s="729"/>
      <c r="AM169" s="729"/>
      <c r="AN169" s="729"/>
      <c r="AO169" s="729"/>
      <c r="AP169" s="729"/>
      <c r="AQ169" s="729"/>
      <c r="AR169" s="729"/>
      <c r="AS169" s="729"/>
      <c r="AT169" s="729"/>
      <c r="AU169" s="729"/>
      <c r="AV169" s="729"/>
      <c r="AW169" s="729"/>
      <c r="AX169" s="729"/>
      <c r="AY169" s="729"/>
    </row>
    <row r="170" spans="1:51" ht="18" customHeight="1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9"/>
      <c r="P170" s="729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  <c r="AF170" s="729"/>
      <c r="AG170" s="729"/>
      <c r="AH170" s="729"/>
      <c r="AI170" s="729"/>
      <c r="AJ170" s="729"/>
      <c r="AK170" s="729"/>
      <c r="AL170" s="729"/>
      <c r="AM170" s="729"/>
      <c r="AN170" s="729"/>
      <c r="AO170" s="729"/>
      <c r="AP170" s="729"/>
      <c r="AQ170" s="729"/>
      <c r="AR170" s="729"/>
      <c r="AS170" s="729"/>
      <c r="AT170" s="729"/>
      <c r="AU170" s="729"/>
      <c r="AV170" s="729"/>
      <c r="AW170" s="729"/>
      <c r="AX170" s="729"/>
      <c r="AY170" s="729"/>
    </row>
    <row r="171" spans="1:51" ht="18" customHeight="1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9"/>
      <c r="P171" s="729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  <c r="AF171" s="729"/>
      <c r="AG171" s="729"/>
      <c r="AH171" s="729"/>
      <c r="AI171" s="729"/>
      <c r="AJ171" s="729"/>
      <c r="AK171" s="729"/>
      <c r="AL171" s="729"/>
      <c r="AM171" s="729"/>
      <c r="AN171" s="729"/>
      <c r="AO171" s="729"/>
      <c r="AP171" s="729"/>
      <c r="AQ171" s="729"/>
      <c r="AR171" s="729"/>
      <c r="AS171" s="729"/>
      <c r="AT171" s="729"/>
      <c r="AU171" s="729"/>
      <c r="AV171" s="729"/>
      <c r="AW171" s="729"/>
      <c r="AX171" s="729"/>
      <c r="AY171" s="729"/>
    </row>
    <row r="172" spans="1:51" ht="18" customHeight="1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  <c r="AF172" s="729"/>
      <c r="AG172" s="729"/>
      <c r="AH172" s="729"/>
      <c r="AI172" s="729"/>
      <c r="AJ172" s="729"/>
      <c r="AK172" s="729"/>
      <c r="AL172" s="729"/>
      <c r="AM172" s="729"/>
      <c r="AN172" s="729"/>
      <c r="AO172" s="729"/>
      <c r="AP172" s="729"/>
      <c r="AQ172" s="729"/>
      <c r="AR172" s="729"/>
      <c r="AS172" s="729"/>
      <c r="AT172" s="729"/>
      <c r="AU172" s="729"/>
      <c r="AV172" s="729"/>
      <c r="AW172" s="729"/>
      <c r="AX172" s="729"/>
      <c r="AY172" s="729"/>
    </row>
    <row r="173" spans="1:51" ht="18" customHeight="1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  <c r="AF173" s="729"/>
      <c r="AG173" s="729"/>
      <c r="AH173" s="729"/>
      <c r="AI173" s="729"/>
      <c r="AJ173" s="729"/>
      <c r="AK173" s="729"/>
      <c r="AL173" s="729"/>
      <c r="AM173" s="729"/>
      <c r="AN173" s="729"/>
      <c r="AO173" s="729"/>
      <c r="AP173" s="729"/>
      <c r="AQ173" s="729"/>
      <c r="AR173" s="729"/>
      <c r="AS173" s="729"/>
      <c r="AT173" s="729"/>
      <c r="AU173" s="729"/>
      <c r="AV173" s="729"/>
      <c r="AW173" s="729"/>
      <c r="AX173" s="729"/>
      <c r="AY173" s="729"/>
    </row>
    <row r="174" spans="1:51" ht="18" customHeight="1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  <c r="AF174" s="729"/>
      <c r="AG174" s="729"/>
      <c r="AH174" s="729"/>
      <c r="AI174" s="729"/>
      <c r="AJ174" s="729"/>
      <c r="AK174" s="729"/>
      <c r="AL174" s="729"/>
      <c r="AM174" s="729"/>
      <c r="AN174" s="729"/>
      <c r="AO174" s="729"/>
      <c r="AP174" s="729"/>
      <c r="AQ174" s="729"/>
      <c r="AR174" s="729"/>
      <c r="AS174" s="729"/>
      <c r="AT174" s="729"/>
      <c r="AU174" s="729"/>
      <c r="AV174" s="729"/>
      <c r="AW174" s="729"/>
      <c r="AX174" s="729"/>
      <c r="AY174" s="729"/>
    </row>
    <row r="175" spans="1:51" ht="18" customHeight="1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  <c r="AF175" s="729"/>
      <c r="AG175" s="729"/>
      <c r="AH175" s="729"/>
      <c r="AI175" s="729"/>
      <c r="AJ175" s="729"/>
      <c r="AK175" s="729"/>
      <c r="AL175" s="729"/>
      <c r="AM175" s="729"/>
      <c r="AN175" s="729"/>
      <c r="AO175" s="729"/>
      <c r="AP175" s="729"/>
      <c r="AQ175" s="729"/>
      <c r="AR175" s="729"/>
      <c r="AS175" s="729"/>
      <c r="AT175" s="729"/>
      <c r="AU175" s="729"/>
      <c r="AV175" s="729"/>
      <c r="AW175" s="729"/>
      <c r="AX175" s="729"/>
      <c r="AY175" s="729"/>
    </row>
    <row r="176" spans="1:51" ht="18" customHeight="1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  <c r="AF176" s="729"/>
      <c r="AG176" s="729"/>
      <c r="AH176" s="729"/>
      <c r="AI176" s="729"/>
      <c r="AJ176" s="729"/>
      <c r="AK176" s="729"/>
      <c r="AL176" s="729"/>
      <c r="AM176" s="729"/>
      <c r="AN176" s="729"/>
      <c r="AO176" s="729"/>
      <c r="AP176" s="729"/>
      <c r="AQ176" s="729"/>
      <c r="AR176" s="729"/>
      <c r="AS176" s="729"/>
      <c r="AT176" s="729"/>
      <c r="AU176" s="729"/>
      <c r="AV176" s="729"/>
      <c r="AW176" s="729"/>
      <c r="AX176" s="729"/>
      <c r="AY176" s="729"/>
    </row>
    <row r="177" spans="1:51" ht="18" customHeight="1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  <c r="AF177" s="729"/>
      <c r="AG177" s="729"/>
      <c r="AH177" s="729"/>
      <c r="AI177" s="729"/>
      <c r="AJ177" s="729"/>
      <c r="AK177" s="729"/>
      <c r="AL177" s="729"/>
      <c r="AM177" s="729"/>
      <c r="AN177" s="729"/>
      <c r="AO177" s="729"/>
      <c r="AP177" s="729"/>
      <c r="AQ177" s="729"/>
      <c r="AR177" s="729"/>
      <c r="AS177" s="729"/>
      <c r="AT177" s="729"/>
      <c r="AU177" s="729"/>
      <c r="AV177" s="729"/>
      <c r="AW177" s="729"/>
      <c r="AX177" s="729"/>
      <c r="AY177" s="729"/>
    </row>
    <row r="178" spans="1:51" ht="18" customHeight="1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  <c r="AF178" s="729"/>
      <c r="AG178" s="729"/>
      <c r="AH178" s="729"/>
      <c r="AI178" s="729"/>
      <c r="AJ178" s="729"/>
      <c r="AK178" s="729"/>
      <c r="AL178" s="729"/>
      <c r="AM178" s="729"/>
      <c r="AN178" s="729"/>
      <c r="AO178" s="729"/>
      <c r="AP178" s="729"/>
      <c r="AQ178" s="729"/>
      <c r="AR178" s="729"/>
      <c r="AS178" s="729"/>
      <c r="AT178" s="729"/>
      <c r="AU178" s="729"/>
      <c r="AV178" s="729"/>
      <c r="AW178" s="729"/>
      <c r="AX178" s="729"/>
      <c r="AY178" s="729"/>
    </row>
    <row r="179" spans="1:51" ht="18" customHeight="1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  <c r="AF179" s="729"/>
      <c r="AG179" s="729"/>
      <c r="AH179" s="729"/>
      <c r="AI179" s="729"/>
      <c r="AJ179" s="729"/>
      <c r="AK179" s="729"/>
      <c r="AL179" s="729"/>
      <c r="AM179" s="729"/>
      <c r="AN179" s="729"/>
      <c r="AO179" s="729"/>
      <c r="AP179" s="729"/>
      <c r="AQ179" s="729"/>
      <c r="AR179" s="729"/>
      <c r="AS179" s="729"/>
      <c r="AT179" s="729"/>
      <c r="AU179" s="729"/>
      <c r="AV179" s="729"/>
      <c r="AW179" s="729"/>
      <c r="AX179" s="729"/>
      <c r="AY179" s="729"/>
    </row>
    <row r="180" spans="1:51" ht="18" customHeight="1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  <c r="AF180" s="729"/>
      <c r="AG180" s="729"/>
      <c r="AH180" s="729"/>
      <c r="AI180" s="729"/>
      <c r="AJ180" s="729"/>
      <c r="AK180" s="729"/>
      <c r="AL180" s="729"/>
      <c r="AM180" s="729"/>
      <c r="AN180" s="729"/>
      <c r="AO180" s="729"/>
      <c r="AP180" s="729"/>
      <c r="AQ180" s="729"/>
      <c r="AR180" s="729"/>
      <c r="AS180" s="729"/>
      <c r="AT180" s="729"/>
      <c r="AU180" s="729"/>
      <c r="AV180" s="729"/>
      <c r="AW180" s="729"/>
      <c r="AX180" s="729"/>
      <c r="AY180" s="729"/>
    </row>
    <row r="181" spans="1:51" ht="18" customHeight="1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  <c r="AF181" s="729"/>
      <c r="AG181" s="729"/>
      <c r="AH181" s="729"/>
      <c r="AI181" s="729"/>
      <c r="AJ181" s="729"/>
      <c r="AK181" s="729"/>
      <c r="AL181" s="729"/>
      <c r="AM181" s="729"/>
      <c r="AN181" s="729"/>
      <c r="AO181" s="729"/>
      <c r="AP181" s="729"/>
      <c r="AQ181" s="729"/>
      <c r="AR181" s="729"/>
      <c r="AS181" s="729"/>
      <c r="AT181" s="729"/>
      <c r="AU181" s="729"/>
      <c r="AV181" s="729"/>
      <c r="AW181" s="729"/>
      <c r="AX181" s="729"/>
      <c r="AY181" s="729"/>
    </row>
    <row r="182" spans="1:51" ht="18" customHeight="1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  <c r="AF182" s="729"/>
      <c r="AG182" s="729"/>
      <c r="AH182" s="729"/>
      <c r="AI182" s="729"/>
      <c r="AJ182" s="729"/>
      <c r="AK182" s="729"/>
      <c r="AL182" s="729"/>
      <c r="AM182" s="729"/>
      <c r="AN182" s="729"/>
      <c r="AO182" s="729"/>
      <c r="AP182" s="729"/>
      <c r="AQ182" s="729"/>
      <c r="AR182" s="729"/>
      <c r="AS182" s="729"/>
      <c r="AT182" s="729"/>
      <c r="AU182" s="729"/>
      <c r="AV182" s="729"/>
      <c r="AW182" s="729"/>
      <c r="AX182" s="729"/>
      <c r="AY182" s="729"/>
    </row>
    <row r="183" spans="1:51" ht="18" customHeight="1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  <c r="AF183" s="729"/>
      <c r="AG183" s="729"/>
      <c r="AH183" s="729"/>
      <c r="AI183" s="729"/>
      <c r="AJ183" s="729"/>
      <c r="AK183" s="729"/>
      <c r="AL183" s="729"/>
      <c r="AM183" s="729"/>
      <c r="AN183" s="729"/>
      <c r="AO183" s="729"/>
      <c r="AP183" s="729"/>
      <c r="AQ183" s="729"/>
      <c r="AR183" s="729"/>
      <c r="AS183" s="729"/>
      <c r="AT183" s="729"/>
      <c r="AU183" s="729"/>
      <c r="AV183" s="729"/>
      <c r="AW183" s="729"/>
      <c r="AX183" s="729"/>
      <c r="AY183" s="729"/>
    </row>
    <row r="184" spans="1:51" ht="18" customHeight="1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  <c r="AF184" s="729"/>
      <c r="AG184" s="729"/>
      <c r="AH184" s="729"/>
      <c r="AI184" s="729"/>
      <c r="AJ184" s="729"/>
      <c r="AK184" s="729"/>
      <c r="AL184" s="729"/>
      <c r="AM184" s="729"/>
      <c r="AN184" s="729"/>
      <c r="AO184" s="729"/>
      <c r="AP184" s="729"/>
      <c r="AQ184" s="729"/>
      <c r="AR184" s="729"/>
      <c r="AS184" s="729"/>
      <c r="AT184" s="729"/>
      <c r="AU184" s="729"/>
      <c r="AV184" s="729"/>
      <c r="AW184" s="729"/>
      <c r="AX184" s="729"/>
      <c r="AY184" s="729"/>
    </row>
    <row r="185" spans="1:51" ht="18" customHeight="1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  <c r="AF185" s="729"/>
      <c r="AG185" s="729"/>
      <c r="AH185" s="729"/>
      <c r="AI185" s="729"/>
      <c r="AJ185" s="729"/>
      <c r="AK185" s="729"/>
      <c r="AL185" s="729"/>
      <c r="AM185" s="729"/>
      <c r="AN185" s="729"/>
      <c r="AO185" s="729"/>
      <c r="AP185" s="729"/>
      <c r="AQ185" s="729"/>
      <c r="AR185" s="729"/>
      <c r="AS185" s="729"/>
      <c r="AT185" s="729"/>
      <c r="AU185" s="729"/>
      <c r="AV185" s="729"/>
      <c r="AW185" s="729"/>
      <c r="AX185" s="729"/>
      <c r="AY185" s="729"/>
    </row>
    <row r="186" spans="1:51" ht="18" customHeight="1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  <c r="AF186" s="729"/>
      <c r="AG186" s="729"/>
      <c r="AH186" s="729"/>
      <c r="AI186" s="729"/>
      <c r="AJ186" s="729"/>
      <c r="AK186" s="729"/>
      <c r="AL186" s="729"/>
      <c r="AM186" s="729"/>
      <c r="AN186" s="729"/>
      <c r="AO186" s="729"/>
      <c r="AP186" s="729"/>
      <c r="AQ186" s="729"/>
      <c r="AR186" s="729"/>
      <c r="AS186" s="729"/>
      <c r="AT186" s="729"/>
      <c r="AU186" s="729"/>
      <c r="AV186" s="729"/>
      <c r="AW186" s="729"/>
      <c r="AX186" s="729"/>
      <c r="AY186" s="729"/>
    </row>
    <row r="187" spans="1:51" ht="18" customHeight="1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  <c r="AF187" s="729"/>
      <c r="AG187" s="729"/>
      <c r="AH187" s="729"/>
      <c r="AI187" s="729"/>
      <c r="AJ187" s="729"/>
      <c r="AK187" s="729"/>
      <c r="AL187" s="729"/>
      <c r="AM187" s="729"/>
      <c r="AN187" s="729"/>
      <c r="AO187" s="729"/>
      <c r="AP187" s="729"/>
      <c r="AQ187" s="729"/>
      <c r="AR187" s="729"/>
      <c r="AS187" s="729"/>
      <c r="AT187" s="729"/>
      <c r="AU187" s="729"/>
      <c r="AV187" s="729"/>
      <c r="AW187" s="729"/>
      <c r="AX187" s="729"/>
      <c r="AY187" s="729"/>
    </row>
    <row r="188" spans="1:51" ht="18" customHeight="1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  <c r="AF188" s="729"/>
      <c r="AG188" s="729"/>
      <c r="AH188" s="729"/>
      <c r="AI188" s="729"/>
      <c r="AJ188" s="729"/>
      <c r="AK188" s="729"/>
      <c r="AL188" s="729"/>
      <c r="AM188" s="729"/>
      <c r="AN188" s="729"/>
      <c r="AO188" s="729"/>
      <c r="AP188" s="729"/>
      <c r="AQ188" s="729"/>
      <c r="AR188" s="729"/>
      <c r="AS188" s="729"/>
      <c r="AT188" s="729"/>
      <c r="AU188" s="729"/>
      <c r="AV188" s="729"/>
      <c r="AW188" s="729"/>
      <c r="AX188" s="729"/>
      <c r="AY188" s="729"/>
    </row>
    <row r="189" spans="1:51" ht="18" customHeight="1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  <c r="AF189" s="729"/>
      <c r="AG189" s="729"/>
      <c r="AH189" s="729"/>
      <c r="AI189" s="729"/>
      <c r="AJ189" s="729"/>
      <c r="AK189" s="729"/>
      <c r="AL189" s="729"/>
      <c r="AM189" s="729"/>
      <c r="AN189" s="729"/>
      <c r="AO189" s="729"/>
      <c r="AP189" s="729"/>
      <c r="AQ189" s="729"/>
      <c r="AR189" s="729"/>
      <c r="AS189" s="729"/>
      <c r="AT189" s="729"/>
      <c r="AU189" s="729"/>
      <c r="AV189" s="729"/>
      <c r="AW189" s="729"/>
      <c r="AX189" s="729"/>
      <c r="AY189" s="729"/>
    </row>
    <row r="190" spans="1:51" ht="18" customHeight="1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  <c r="AF190" s="729"/>
      <c r="AG190" s="729"/>
      <c r="AH190" s="729"/>
      <c r="AI190" s="729"/>
      <c r="AJ190" s="729"/>
      <c r="AK190" s="729"/>
      <c r="AL190" s="729"/>
      <c r="AM190" s="729"/>
      <c r="AN190" s="729"/>
      <c r="AO190" s="729"/>
      <c r="AP190" s="729"/>
      <c r="AQ190" s="729"/>
      <c r="AR190" s="729"/>
      <c r="AS190" s="729"/>
      <c r="AT190" s="729"/>
      <c r="AU190" s="729"/>
      <c r="AV190" s="729"/>
      <c r="AW190" s="729"/>
      <c r="AX190" s="729"/>
      <c r="AY190" s="729"/>
    </row>
    <row r="191" spans="1:51" ht="18" customHeight="1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  <c r="AF191" s="729"/>
      <c r="AG191" s="729"/>
      <c r="AH191" s="729"/>
      <c r="AI191" s="729"/>
      <c r="AJ191" s="729"/>
      <c r="AK191" s="729"/>
      <c r="AL191" s="729"/>
      <c r="AM191" s="729"/>
      <c r="AN191" s="729"/>
      <c r="AO191" s="729"/>
      <c r="AP191" s="729"/>
      <c r="AQ191" s="729"/>
      <c r="AR191" s="729"/>
      <c r="AS191" s="729"/>
      <c r="AT191" s="729"/>
      <c r="AU191" s="729"/>
      <c r="AV191" s="729"/>
      <c r="AW191" s="729"/>
      <c r="AX191" s="729"/>
      <c r="AY191" s="729"/>
    </row>
    <row r="192" spans="1:51" ht="18" customHeight="1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  <c r="AF192" s="729"/>
      <c r="AG192" s="729"/>
      <c r="AH192" s="729"/>
      <c r="AI192" s="729"/>
      <c r="AJ192" s="729"/>
      <c r="AK192" s="729"/>
      <c r="AL192" s="729"/>
      <c r="AM192" s="729"/>
      <c r="AN192" s="729"/>
      <c r="AO192" s="729"/>
      <c r="AP192" s="729"/>
      <c r="AQ192" s="729"/>
      <c r="AR192" s="729"/>
      <c r="AS192" s="729"/>
      <c r="AT192" s="729"/>
      <c r="AU192" s="729"/>
      <c r="AV192" s="729"/>
      <c r="AW192" s="729"/>
      <c r="AX192" s="729"/>
      <c r="AY192" s="729"/>
    </row>
    <row r="193" spans="1:51" ht="18" customHeight="1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  <c r="AF193" s="729"/>
      <c r="AG193" s="729"/>
      <c r="AH193" s="729"/>
      <c r="AI193" s="729"/>
      <c r="AJ193" s="729"/>
      <c r="AK193" s="729"/>
      <c r="AL193" s="729"/>
      <c r="AM193" s="729"/>
      <c r="AN193" s="729"/>
      <c r="AO193" s="729"/>
      <c r="AP193" s="729"/>
      <c r="AQ193" s="729"/>
      <c r="AR193" s="729"/>
      <c r="AS193" s="729"/>
      <c r="AT193" s="729"/>
      <c r="AU193" s="729"/>
      <c r="AV193" s="729"/>
      <c r="AW193" s="729"/>
      <c r="AX193" s="729"/>
      <c r="AY193" s="729"/>
    </row>
    <row r="194" spans="1:51" ht="18" customHeight="1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  <c r="AF194" s="729"/>
      <c r="AG194" s="729"/>
      <c r="AH194" s="729"/>
      <c r="AI194" s="729"/>
      <c r="AJ194" s="729"/>
      <c r="AK194" s="729"/>
      <c r="AL194" s="729"/>
      <c r="AM194" s="729"/>
      <c r="AN194" s="729"/>
      <c r="AO194" s="729"/>
      <c r="AP194" s="729"/>
      <c r="AQ194" s="729"/>
      <c r="AR194" s="729"/>
      <c r="AS194" s="729"/>
      <c r="AT194" s="729"/>
      <c r="AU194" s="729"/>
      <c r="AV194" s="729"/>
      <c r="AW194" s="729"/>
      <c r="AX194" s="729"/>
      <c r="AY194" s="729"/>
    </row>
    <row r="195" spans="1:51" ht="18" customHeight="1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  <c r="AF195" s="729"/>
      <c r="AG195" s="729"/>
      <c r="AH195" s="729"/>
      <c r="AI195" s="729"/>
      <c r="AJ195" s="729"/>
      <c r="AK195" s="729"/>
      <c r="AL195" s="729"/>
      <c r="AM195" s="729"/>
      <c r="AN195" s="729"/>
      <c r="AO195" s="729"/>
      <c r="AP195" s="729"/>
      <c r="AQ195" s="729"/>
      <c r="AR195" s="729"/>
      <c r="AS195" s="729"/>
      <c r="AT195" s="729"/>
      <c r="AU195" s="729"/>
      <c r="AV195" s="729"/>
      <c r="AW195" s="729"/>
      <c r="AX195" s="729"/>
      <c r="AY195" s="729"/>
    </row>
    <row r="196" spans="1:51" ht="18" customHeight="1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9"/>
      <c r="P196" s="729"/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  <c r="AF196" s="729"/>
      <c r="AG196" s="729"/>
      <c r="AH196" s="729"/>
      <c r="AI196" s="729"/>
      <c r="AJ196" s="729"/>
      <c r="AK196" s="729"/>
      <c r="AL196" s="729"/>
      <c r="AM196" s="729"/>
      <c r="AN196" s="729"/>
      <c r="AO196" s="729"/>
      <c r="AP196" s="729"/>
      <c r="AQ196" s="729"/>
      <c r="AR196" s="729"/>
      <c r="AS196" s="729"/>
      <c r="AT196" s="729"/>
      <c r="AU196" s="729"/>
      <c r="AV196" s="729"/>
      <c r="AW196" s="729"/>
      <c r="AX196" s="729"/>
      <c r="AY196" s="729"/>
    </row>
    <row r="197" spans="1:51" ht="18" customHeight="1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9"/>
      <c r="P197" s="729"/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  <c r="AF197" s="729"/>
      <c r="AG197" s="729"/>
      <c r="AH197" s="729"/>
      <c r="AI197" s="729"/>
      <c r="AJ197" s="729"/>
      <c r="AK197" s="729"/>
      <c r="AL197" s="729"/>
      <c r="AM197" s="729"/>
      <c r="AN197" s="729"/>
      <c r="AO197" s="729"/>
      <c r="AP197" s="729"/>
      <c r="AQ197" s="729"/>
      <c r="AR197" s="729"/>
      <c r="AS197" s="729"/>
      <c r="AT197" s="729"/>
      <c r="AU197" s="729"/>
      <c r="AV197" s="729"/>
      <c r="AW197" s="729"/>
      <c r="AX197" s="729"/>
      <c r="AY197" s="729"/>
    </row>
    <row r="198" spans="1:51" ht="18" customHeight="1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9"/>
      <c r="P198" s="729"/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  <c r="AF198" s="729"/>
      <c r="AG198" s="729"/>
      <c r="AH198" s="729"/>
      <c r="AI198" s="729"/>
      <c r="AJ198" s="729"/>
      <c r="AK198" s="729"/>
      <c r="AL198" s="729"/>
      <c r="AM198" s="729"/>
      <c r="AN198" s="729"/>
      <c r="AO198" s="729"/>
      <c r="AP198" s="729"/>
      <c r="AQ198" s="729"/>
      <c r="AR198" s="729"/>
      <c r="AS198" s="729"/>
      <c r="AT198" s="729"/>
      <c r="AU198" s="729"/>
      <c r="AV198" s="729"/>
      <c r="AW198" s="729"/>
      <c r="AX198" s="729"/>
      <c r="AY198" s="729"/>
    </row>
    <row r="199" spans="1:51" ht="18" customHeight="1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9"/>
      <c r="P199" s="729"/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  <c r="AF199" s="729"/>
      <c r="AG199" s="729"/>
      <c r="AH199" s="729"/>
      <c r="AI199" s="729"/>
      <c r="AJ199" s="729"/>
      <c r="AK199" s="729"/>
      <c r="AL199" s="729"/>
      <c r="AM199" s="729"/>
      <c r="AN199" s="729"/>
      <c r="AO199" s="729"/>
      <c r="AP199" s="729"/>
      <c r="AQ199" s="729"/>
      <c r="AR199" s="729"/>
      <c r="AS199" s="729"/>
      <c r="AT199" s="729"/>
      <c r="AU199" s="729"/>
      <c r="AV199" s="729"/>
      <c r="AW199" s="729"/>
      <c r="AX199" s="729"/>
      <c r="AY199" s="729"/>
    </row>
    <row r="200" spans="1:51" ht="18" customHeight="1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9"/>
      <c r="P200" s="729"/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  <c r="AF200" s="729"/>
      <c r="AG200" s="729"/>
      <c r="AH200" s="729"/>
      <c r="AI200" s="729"/>
      <c r="AJ200" s="729"/>
      <c r="AK200" s="729"/>
      <c r="AL200" s="729"/>
      <c r="AM200" s="729"/>
      <c r="AN200" s="729"/>
      <c r="AO200" s="729"/>
      <c r="AP200" s="729"/>
      <c r="AQ200" s="729"/>
      <c r="AR200" s="729"/>
      <c r="AS200" s="729"/>
      <c r="AT200" s="729"/>
      <c r="AU200" s="729"/>
      <c r="AV200" s="729"/>
      <c r="AW200" s="729"/>
      <c r="AX200" s="729"/>
      <c r="AY200" s="729"/>
    </row>
    <row r="201" spans="1:51" ht="18" customHeight="1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9"/>
      <c r="P201" s="729"/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  <c r="AF201" s="729"/>
      <c r="AG201" s="729"/>
      <c r="AH201" s="729"/>
      <c r="AI201" s="729"/>
      <c r="AJ201" s="729"/>
      <c r="AK201" s="729"/>
      <c r="AL201" s="729"/>
      <c r="AM201" s="729"/>
      <c r="AN201" s="729"/>
      <c r="AO201" s="729"/>
      <c r="AP201" s="729"/>
      <c r="AQ201" s="729"/>
      <c r="AR201" s="729"/>
      <c r="AS201" s="729"/>
      <c r="AT201" s="729"/>
      <c r="AU201" s="729"/>
      <c r="AV201" s="729"/>
      <c r="AW201" s="729"/>
      <c r="AX201" s="729"/>
      <c r="AY201" s="729"/>
    </row>
    <row r="202" spans="1:51" ht="18" customHeight="1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9"/>
      <c r="P202" s="729"/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  <c r="AF202" s="729"/>
      <c r="AG202" s="729"/>
      <c r="AH202" s="729"/>
      <c r="AI202" s="729"/>
      <c r="AJ202" s="729"/>
      <c r="AK202" s="729"/>
      <c r="AL202" s="729"/>
      <c r="AM202" s="729"/>
      <c r="AN202" s="729"/>
      <c r="AO202" s="729"/>
      <c r="AP202" s="729"/>
      <c r="AQ202" s="729"/>
      <c r="AR202" s="729"/>
      <c r="AS202" s="729"/>
      <c r="AT202" s="729"/>
      <c r="AU202" s="729"/>
      <c r="AV202" s="729"/>
      <c r="AW202" s="729"/>
      <c r="AX202" s="729"/>
      <c r="AY202" s="729"/>
    </row>
    <row r="203" spans="1:51" ht="18" customHeight="1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9"/>
      <c r="P203" s="729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  <c r="AF203" s="729"/>
      <c r="AG203" s="729"/>
      <c r="AH203" s="729"/>
      <c r="AI203" s="729"/>
      <c r="AJ203" s="729"/>
      <c r="AK203" s="729"/>
      <c r="AL203" s="729"/>
      <c r="AM203" s="729"/>
      <c r="AN203" s="729"/>
      <c r="AO203" s="729"/>
      <c r="AP203" s="729"/>
      <c r="AQ203" s="729"/>
      <c r="AR203" s="729"/>
      <c r="AS203" s="729"/>
      <c r="AT203" s="729"/>
      <c r="AU203" s="729"/>
      <c r="AV203" s="729"/>
      <c r="AW203" s="729"/>
      <c r="AX203" s="729"/>
      <c r="AY203" s="729"/>
    </row>
    <row r="204" spans="1:51" ht="18" customHeight="1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9"/>
      <c r="P204" s="729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  <c r="AF204" s="729"/>
      <c r="AG204" s="729"/>
      <c r="AH204" s="729"/>
      <c r="AI204" s="729"/>
      <c r="AJ204" s="729"/>
      <c r="AK204" s="729"/>
      <c r="AL204" s="729"/>
      <c r="AM204" s="729"/>
      <c r="AN204" s="729"/>
      <c r="AO204" s="729"/>
      <c r="AP204" s="729"/>
      <c r="AQ204" s="729"/>
      <c r="AR204" s="729"/>
      <c r="AS204" s="729"/>
      <c r="AT204" s="729"/>
      <c r="AU204" s="729"/>
      <c r="AV204" s="729"/>
      <c r="AW204" s="729"/>
      <c r="AX204" s="729"/>
      <c r="AY204" s="729"/>
    </row>
    <row r="205" spans="1:51" ht="18" customHeight="1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9"/>
      <c r="P205" s="729"/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  <c r="AF205" s="729"/>
      <c r="AG205" s="729"/>
      <c r="AH205" s="729"/>
      <c r="AI205" s="729"/>
      <c r="AJ205" s="729"/>
      <c r="AK205" s="729"/>
      <c r="AL205" s="729"/>
      <c r="AM205" s="729"/>
      <c r="AN205" s="729"/>
      <c r="AO205" s="729"/>
      <c r="AP205" s="729"/>
      <c r="AQ205" s="729"/>
      <c r="AR205" s="729"/>
      <c r="AS205" s="729"/>
      <c r="AT205" s="729"/>
      <c r="AU205" s="729"/>
      <c r="AV205" s="729"/>
      <c r="AW205" s="729"/>
      <c r="AX205" s="729"/>
      <c r="AY205" s="729"/>
    </row>
    <row r="206" spans="1:51" ht="18" customHeight="1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9"/>
      <c r="P206" s="729"/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  <c r="AF206" s="729"/>
      <c r="AG206" s="729"/>
      <c r="AH206" s="729"/>
      <c r="AI206" s="729"/>
      <c r="AJ206" s="729"/>
      <c r="AK206" s="729"/>
      <c r="AL206" s="729"/>
      <c r="AM206" s="729"/>
      <c r="AN206" s="729"/>
      <c r="AO206" s="729"/>
      <c r="AP206" s="729"/>
      <c r="AQ206" s="729"/>
      <c r="AR206" s="729"/>
      <c r="AS206" s="729"/>
      <c r="AT206" s="729"/>
      <c r="AU206" s="729"/>
      <c r="AV206" s="729"/>
      <c r="AW206" s="729"/>
      <c r="AX206" s="729"/>
      <c r="AY206" s="729"/>
    </row>
    <row r="207" spans="1:51" ht="18" customHeight="1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9"/>
      <c r="P207" s="729"/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  <c r="AF207" s="729"/>
      <c r="AG207" s="729"/>
      <c r="AH207" s="729"/>
      <c r="AI207" s="729"/>
      <c r="AJ207" s="729"/>
      <c r="AK207" s="729"/>
      <c r="AL207" s="729"/>
      <c r="AM207" s="729"/>
      <c r="AN207" s="729"/>
      <c r="AO207" s="729"/>
      <c r="AP207" s="729"/>
      <c r="AQ207" s="729"/>
      <c r="AR207" s="729"/>
      <c r="AS207" s="729"/>
      <c r="AT207" s="729"/>
      <c r="AU207" s="729"/>
      <c r="AV207" s="729"/>
      <c r="AW207" s="729"/>
      <c r="AX207" s="729"/>
      <c r="AY207" s="729"/>
    </row>
    <row r="208" spans="1:51" ht="18" customHeight="1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9"/>
      <c r="P208" s="729"/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  <c r="AF208" s="729"/>
      <c r="AG208" s="729"/>
      <c r="AH208" s="729"/>
      <c r="AI208" s="729"/>
      <c r="AJ208" s="729"/>
      <c r="AK208" s="729"/>
      <c r="AL208" s="729"/>
      <c r="AM208" s="729"/>
      <c r="AN208" s="729"/>
      <c r="AO208" s="729"/>
      <c r="AP208" s="729"/>
      <c r="AQ208" s="729"/>
      <c r="AR208" s="729"/>
      <c r="AS208" s="729"/>
      <c r="AT208" s="729"/>
      <c r="AU208" s="729"/>
      <c r="AV208" s="729"/>
      <c r="AW208" s="729"/>
      <c r="AX208" s="729"/>
      <c r="AY208" s="729"/>
    </row>
    <row r="209" spans="1:51" ht="18" customHeight="1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9"/>
      <c r="P209" s="729"/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  <c r="AF209" s="729"/>
      <c r="AG209" s="729"/>
      <c r="AH209" s="729"/>
      <c r="AI209" s="729"/>
      <c r="AJ209" s="729"/>
      <c r="AK209" s="729"/>
      <c r="AL209" s="729"/>
      <c r="AM209" s="729"/>
      <c r="AN209" s="729"/>
      <c r="AO209" s="729"/>
      <c r="AP209" s="729"/>
      <c r="AQ209" s="729"/>
      <c r="AR209" s="729"/>
      <c r="AS209" s="729"/>
      <c r="AT209" s="729"/>
      <c r="AU209" s="729"/>
      <c r="AV209" s="729"/>
      <c r="AW209" s="729"/>
      <c r="AX209" s="729"/>
      <c r="AY209" s="729"/>
    </row>
    <row r="210" spans="1:51" ht="18" customHeight="1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9"/>
      <c r="P210" s="729"/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  <c r="AF210" s="729"/>
      <c r="AG210" s="729"/>
      <c r="AH210" s="729"/>
      <c r="AI210" s="729"/>
      <c r="AJ210" s="729"/>
      <c r="AK210" s="729"/>
      <c r="AL210" s="729"/>
      <c r="AM210" s="729"/>
      <c r="AN210" s="729"/>
      <c r="AO210" s="729"/>
      <c r="AP210" s="729"/>
      <c r="AQ210" s="729"/>
      <c r="AR210" s="729"/>
      <c r="AS210" s="729"/>
      <c r="AT210" s="729"/>
      <c r="AU210" s="729"/>
      <c r="AV210" s="729"/>
      <c r="AW210" s="729"/>
      <c r="AX210" s="729"/>
      <c r="AY210" s="729"/>
    </row>
    <row r="211" spans="1:51" ht="18" customHeight="1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9"/>
      <c r="P211" s="729"/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  <c r="AF211" s="729"/>
      <c r="AG211" s="729"/>
      <c r="AH211" s="729"/>
      <c r="AI211" s="729"/>
      <c r="AJ211" s="729"/>
      <c r="AK211" s="729"/>
      <c r="AL211" s="729"/>
      <c r="AM211" s="729"/>
      <c r="AN211" s="729"/>
      <c r="AO211" s="729"/>
      <c r="AP211" s="729"/>
      <c r="AQ211" s="729"/>
      <c r="AR211" s="729"/>
      <c r="AS211" s="729"/>
      <c r="AT211" s="729"/>
      <c r="AU211" s="729"/>
      <c r="AV211" s="729"/>
      <c r="AW211" s="729"/>
      <c r="AX211" s="729"/>
      <c r="AY211" s="729"/>
    </row>
    <row r="212" spans="1:51" ht="18" customHeight="1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  <c r="AF212" s="729"/>
      <c r="AG212" s="729"/>
      <c r="AH212" s="729"/>
      <c r="AI212" s="729"/>
      <c r="AJ212" s="729"/>
      <c r="AK212" s="729"/>
      <c r="AL212" s="729"/>
      <c r="AM212" s="729"/>
      <c r="AN212" s="729"/>
      <c r="AO212" s="729"/>
      <c r="AP212" s="729"/>
      <c r="AQ212" s="729"/>
      <c r="AR212" s="729"/>
      <c r="AS212" s="729"/>
      <c r="AT212" s="729"/>
      <c r="AU212" s="729"/>
      <c r="AV212" s="729"/>
      <c r="AW212" s="729"/>
      <c r="AX212" s="729"/>
      <c r="AY212" s="729"/>
    </row>
    <row r="213" spans="1:51" ht="18" customHeight="1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9"/>
      <c r="P213" s="729"/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  <c r="AF213" s="729"/>
      <c r="AG213" s="729"/>
      <c r="AH213" s="729"/>
      <c r="AI213" s="729"/>
      <c r="AJ213" s="729"/>
      <c r="AK213" s="729"/>
      <c r="AL213" s="729"/>
      <c r="AM213" s="729"/>
      <c r="AN213" s="729"/>
      <c r="AO213" s="729"/>
      <c r="AP213" s="729"/>
      <c r="AQ213" s="729"/>
      <c r="AR213" s="729"/>
      <c r="AS213" s="729"/>
      <c r="AT213" s="729"/>
      <c r="AU213" s="729"/>
      <c r="AV213" s="729"/>
      <c r="AW213" s="729"/>
      <c r="AX213" s="729"/>
      <c r="AY213" s="729"/>
    </row>
    <row r="214" spans="1:51" ht="18" customHeight="1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9"/>
      <c r="P214" s="729"/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  <c r="AF214" s="729"/>
      <c r="AG214" s="729"/>
      <c r="AH214" s="729"/>
      <c r="AI214" s="729"/>
      <c r="AJ214" s="729"/>
      <c r="AK214" s="729"/>
      <c r="AL214" s="729"/>
      <c r="AM214" s="729"/>
      <c r="AN214" s="729"/>
      <c r="AO214" s="729"/>
      <c r="AP214" s="729"/>
      <c r="AQ214" s="729"/>
      <c r="AR214" s="729"/>
      <c r="AS214" s="729"/>
      <c r="AT214" s="729"/>
      <c r="AU214" s="729"/>
      <c r="AV214" s="729"/>
      <c r="AW214" s="729"/>
      <c r="AX214" s="729"/>
      <c r="AY214" s="729"/>
    </row>
    <row r="215" spans="1:51" ht="18" customHeight="1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9"/>
      <c r="P215" s="729"/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  <c r="AF215" s="729"/>
      <c r="AG215" s="729"/>
      <c r="AH215" s="729"/>
      <c r="AI215" s="729"/>
      <c r="AJ215" s="729"/>
      <c r="AK215" s="729"/>
      <c r="AL215" s="729"/>
      <c r="AM215" s="729"/>
      <c r="AN215" s="729"/>
      <c r="AO215" s="729"/>
      <c r="AP215" s="729"/>
      <c r="AQ215" s="729"/>
      <c r="AR215" s="729"/>
      <c r="AS215" s="729"/>
      <c r="AT215" s="729"/>
      <c r="AU215" s="729"/>
      <c r="AV215" s="729"/>
      <c r="AW215" s="729"/>
      <c r="AX215" s="729"/>
      <c r="AY215" s="729"/>
    </row>
    <row r="216" spans="1:51" ht="18" customHeight="1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9"/>
      <c r="P216" s="729"/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  <c r="AF216" s="729"/>
      <c r="AG216" s="729"/>
      <c r="AH216" s="729"/>
      <c r="AI216" s="729"/>
      <c r="AJ216" s="729"/>
      <c r="AK216" s="729"/>
      <c r="AL216" s="729"/>
      <c r="AM216" s="729"/>
      <c r="AN216" s="729"/>
      <c r="AO216" s="729"/>
      <c r="AP216" s="729"/>
      <c r="AQ216" s="729"/>
      <c r="AR216" s="729"/>
      <c r="AS216" s="729"/>
      <c r="AT216" s="729"/>
      <c r="AU216" s="729"/>
      <c r="AV216" s="729"/>
      <c r="AW216" s="729"/>
      <c r="AX216" s="729"/>
      <c r="AY216" s="729"/>
    </row>
    <row r="217" spans="1:51" ht="18" customHeight="1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9"/>
      <c r="P217" s="729"/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  <c r="AF217" s="729"/>
      <c r="AG217" s="729"/>
      <c r="AH217" s="729"/>
      <c r="AI217" s="729"/>
      <c r="AJ217" s="729"/>
      <c r="AK217" s="729"/>
      <c r="AL217" s="729"/>
      <c r="AM217" s="729"/>
      <c r="AN217" s="729"/>
      <c r="AO217" s="729"/>
      <c r="AP217" s="729"/>
      <c r="AQ217" s="729"/>
      <c r="AR217" s="729"/>
      <c r="AS217" s="729"/>
      <c r="AT217" s="729"/>
      <c r="AU217" s="729"/>
      <c r="AV217" s="729"/>
      <c r="AW217" s="729"/>
      <c r="AX217" s="729"/>
      <c r="AY217" s="729"/>
    </row>
    <row r="218" spans="1:51" ht="18" customHeight="1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9"/>
      <c r="P218" s="729"/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  <c r="AF218" s="729"/>
      <c r="AG218" s="729"/>
      <c r="AH218" s="729"/>
      <c r="AI218" s="729"/>
      <c r="AJ218" s="729"/>
      <c r="AK218" s="729"/>
      <c r="AL218" s="729"/>
      <c r="AM218" s="729"/>
      <c r="AN218" s="729"/>
      <c r="AO218" s="729"/>
      <c r="AP218" s="729"/>
      <c r="AQ218" s="729"/>
      <c r="AR218" s="729"/>
      <c r="AS218" s="729"/>
      <c r="AT218" s="729"/>
      <c r="AU218" s="729"/>
      <c r="AV218" s="729"/>
      <c r="AW218" s="729"/>
      <c r="AX218" s="729"/>
      <c r="AY218" s="729"/>
    </row>
    <row r="219" spans="1:51" ht="18" customHeight="1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9"/>
      <c r="P219" s="729"/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  <c r="AF219" s="729"/>
      <c r="AG219" s="729"/>
      <c r="AH219" s="729"/>
      <c r="AI219" s="729"/>
      <c r="AJ219" s="729"/>
      <c r="AK219" s="729"/>
      <c r="AL219" s="729"/>
      <c r="AM219" s="729"/>
      <c r="AN219" s="729"/>
      <c r="AO219" s="729"/>
      <c r="AP219" s="729"/>
      <c r="AQ219" s="729"/>
      <c r="AR219" s="729"/>
      <c r="AS219" s="729"/>
      <c r="AT219" s="729"/>
      <c r="AU219" s="729"/>
      <c r="AV219" s="729"/>
      <c r="AW219" s="729"/>
      <c r="AX219" s="729"/>
      <c r="AY219" s="729"/>
    </row>
    <row r="220" spans="1:51" ht="18" customHeight="1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9"/>
      <c r="P220" s="729"/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  <c r="AF220" s="729"/>
      <c r="AG220" s="729"/>
      <c r="AH220" s="729"/>
      <c r="AI220" s="729"/>
      <c r="AJ220" s="729"/>
      <c r="AK220" s="729"/>
      <c r="AL220" s="729"/>
      <c r="AM220" s="729"/>
      <c r="AN220" s="729"/>
      <c r="AO220" s="729"/>
      <c r="AP220" s="729"/>
      <c r="AQ220" s="729"/>
      <c r="AR220" s="729"/>
      <c r="AS220" s="729"/>
      <c r="AT220" s="729"/>
      <c r="AU220" s="729"/>
      <c r="AV220" s="729"/>
      <c r="AW220" s="729"/>
      <c r="AX220" s="729"/>
      <c r="AY220" s="729"/>
    </row>
    <row r="221" spans="1:51" ht="18" customHeight="1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9"/>
      <c r="P221" s="729"/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  <c r="AF221" s="729"/>
      <c r="AG221" s="729"/>
      <c r="AH221" s="729"/>
      <c r="AI221" s="729"/>
      <c r="AJ221" s="729"/>
      <c r="AK221" s="729"/>
      <c r="AL221" s="729"/>
      <c r="AM221" s="729"/>
      <c r="AN221" s="729"/>
      <c r="AO221" s="729"/>
      <c r="AP221" s="729"/>
      <c r="AQ221" s="729"/>
      <c r="AR221" s="729"/>
      <c r="AS221" s="729"/>
      <c r="AT221" s="729"/>
      <c r="AU221" s="729"/>
      <c r="AV221" s="729"/>
      <c r="AW221" s="729"/>
      <c r="AX221" s="729"/>
      <c r="AY221" s="729"/>
    </row>
    <row r="222" spans="1:51" ht="18" customHeight="1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9"/>
      <c r="P222" s="729"/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  <c r="AF222" s="729"/>
      <c r="AG222" s="729"/>
      <c r="AH222" s="729"/>
      <c r="AI222" s="729"/>
      <c r="AJ222" s="729"/>
      <c r="AK222" s="729"/>
      <c r="AL222" s="729"/>
      <c r="AM222" s="729"/>
      <c r="AN222" s="729"/>
      <c r="AO222" s="729"/>
      <c r="AP222" s="729"/>
      <c r="AQ222" s="729"/>
      <c r="AR222" s="729"/>
      <c r="AS222" s="729"/>
      <c r="AT222" s="729"/>
      <c r="AU222" s="729"/>
      <c r="AV222" s="729"/>
      <c r="AW222" s="729"/>
      <c r="AX222" s="729"/>
      <c r="AY222" s="729"/>
    </row>
    <row r="223" spans="1:51" ht="18" customHeight="1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9"/>
      <c r="P223" s="729"/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  <c r="AF223" s="729"/>
      <c r="AG223" s="729"/>
      <c r="AH223" s="729"/>
      <c r="AI223" s="729"/>
      <c r="AJ223" s="729"/>
      <c r="AK223" s="729"/>
      <c r="AL223" s="729"/>
      <c r="AM223" s="729"/>
      <c r="AN223" s="729"/>
      <c r="AO223" s="729"/>
      <c r="AP223" s="729"/>
      <c r="AQ223" s="729"/>
      <c r="AR223" s="729"/>
      <c r="AS223" s="729"/>
      <c r="AT223" s="729"/>
      <c r="AU223" s="729"/>
      <c r="AV223" s="729"/>
      <c r="AW223" s="729"/>
      <c r="AX223" s="729"/>
      <c r="AY223" s="729"/>
    </row>
    <row r="224" spans="1:51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9"/>
      <c r="P224" s="729"/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  <c r="AF224" s="729"/>
      <c r="AG224" s="729"/>
      <c r="AH224" s="729"/>
      <c r="AI224" s="729"/>
      <c r="AJ224" s="729"/>
      <c r="AK224" s="729"/>
      <c r="AL224" s="729"/>
      <c r="AM224" s="729"/>
      <c r="AN224" s="729"/>
      <c r="AO224" s="729"/>
      <c r="AP224" s="729"/>
      <c r="AQ224" s="729"/>
      <c r="AR224" s="729"/>
      <c r="AS224" s="729"/>
      <c r="AT224" s="729"/>
      <c r="AU224" s="729"/>
      <c r="AV224" s="729"/>
      <c r="AW224" s="729"/>
      <c r="AX224" s="729"/>
      <c r="AY224" s="729"/>
    </row>
    <row r="225" spans="1:51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9"/>
      <c r="P225" s="729"/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  <c r="AF225" s="729"/>
      <c r="AG225" s="729"/>
      <c r="AH225" s="729"/>
      <c r="AI225" s="729"/>
      <c r="AJ225" s="729"/>
      <c r="AK225" s="729"/>
      <c r="AL225" s="729"/>
      <c r="AM225" s="729"/>
      <c r="AN225" s="729"/>
      <c r="AO225" s="729"/>
      <c r="AP225" s="729"/>
      <c r="AQ225" s="729"/>
      <c r="AR225" s="729"/>
      <c r="AS225" s="729"/>
      <c r="AT225" s="729"/>
      <c r="AU225" s="729"/>
      <c r="AV225" s="729"/>
      <c r="AW225" s="729"/>
      <c r="AX225" s="729"/>
      <c r="AY225" s="729"/>
    </row>
    <row r="226" spans="1:51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9"/>
      <c r="P226" s="729"/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  <c r="AF226" s="729"/>
      <c r="AG226" s="729"/>
      <c r="AH226" s="729"/>
      <c r="AI226" s="729"/>
      <c r="AJ226" s="729"/>
      <c r="AK226" s="729"/>
      <c r="AL226" s="729"/>
      <c r="AM226" s="729"/>
      <c r="AN226" s="729"/>
      <c r="AO226" s="729"/>
      <c r="AP226" s="729"/>
      <c r="AQ226" s="729"/>
      <c r="AR226" s="729"/>
      <c r="AS226" s="729"/>
      <c r="AT226" s="729"/>
      <c r="AU226" s="729"/>
      <c r="AV226" s="729"/>
      <c r="AW226" s="729"/>
      <c r="AX226" s="729"/>
      <c r="AY226" s="729"/>
    </row>
    <row r="227" spans="1:51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  <c r="AF227" s="729"/>
      <c r="AG227" s="729"/>
      <c r="AH227" s="729"/>
      <c r="AI227" s="729"/>
      <c r="AJ227" s="729"/>
      <c r="AK227" s="729"/>
      <c r="AL227" s="729"/>
      <c r="AM227" s="729"/>
      <c r="AN227" s="729"/>
      <c r="AO227" s="729"/>
      <c r="AP227" s="729"/>
      <c r="AQ227" s="729"/>
      <c r="AR227" s="729"/>
      <c r="AS227" s="729"/>
      <c r="AT227" s="729"/>
      <c r="AU227" s="729"/>
      <c r="AV227" s="729"/>
      <c r="AW227" s="729"/>
      <c r="AX227" s="729"/>
      <c r="AY227" s="729"/>
    </row>
    <row r="228" spans="1:51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9"/>
      <c r="P228" s="729"/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  <c r="AF228" s="729"/>
      <c r="AG228" s="729"/>
      <c r="AH228" s="729"/>
      <c r="AI228" s="729"/>
      <c r="AJ228" s="729"/>
      <c r="AK228" s="729"/>
      <c r="AL228" s="729"/>
      <c r="AM228" s="729"/>
      <c r="AN228" s="729"/>
      <c r="AO228" s="729"/>
      <c r="AP228" s="729"/>
      <c r="AQ228" s="729"/>
      <c r="AR228" s="729"/>
      <c r="AS228" s="729"/>
      <c r="AT228" s="729"/>
      <c r="AU228" s="729"/>
      <c r="AV228" s="729"/>
      <c r="AW228" s="729"/>
      <c r="AX228" s="729"/>
      <c r="AY228" s="729"/>
    </row>
    <row r="229" spans="1:51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9"/>
      <c r="P229" s="729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  <c r="AF229" s="729"/>
      <c r="AG229" s="729"/>
      <c r="AH229" s="729"/>
      <c r="AI229" s="729"/>
      <c r="AJ229" s="729"/>
      <c r="AK229" s="729"/>
      <c r="AL229" s="729"/>
      <c r="AM229" s="729"/>
      <c r="AN229" s="729"/>
      <c r="AO229" s="729"/>
      <c r="AP229" s="729"/>
      <c r="AQ229" s="729"/>
      <c r="AR229" s="729"/>
      <c r="AS229" s="729"/>
      <c r="AT229" s="729"/>
      <c r="AU229" s="729"/>
      <c r="AV229" s="729"/>
      <c r="AW229" s="729"/>
      <c r="AX229" s="729"/>
      <c r="AY229" s="729"/>
    </row>
    <row r="230" spans="1:51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9"/>
      <c r="P230" s="729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  <c r="AF230" s="729"/>
      <c r="AG230" s="729"/>
      <c r="AH230" s="729"/>
      <c r="AI230" s="729"/>
      <c r="AJ230" s="729"/>
      <c r="AK230" s="729"/>
      <c r="AL230" s="729"/>
      <c r="AM230" s="729"/>
      <c r="AN230" s="729"/>
      <c r="AO230" s="729"/>
      <c r="AP230" s="729"/>
      <c r="AQ230" s="729"/>
      <c r="AR230" s="729"/>
      <c r="AS230" s="729"/>
      <c r="AT230" s="729"/>
      <c r="AU230" s="729"/>
      <c r="AV230" s="729"/>
      <c r="AW230" s="729"/>
      <c r="AX230" s="729"/>
      <c r="AY230" s="729"/>
    </row>
    <row r="231" spans="1:51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9"/>
      <c r="P231" s="729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  <c r="AF231" s="729"/>
      <c r="AG231" s="729"/>
      <c r="AH231" s="729"/>
      <c r="AI231" s="729"/>
      <c r="AJ231" s="729"/>
      <c r="AK231" s="729"/>
      <c r="AL231" s="729"/>
      <c r="AM231" s="729"/>
      <c r="AN231" s="729"/>
      <c r="AO231" s="729"/>
      <c r="AP231" s="729"/>
      <c r="AQ231" s="729"/>
      <c r="AR231" s="729"/>
      <c r="AS231" s="729"/>
      <c r="AT231" s="729"/>
      <c r="AU231" s="729"/>
      <c r="AV231" s="729"/>
      <c r="AW231" s="729"/>
      <c r="AX231" s="729"/>
      <c r="AY231" s="729"/>
    </row>
    <row r="232" spans="1:51">
      <c r="A232" s="729"/>
      <c r="B232" s="729"/>
      <c r="C232" s="729"/>
      <c r="D232" s="729"/>
      <c r="E232" s="729"/>
      <c r="F232" s="729"/>
      <c r="G232" s="729"/>
      <c r="H232" s="729"/>
      <c r="I232" s="729"/>
      <c r="J232" s="729"/>
      <c r="K232" s="729"/>
      <c r="L232" s="729"/>
      <c r="M232" s="729"/>
      <c r="N232" s="729"/>
      <c r="O232" s="729"/>
      <c r="P232" s="729"/>
      <c r="Q232" s="729"/>
      <c r="R232" s="729"/>
      <c r="S232" s="729"/>
      <c r="T232" s="729"/>
      <c r="U232" s="729"/>
      <c r="V232" s="729"/>
      <c r="W232" s="729"/>
      <c r="X232" s="729"/>
      <c r="Y232" s="729"/>
      <c r="Z232" s="729"/>
      <c r="AA232" s="729"/>
      <c r="AB232" s="729"/>
      <c r="AC232" s="729"/>
      <c r="AD232" s="729"/>
      <c r="AE232" s="729"/>
      <c r="AF232" s="729"/>
      <c r="AG232" s="729"/>
      <c r="AH232" s="729"/>
      <c r="AI232" s="729"/>
      <c r="AJ232" s="729"/>
      <c r="AK232" s="729"/>
      <c r="AL232" s="729"/>
      <c r="AM232" s="729"/>
      <c r="AN232" s="729"/>
      <c r="AO232" s="729"/>
      <c r="AP232" s="729"/>
      <c r="AQ232" s="729"/>
      <c r="AR232" s="729"/>
      <c r="AS232" s="729"/>
      <c r="AT232" s="729"/>
      <c r="AU232" s="729"/>
      <c r="AV232" s="729"/>
      <c r="AW232" s="729"/>
      <c r="AX232" s="729"/>
      <c r="AY232" s="729"/>
    </row>
    <row r="233" spans="1:51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29"/>
      <c r="P233" s="729"/>
      <c r="Q233" s="729"/>
      <c r="R233" s="729"/>
      <c r="S233" s="729"/>
      <c r="T233" s="729"/>
      <c r="U233" s="729"/>
      <c r="V233" s="729"/>
      <c r="W233" s="729"/>
      <c r="X233" s="729"/>
      <c r="Y233" s="729"/>
      <c r="Z233" s="729"/>
      <c r="AA233" s="729"/>
      <c r="AB233" s="729"/>
      <c r="AC233" s="729"/>
      <c r="AD233" s="729"/>
      <c r="AE233" s="729"/>
      <c r="AF233" s="729"/>
      <c r="AG233" s="729"/>
      <c r="AH233" s="729"/>
      <c r="AI233" s="729"/>
      <c r="AJ233" s="729"/>
      <c r="AK233" s="729"/>
      <c r="AL233" s="729"/>
      <c r="AM233" s="729"/>
      <c r="AN233" s="729"/>
      <c r="AO233" s="729"/>
      <c r="AP233" s="729"/>
      <c r="AQ233" s="729"/>
      <c r="AR233" s="729"/>
      <c r="AS233" s="729"/>
      <c r="AT233" s="729"/>
      <c r="AU233" s="729"/>
      <c r="AV233" s="729"/>
      <c r="AW233" s="729"/>
      <c r="AX233" s="729"/>
      <c r="AY233" s="729"/>
    </row>
    <row r="234" spans="1:51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29"/>
      <c r="P234" s="729"/>
      <c r="Q234" s="729"/>
      <c r="R234" s="729"/>
      <c r="S234" s="729"/>
      <c r="T234" s="729"/>
      <c r="U234" s="729"/>
      <c r="V234" s="729"/>
      <c r="W234" s="729"/>
      <c r="X234" s="729"/>
      <c r="Y234" s="729"/>
      <c r="Z234" s="729"/>
      <c r="AA234" s="729"/>
      <c r="AB234" s="729"/>
      <c r="AC234" s="729"/>
      <c r="AD234" s="729"/>
      <c r="AE234" s="729"/>
      <c r="AF234" s="729"/>
      <c r="AG234" s="729"/>
      <c r="AH234" s="729"/>
      <c r="AI234" s="729"/>
      <c r="AJ234" s="729"/>
      <c r="AK234" s="729"/>
      <c r="AL234" s="729"/>
      <c r="AM234" s="729"/>
      <c r="AN234" s="729"/>
      <c r="AO234" s="729"/>
      <c r="AP234" s="729"/>
      <c r="AQ234" s="729"/>
      <c r="AR234" s="729"/>
      <c r="AS234" s="729"/>
      <c r="AT234" s="729"/>
      <c r="AU234" s="729"/>
      <c r="AV234" s="729"/>
      <c r="AW234" s="729"/>
      <c r="AX234" s="729"/>
      <c r="AY234" s="729"/>
    </row>
    <row r="235" spans="1:51">
      <c r="A235" s="729"/>
      <c r="B235" s="729"/>
      <c r="C235" s="729"/>
      <c r="D235" s="729"/>
      <c r="E235" s="729"/>
      <c r="F235" s="729"/>
      <c r="G235" s="729"/>
      <c r="H235" s="729"/>
      <c r="I235" s="729"/>
      <c r="J235" s="729"/>
      <c r="K235" s="729"/>
      <c r="L235" s="729"/>
      <c r="M235" s="729"/>
      <c r="N235" s="729"/>
      <c r="O235" s="729"/>
      <c r="P235" s="729"/>
      <c r="Q235" s="729"/>
      <c r="R235" s="729"/>
      <c r="S235" s="729"/>
      <c r="T235" s="729"/>
      <c r="U235" s="729"/>
      <c r="V235" s="729"/>
      <c r="W235" s="729"/>
      <c r="X235" s="729"/>
      <c r="Y235" s="729"/>
      <c r="Z235" s="729"/>
      <c r="AA235" s="729"/>
      <c r="AB235" s="729"/>
      <c r="AC235" s="729"/>
      <c r="AD235" s="729"/>
      <c r="AE235" s="729"/>
      <c r="AF235" s="729"/>
      <c r="AG235" s="729"/>
      <c r="AH235" s="729"/>
      <c r="AI235" s="729"/>
      <c r="AJ235" s="729"/>
      <c r="AK235" s="729"/>
      <c r="AL235" s="729"/>
      <c r="AM235" s="729"/>
      <c r="AN235" s="729"/>
      <c r="AO235" s="729"/>
      <c r="AP235" s="729"/>
      <c r="AQ235" s="729"/>
      <c r="AR235" s="729"/>
      <c r="AS235" s="729"/>
      <c r="AT235" s="729"/>
      <c r="AU235" s="729"/>
      <c r="AV235" s="729"/>
      <c r="AW235" s="729"/>
      <c r="AX235" s="729"/>
      <c r="AY235" s="729"/>
    </row>
    <row r="236" spans="1:51">
      <c r="A236" s="729"/>
      <c r="B236" s="729"/>
      <c r="C236" s="729"/>
      <c r="D236" s="729"/>
      <c r="E236" s="729"/>
      <c r="F236" s="729"/>
      <c r="G236" s="729"/>
      <c r="H236" s="729"/>
      <c r="I236" s="729"/>
      <c r="J236" s="729"/>
      <c r="K236" s="729"/>
      <c r="L236" s="729"/>
      <c r="M236" s="729"/>
      <c r="N236" s="729"/>
      <c r="O236" s="729"/>
      <c r="P236" s="729"/>
      <c r="Q236" s="729"/>
      <c r="R236" s="729"/>
      <c r="S236" s="729"/>
      <c r="T236" s="729"/>
      <c r="U236" s="729"/>
      <c r="V236" s="729"/>
      <c r="W236" s="729"/>
      <c r="X236" s="729"/>
      <c r="Y236" s="729"/>
      <c r="Z236" s="729"/>
      <c r="AA236" s="729"/>
      <c r="AB236" s="729"/>
      <c r="AC236" s="729"/>
      <c r="AD236" s="729"/>
      <c r="AE236" s="729"/>
      <c r="AF236" s="729"/>
      <c r="AG236" s="729"/>
      <c r="AH236" s="729"/>
      <c r="AI236" s="729"/>
      <c r="AJ236" s="729"/>
      <c r="AK236" s="729"/>
      <c r="AL236" s="729"/>
      <c r="AM236" s="729"/>
      <c r="AN236" s="729"/>
      <c r="AO236" s="729"/>
      <c r="AP236" s="729"/>
      <c r="AQ236" s="729"/>
      <c r="AR236" s="729"/>
      <c r="AS236" s="729"/>
      <c r="AT236" s="729"/>
      <c r="AU236" s="729"/>
      <c r="AV236" s="729"/>
      <c r="AW236" s="729"/>
      <c r="AX236" s="729"/>
      <c r="AY236" s="729"/>
    </row>
    <row r="237" spans="1:51">
      <c r="A237" s="729"/>
      <c r="B237" s="729"/>
      <c r="C237" s="729"/>
      <c r="D237" s="729"/>
      <c r="E237" s="729"/>
      <c r="F237" s="729"/>
      <c r="G237" s="729"/>
      <c r="H237" s="729"/>
      <c r="I237" s="729"/>
      <c r="J237" s="729"/>
      <c r="K237" s="729"/>
      <c r="L237" s="729"/>
      <c r="M237" s="729"/>
      <c r="N237" s="729"/>
      <c r="O237" s="729"/>
      <c r="P237" s="729"/>
      <c r="Q237" s="729"/>
      <c r="R237" s="729"/>
      <c r="S237" s="729"/>
      <c r="T237" s="729"/>
      <c r="U237" s="729"/>
      <c r="V237" s="729"/>
      <c r="W237" s="729"/>
      <c r="X237" s="729"/>
      <c r="Y237" s="729"/>
      <c r="Z237" s="729"/>
      <c r="AA237" s="729"/>
      <c r="AB237" s="729"/>
      <c r="AC237" s="729"/>
      <c r="AD237" s="729"/>
      <c r="AE237" s="729"/>
      <c r="AF237" s="729"/>
      <c r="AG237" s="729"/>
      <c r="AH237" s="729"/>
      <c r="AI237" s="729"/>
      <c r="AJ237" s="729"/>
      <c r="AK237" s="729"/>
      <c r="AL237" s="729"/>
      <c r="AM237" s="729"/>
      <c r="AN237" s="729"/>
      <c r="AO237" s="729"/>
      <c r="AP237" s="729"/>
      <c r="AQ237" s="729"/>
      <c r="AR237" s="729"/>
      <c r="AS237" s="729"/>
      <c r="AT237" s="729"/>
      <c r="AU237" s="729"/>
      <c r="AV237" s="729"/>
      <c r="AW237" s="729"/>
      <c r="AX237" s="729"/>
      <c r="AY237" s="729"/>
    </row>
    <row r="238" spans="1:51">
      <c r="A238" s="729"/>
      <c r="B238" s="729"/>
      <c r="C238" s="729"/>
      <c r="D238" s="729"/>
      <c r="E238" s="729"/>
      <c r="F238" s="729"/>
      <c r="G238" s="729"/>
      <c r="H238" s="729"/>
      <c r="I238" s="729"/>
      <c r="J238" s="729"/>
      <c r="K238" s="729"/>
      <c r="L238" s="729"/>
      <c r="M238" s="729"/>
      <c r="N238" s="729"/>
      <c r="O238" s="729"/>
      <c r="P238" s="729"/>
      <c r="Q238" s="729"/>
      <c r="R238" s="729"/>
      <c r="S238" s="729"/>
      <c r="T238" s="729"/>
      <c r="U238" s="729"/>
      <c r="V238" s="729"/>
      <c r="W238" s="729"/>
      <c r="X238" s="729"/>
      <c r="Y238" s="729"/>
      <c r="Z238" s="729"/>
      <c r="AA238" s="729"/>
      <c r="AB238" s="729"/>
      <c r="AC238" s="729"/>
      <c r="AD238" s="729"/>
      <c r="AE238" s="729"/>
      <c r="AF238" s="729"/>
      <c r="AG238" s="729"/>
      <c r="AH238" s="729"/>
      <c r="AI238" s="729"/>
      <c r="AJ238" s="729"/>
      <c r="AK238" s="729"/>
      <c r="AL238" s="729"/>
      <c r="AM238" s="729"/>
      <c r="AN238" s="729"/>
      <c r="AO238" s="729"/>
      <c r="AP238" s="729"/>
      <c r="AQ238" s="729"/>
      <c r="AR238" s="729"/>
      <c r="AS238" s="729"/>
      <c r="AT238" s="729"/>
      <c r="AU238" s="729"/>
      <c r="AV238" s="729"/>
      <c r="AW238" s="729"/>
      <c r="AX238" s="729"/>
      <c r="AY238" s="729"/>
    </row>
    <row r="239" spans="1:51">
      <c r="A239" s="729"/>
      <c r="B239" s="729"/>
      <c r="C239" s="729"/>
      <c r="D239" s="729"/>
      <c r="E239" s="729"/>
      <c r="F239" s="729"/>
      <c r="G239" s="729"/>
      <c r="H239" s="729"/>
      <c r="I239" s="729"/>
      <c r="J239" s="729"/>
      <c r="K239" s="729"/>
      <c r="L239" s="729"/>
      <c r="M239" s="729"/>
      <c r="N239" s="729"/>
      <c r="O239" s="729"/>
      <c r="P239" s="729"/>
      <c r="Q239" s="729"/>
      <c r="R239" s="729"/>
      <c r="S239" s="729"/>
      <c r="T239" s="729"/>
      <c r="U239" s="729"/>
      <c r="V239" s="729"/>
      <c r="W239" s="729"/>
      <c r="X239" s="729"/>
      <c r="Y239" s="729"/>
      <c r="Z239" s="729"/>
      <c r="AA239" s="729"/>
      <c r="AB239" s="729"/>
      <c r="AC239" s="729"/>
      <c r="AD239" s="729"/>
      <c r="AE239" s="729"/>
      <c r="AF239" s="729"/>
      <c r="AG239" s="729"/>
      <c r="AH239" s="729"/>
      <c r="AI239" s="729"/>
      <c r="AJ239" s="729"/>
      <c r="AK239" s="729"/>
      <c r="AL239" s="729"/>
      <c r="AM239" s="729"/>
      <c r="AN239" s="729"/>
      <c r="AO239" s="729"/>
      <c r="AP239" s="729"/>
      <c r="AQ239" s="729"/>
      <c r="AR239" s="729"/>
      <c r="AS239" s="729"/>
      <c r="AT239" s="729"/>
      <c r="AU239" s="729"/>
      <c r="AV239" s="729"/>
      <c r="AW239" s="729"/>
      <c r="AX239" s="729"/>
      <c r="AY239" s="729"/>
    </row>
    <row r="240" spans="1:51">
      <c r="A240" s="729"/>
      <c r="B240" s="729"/>
      <c r="C240" s="729"/>
      <c r="D240" s="729"/>
      <c r="E240" s="729"/>
      <c r="F240" s="729"/>
      <c r="G240" s="729"/>
      <c r="H240" s="729"/>
      <c r="I240" s="729"/>
      <c r="J240" s="729"/>
      <c r="K240" s="729"/>
      <c r="L240" s="729"/>
      <c r="M240" s="729"/>
      <c r="N240" s="729"/>
      <c r="O240" s="729"/>
      <c r="P240" s="729"/>
      <c r="Q240" s="729"/>
      <c r="R240" s="729"/>
      <c r="S240" s="729"/>
      <c r="T240" s="729"/>
      <c r="U240" s="729"/>
      <c r="V240" s="729"/>
      <c r="W240" s="729"/>
      <c r="X240" s="729"/>
      <c r="Y240" s="729"/>
      <c r="Z240" s="729"/>
      <c r="AA240" s="729"/>
      <c r="AB240" s="729"/>
      <c r="AC240" s="729"/>
      <c r="AD240" s="729"/>
      <c r="AE240" s="729"/>
      <c r="AF240" s="729"/>
      <c r="AG240" s="729"/>
      <c r="AH240" s="729"/>
      <c r="AI240" s="729"/>
      <c r="AJ240" s="729"/>
      <c r="AK240" s="729"/>
      <c r="AL240" s="729"/>
      <c r="AM240" s="729"/>
      <c r="AN240" s="729"/>
      <c r="AO240" s="729"/>
      <c r="AP240" s="729"/>
      <c r="AQ240" s="729"/>
      <c r="AR240" s="729"/>
      <c r="AS240" s="729"/>
      <c r="AT240" s="729"/>
      <c r="AU240" s="729"/>
      <c r="AV240" s="729"/>
      <c r="AW240" s="729"/>
      <c r="AX240" s="729"/>
      <c r="AY240" s="729"/>
    </row>
    <row r="241" spans="1:51">
      <c r="A241" s="729"/>
      <c r="B241" s="729"/>
      <c r="C241" s="729"/>
      <c r="D241" s="729"/>
      <c r="E241" s="729"/>
      <c r="F241" s="729"/>
      <c r="G241" s="729"/>
      <c r="H241" s="729"/>
      <c r="I241" s="729"/>
      <c r="J241" s="729"/>
      <c r="K241" s="729"/>
      <c r="L241" s="729"/>
      <c r="M241" s="729"/>
      <c r="N241" s="729"/>
      <c r="O241" s="729"/>
      <c r="P241" s="729"/>
      <c r="Q241" s="729"/>
      <c r="R241" s="729"/>
      <c r="S241" s="729"/>
      <c r="T241" s="729"/>
      <c r="U241" s="729"/>
      <c r="V241" s="729"/>
      <c r="W241" s="729"/>
      <c r="X241" s="729"/>
      <c r="Y241" s="729"/>
      <c r="Z241" s="729"/>
      <c r="AA241" s="729"/>
      <c r="AB241" s="729"/>
      <c r="AC241" s="729"/>
      <c r="AD241" s="729"/>
      <c r="AE241" s="729"/>
      <c r="AF241" s="729"/>
      <c r="AG241" s="729"/>
      <c r="AH241" s="729"/>
      <c r="AI241" s="729"/>
      <c r="AJ241" s="729"/>
      <c r="AK241" s="729"/>
      <c r="AL241" s="729"/>
      <c r="AM241" s="729"/>
      <c r="AN241" s="729"/>
      <c r="AO241" s="729"/>
      <c r="AP241" s="729"/>
      <c r="AQ241" s="729"/>
      <c r="AR241" s="729"/>
      <c r="AS241" s="729"/>
      <c r="AT241" s="729"/>
      <c r="AU241" s="729"/>
      <c r="AV241" s="729"/>
      <c r="AW241" s="729"/>
      <c r="AX241" s="729"/>
      <c r="AY241" s="729"/>
    </row>
    <row r="242" spans="1:51">
      <c r="A242" s="729"/>
      <c r="B242" s="729"/>
      <c r="C242" s="729"/>
      <c r="D242" s="729"/>
      <c r="E242" s="729"/>
      <c r="F242" s="729"/>
      <c r="G242" s="729"/>
      <c r="H242" s="729"/>
      <c r="I242" s="729"/>
      <c r="J242" s="729"/>
      <c r="K242" s="729"/>
      <c r="L242" s="729"/>
      <c r="M242" s="729"/>
      <c r="N242" s="729"/>
      <c r="O242" s="729"/>
      <c r="P242" s="729"/>
      <c r="Q242" s="729"/>
      <c r="R242" s="729"/>
      <c r="S242" s="729"/>
      <c r="T242" s="729"/>
      <c r="U242" s="729"/>
      <c r="V242" s="729"/>
      <c r="W242" s="729"/>
      <c r="X242" s="729"/>
      <c r="Y242" s="729"/>
      <c r="Z242" s="729"/>
      <c r="AA242" s="729"/>
      <c r="AB242" s="729"/>
      <c r="AC242" s="729"/>
      <c r="AD242" s="729"/>
      <c r="AE242" s="729"/>
      <c r="AF242" s="729"/>
      <c r="AG242" s="729"/>
      <c r="AH242" s="729"/>
      <c r="AI242" s="729"/>
      <c r="AJ242" s="729"/>
      <c r="AK242" s="729"/>
      <c r="AL242" s="729"/>
      <c r="AM242" s="729"/>
      <c r="AN242" s="729"/>
      <c r="AO242" s="729"/>
      <c r="AP242" s="729"/>
      <c r="AQ242" s="729"/>
      <c r="AR242" s="729"/>
      <c r="AS242" s="729"/>
      <c r="AT242" s="729"/>
      <c r="AU242" s="729"/>
      <c r="AV242" s="729"/>
      <c r="AW242" s="729"/>
      <c r="AX242" s="729"/>
      <c r="AY242" s="729"/>
    </row>
    <row r="243" spans="1:51">
      <c r="A243" s="729"/>
      <c r="B243" s="729"/>
      <c r="C243" s="729"/>
      <c r="D243" s="729"/>
      <c r="E243" s="729"/>
      <c r="F243" s="729"/>
      <c r="G243" s="729"/>
      <c r="H243" s="729"/>
      <c r="I243" s="729"/>
      <c r="J243" s="729"/>
      <c r="K243" s="729"/>
      <c r="L243" s="729"/>
      <c r="M243" s="729"/>
      <c r="N243" s="729"/>
      <c r="O243" s="729"/>
      <c r="P243" s="729"/>
      <c r="Q243" s="729"/>
      <c r="R243" s="729"/>
      <c r="S243" s="729"/>
      <c r="T243" s="729"/>
      <c r="U243" s="729"/>
      <c r="V243" s="729"/>
      <c r="W243" s="729"/>
      <c r="X243" s="729"/>
      <c r="Y243" s="729"/>
      <c r="Z243" s="729"/>
      <c r="AA243" s="729"/>
      <c r="AB243" s="729"/>
      <c r="AC243" s="729"/>
      <c r="AD243" s="729"/>
      <c r="AE243" s="729"/>
      <c r="AF243" s="729"/>
      <c r="AG243" s="729"/>
      <c r="AH243" s="729"/>
      <c r="AI243" s="729"/>
      <c r="AJ243" s="729"/>
      <c r="AK243" s="729"/>
      <c r="AL243" s="729"/>
      <c r="AM243" s="729"/>
      <c r="AN243" s="729"/>
      <c r="AO243" s="729"/>
      <c r="AP243" s="729"/>
      <c r="AQ243" s="729"/>
      <c r="AR243" s="729"/>
      <c r="AS243" s="729"/>
      <c r="AT243" s="729"/>
      <c r="AU243" s="729"/>
      <c r="AV243" s="729"/>
      <c r="AW243" s="729"/>
      <c r="AX243" s="729"/>
      <c r="AY243" s="729"/>
    </row>
    <row r="244" spans="1:51">
      <c r="A244" s="729"/>
      <c r="B244" s="729"/>
      <c r="C244" s="729"/>
      <c r="D244" s="729"/>
      <c r="E244" s="729"/>
      <c r="F244" s="729"/>
      <c r="G244" s="729"/>
      <c r="H244" s="729"/>
      <c r="I244" s="729"/>
      <c r="J244" s="729"/>
      <c r="K244" s="729"/>
      <c r="L244" s="729"/>
      <c r="M244" s="729"/>
      <c r="N244" s="729"/>
      <c r="O244" s="729"/>
      <c r="P244" s="729"/>
      <c r="Q244" s="729"/>
      <c r="R244" s="729"/>
      <c r="S244" s="729"/>
      <c r="T244" s="729"/>
      <c r="U244" s="729"/>
      <c r="V244" s="729"/>
      <c r="W244" s="729"/>
      <c r="X244" s="729"/>
      <c r="Y244" s="729"/>
      <c r="Z244" s="729"/>
      <c r="AA244" s="729"/>
      <c r="AB244" s="729"/>
      <c r="AC244" s="729"/>
      <c r="AD244" s="729"/>
      <c r="AE244" s="729"/>
      <c r="AF244" s="729"/>
      <c r="AG244" s="729"/>
      <c r="AH244" s="729"/>
      <c r="AI244" s="729"/>
      <c r="AJ244" s="729"/>
      <c r="AK244" s="729"/>
      <c r="AL244" s="729"/>
      <c r="AM244" s="729"/>
      <c r="AN244" s="729"/>
      <c r="AO244" s="729"/>
      <c r="AP244" s="729"/>
      <c r="AQ244" s="729"/>
      <c r="AR244" s="729"/>
      <c r="AS244" s="729"/>
      <c r="AT244" s="729"/>
      <c r="AU244" s="729"/>
      <c r="AV244" s="729"/>
      <c r="AW244" s="729"/>
      <c r="AX244" s="729"/>
      <c r="AY244" s="729"/>
    </row>
    <row r="245" spans="1:51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29"/>
      <c r="P245" s="729"/>
      <c r="Q245" s="729"/>
      <c r="R245" s="729"/>
      <c r="S245" s="729"/>
      <c r="T245" s="729"/>
      <c r="U245" s="729"/>
      <c r="V245" s="729"/>
      <c r="W245" s="729"/>
      <c r="X245" s="729"/>
      <c r="Y245" s="729"/>
      <c r="Z245" s="729"/>
      <c r="AA245" s="729"/>
      <c r="AB245" s="729"/>
      <c r="AC245" s="729"/>
      <c r="AD245" s="729"/>
      <c r="AE245" s="729"/>
      <c r="AF245" s="729"/>
      <c r="AG245" s="729"/>
      <c r="AH245" s="729"/>
      <c r="AI245" s="729"/>
      <c r="AJ245" s="729"/>
      <c r="AK245" s="729"/>
      <c r="AL245" s="729"/>
      <c r="AM245" s="729"/>
      <c r="AN245" s="729"/>
      <c r="AO245" s="729"/>
      <c r="AP245" s="729"/>
      <c r="AQ245" s="729"/>
      <c r="AR245" s="729"/>
      <c r="AS245" s="729"/>
      <c r="AT245" s="729"/>
      <c r="AU245" s="729"/>
      <c r="AV245" s="729"/>
      <c r="AW245" s="729"/>
      <c r="AX245" s="729"/>
      <c r="AY245" s="729"/>
    </row>
    <row r="246" spans="1:51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29"/>
      <c r="P246" s="729"/>
      <c r="Q246" s="729"/>
      <c r="R246" s="729"/>
      <c r="S246" s="729"/>
      <c r="T246" s="729"/>
      <c r="U246" s="729"/>
      <c r="V246" s="729"/>
      <c r="W246" s="729"/>
      <c r="X246" s="729"/>
      <c r="Y246" s="729"/>
      <c r="Z246" s="729"/>
      <c r="AA246" s="729"/>
      <c r="AB246" s="729"/>
      <c r="AC246" s="729"/>
      <c r="AD246" s="729"/>
      <c r="AE246" s="729"/>
      <c r="AF246" s="729"/>
      <c r="AG246" s="729"/>
      <c r="AH246" s="729"/>
      <c r="AI246" s="729"/>
      <c r="AJ246" s="729"/>
      <c r="AK246" s="729"/>
      <c r="AL246" s="729"/>
      <c r="AM246" s="729"/>
      <c r="AN246" s="729"/>
      <c r="AO246" s="729"/>
      <c r="AP246" s="729"/>
      <c r="AQ246" s="729"/>
      <c r="AR246" s="729"/>
      <c r="AS246" s="729"/>
      <c r="AT246" s="729"/>
      <c r="AU246" s="729"/>
      <c r="AV246" s="729"/>
      <c r="AW246" s="729"/>
      <c r="AX246" s="729"/>
      <c r="AY246" s="729"/>
    </row>
    <row r="247" spans="1:51">
      <c r="A247" s="729"/>
      <c r="B247" s="729"/>
      <c r="C247" s="729"/>
      <c r="D247" s="729"/>
      <c r="E247" s="729"/>
      <c r="F247" s="729"/>
      <c r="G247" s="729"/>
      <c r="H247" s="729"/>
      <c r="I247" s="729"/>
      <c r="J247" s="729"/>
      <c r="K247" s="729"/>
      <c r="L247" s="729"/>
      <c r="M247" s="729"/>
      <c r="N247" s="729"/>
      <c r="O247" s="729"/>
      <c r="P247" s="729"/>
      <c r="Q247" s="729"/>
      <c r="R247" s="729"/>
      <c r="S247" s="729"/>
      <c r="T247" s="729"/>
      <c r="U247" s="729"/>
      <c r="V247" s="729"/>
      <c r="W247" s="729"/>
      <c r="X247" s="729"/>
      <c r="Y247" s="729"/>
      <c r="Z247" s="729"/>
      <c r="AA247" s="729"/>
      <c r="AB247" s="729"/>
      <c r="AC247" s="729"/>
      <c r="AD247" s="729"/>
      <c r="AE247" s="729"/>
      <c r="AF247" s="729"/>
      <c r="AG247" s="729"/>
      <c r="AH247" s="729"/>
      <c r="AI247" s="729"/>
      <c r="AJ247" s="729"/>
      <c r="AK247" s="729"/>
      <c r="AL247" s="729"/>
      <c r="AM247" s="729"/>
      <c r="AN247" s="729"/>
      <c r="AO247" s="729"/>
      <c r="AP247" s="729"/>
      <c r="AQ247" s="729"/>
      <c r="AR247" s="729"/>
      <c r="AS247" s="729"/>
      <c r="AT247" s="729"/>
      <c r="AU247" s="729"/>
      <c r="AV247" s="729"/>
      <c r="AW247" s="729"/>
      <c r="AX247" s="729"/>
      <c r="AY247" s="729"/>
    </row>
    <row r="248" spans="1:51">
      <c r="A248" s="729"/>
      <c r="B248" s="729"/>
      <c r="C248" s="729"/>
      <c r="D248" s="729"/>
      <c r="E248" s="729"/>
      <c r="F248" s="729"/>
      <c r="G248" s="729"/>
      <c r="H248" s="729"/>
      <c r="I248" s="729"/>
      <c r="J248" s="729"/>
      <c r="K248" s="729"/>
      <c r="L248" s="729"/>
      <c r="M248" s="729"/>
      <c r="N248" s="729"/>
      <c r="O248" s="729"/>
      <c r="P248" s="729"/>
      <c r="Q248" s="729"/>
      <c r="R248" s="729"/>
      <c r="S248" s="729"/>
      <c r="T248" s="729"/>
      <c r="U248" s="729"/>
      <c r="V248" s="729"/>
      <c r="W248" s="729"/>
      <c r="X248" s="729"/>
      <c r="Y248" s="729"/>
      <c r="Z248" s="729"/>
      <c r="AA248" s="729"/>
      <c r="AB248" s="729"/>
      <c r="AC248" s="729"/>
      <c r="AD248" s="729"/>
      <c r="AE248" s="729"/>
      <c r="AF248" s="729"/>
      <c r="AG248" s="729"/>
      <c r="AH248" s="729"/>
      <c r="AI248" s="729"/>
      <c r="AJ248" s="729"/>
      <c r="AK248" s="729"/>
      <c r="AL248" s="729"/>
      <c r="AM248" s="729"/>
      <c r="AN248" s="729"/>
      <c r="AO248" s="729"/>
      <c r="AP248" s="729"/>
      <c r="AQ248" s="729"/>
      <c r="AR248" s="729"/>
      <c r="AS248" s="729"/>
      <c r="AT248" s="729"/>
      <c r="AU248" s="729"/>
      <c r="AV248" s="729"/>
      <c r="AW248" s="729"/>
      <c r="AX248" s="729"/>
      <c r="AY248" s="729"/>
    </row>
    <row r="249" spans="1:51">
      <c r="A249" s="729"/>
      <c r="B249" s="729"/>
      <c r="C249" s="729"/>
      <c r="D249" s="729"/>
      <c r="E249" s="729"/>
      <c r="F249" s="729"/>
      <c r="G249" s="729"/>
      <c r="H249" s="729"/>
      <c r="I249" s="729"/>
      <c r="J249" s="729"/>
      <c r="K249" s="729"/>
      <c r="L249" s="729"/>
      <c r="M249" s="729"/>
      <c r="N249" s="729"/>
      <c r="O249" s="729"/>
      <c r="P249" s="729"/>
      <c r="Q249" s="729"/>
      <c r="R249" s="729"/>
      <c r="S249" s="729"/>
      <c r="T249" s="729"/>
      <c r="U249" s="729"/>
      <c r="V249" s="729"/>
      <c r="W249" s="729"/>
      <c r="X249" s="729"/>
      <c r="Y249" s="729"/>
      <c r="Z249" s="729"/>
      <c r="AA249" s="729"/>
      <c r="AB249" s="729"/>
      <c r="AC249" s="729"/>
      <c r="AD249" s="729"/>
      <c r="AE249" s="729"/>
      <c r="AF249" s="729"/>
      <c r="AG249" s="729"/>
      <c r="AH249" s="729"/>
      <c r="AI249" s="729"/>
      <c r="AJ249" s="729"/>
      <c r="AK249" s="729"/>
      <c r="AL249" s="729"/>
      <c r="AM249" s="729"/>
      <c r="AN249" s="729"/>
      <c r="AO249" s="729"/>
      <c r="AP249" s="729"/>
      <c r="AQ249" s="729"/>
      <c r="AR249" s="729"/>
      <c r="AS249" s="729"/>
      <c r="AT249" s="729"/>
      <c r="AU249" s="729"/>
      <c r="AV249" s="729"/>
      <c r="AW249" s="729"/>
      <c r="AX249" s="729"/>
      <c r="AY249" s="729"/>
    </row>
    <row r="250" spans="1:51">
      <c r="A250" s="729"/>
      <c r="B250" s="729"/>
      <c r="C250" s="729"/>
      <c r="D250" s="729"/>
      <c r="E250" s="729"/>
      <c r="F250" s="729"/>
      <c r="G250" s="729"/>
      <c r="H250" s="729"/>
      <c r="I250" s="729"/>
      <c r="J250" s="729"/>
      <c r="K250" s="729"/>
      <c r="L250" s="729"/>
      <c r="M250" s="729"/>
      <c r="N250" s="729"/>
      <c r="O250" s="729"/>
      <c r="P250" s="729"/>
      <c r="Q250" s="729"/>
      <c r="R250" s="729"/>
      <c r="S250" s="729"/>
      <c r="T250" s="729"/>
      <c r="U250" s="729"/>
      <c r="V250" s="729"/>
      <c r="W250" s="729"/>
      <c r="X250" s="729"/>
      <c r="Y250" s="729"/>
      <c r="Z250" s="729"/>
      <c r="AA250" s="729"/>
      <c r="AB250" s="729"/>
      <c r="AC250" s="729"/>
      <c r="AD250" s="729"/>
      <c r="AE250" s="729"/>
      <c r="AF250" s="729"/>
      <c r="AG250" s="729"/>
      <c r="AH250" s="729"/>
      <c r="AI250" s="729"/>
      <c r="AJ250" s="729"/>
      <c r="AK250" s="729"/>
      <c r="AL250" s="729"/>
      <c r="AM250" s="729"/>
      <c r="AN250" s="729"/>
      <c r="AO250" s="729"/>
      <c r="AP250" s="729"/>
      <c r="AQ250" s="729"/>
      <c r="AR250" s="729"/>
      <c r="AS250" s="729"/>
      <c r="AT250" s="729"/>
      <c r="AU250" s="729"/>
      <c r="AV250" s="729"/>
      <c r="AW250" s="729"/>
      <c r="AX250" s="729"/>
      <c r="AY250" s="729"/>
    </row>
    <row r="251" spans="1:51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29"/>
      <c r="P251" s="729"/>
      <c r="Q251" s="729"/>
      <c r="R251" s="729"/>
      <c r="S251" s="729"/>
      <c r="T251" s="729"/>
      <c r="U251" s="729"/>
      <c r="V251" s="729"/>
      <c r="W251" s="729"/>
      <c r="X251" s="729"/>
      <c r="Y251" s="729"/>
      <c r="Z251" s="729"/>
      <c r="AA251" s="729"/>
      <c r="AB251" s="729"/>
      <c r="AC251" s="729"/>
      <c r="AD251" s="729"/>
      <c r="AE251" s="729"/>
      <c r="AF251" s="729"/>
      <c r="AG251" s="729"/>
      <c r="AH251" s="729"/>
      <c r="AI251" s="729"/>
      <c r="AJ251" s="729"/>
      <c r="AK251" s="729"/>
      <c r="AL251" s="729"/>
      <c r="AM251" s="729"/>
      <c r="AN251" s="729"/>
      <c r="AO251" s="729"/>
      <c r="AP251" s="729"/>
      <c r="AQ251" s="729"/>
      <c r="AR251" s="729"/>
      <c r="AS251" s="729"/>
      <c r="AT251" s="729"/>
      <c r="AU251" s="729"/>
      <c r="AV251" s="729"/>
      <c r="AW251" s="729"/>
      <c r="AX251" s="729"/>
      <c r="AY251" s="729"/>
    </row>
    <row r="252" spans="1:51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29"/>
      <c r="P252" s="729"/>
      <c r="Q252" s="729"/>
      <c r="R252" s="729"/>
      <c r="S252" s="729"/>
      <c r="T252" s="729"/>
      <c r="U252" s="729"/>
      <c r="V252" s="729"/>
      <c r="W252" s="729"/>
      <c r="X252" s="729"/>
      <c r="Y252" s="729"/>
      <c r="Z252" s="729"/>
      <c r="AA252" s="729"/>
      <c r="AB252" s="729"/>
      <c r="AC252" s="729"/>
      <c r="AD252" s="729"/>
      <c r="AE252" s="729"/>
      <c r="AF252" s="729"/>
      <c r="AG252" s="729"/>
      <c r="AH252" s="729"/>
      <c r="AI252" s="729"/>
      <c r="AJ252" s="729"/>
      <c r="AK252" s="729"/>
      <c r="AL252" s="729"/>
      <c r="AM252" s="729"/>
      <c r="AN252" s="729"/>
      <c r="AO252" s="729"/>
      <c r="AP252" s="729"/>
      <c r="AQ252" s="729"/>
      <c r="AR252" s="729"/>
      <c r="AS252" s="729"/>
      <c r="AT252" s="729"/>
      <c r="AU252" s="729"/>
      <c r="AV252" s="729"/>
      <c r="AW252" s="729"/>
      <c r="AX252" s="729"/>
      <c r="AY252" s="729"/>
    </row>
    <row r="253" spans="1:51">
      <c r="A253" s="729"/>
      <c r="B253" s="729"/>
      <c r="C253" s="729"/>
      <c r="D253" s="729"/>
      <c r="E253" s="729"/>
      <c r="F253" s="729"/>
      <c r="G253" s="729"/>
      <c r="H253" s="729"/>
      <c r="I253" s="729"/>
      <c r="J253" s="729"/>
      <c r="K253" s="729"/>
      <c r="L253" s="729"/>
      <c r="M253" s="729"/>
      <c r="N253" s="729"/>
      <c r="O253" s="729"/>
      <c r="P253" s="729"/>
      <c r="Q253" s="729"/>
      <c r="R253" s="729"/>
      <c r="S253" s="729"/>
      <c r="T253" s="729"/>
      <c r="U253" s="729"/>
      <c r="V253" s="729"/>
      <c r="W253" s="729"/>
      <c r="X253" s="729"/>
      <c r="Y253" s="729"/>
      <c r="Z253" s="729"/>
      <c r="AA253" s="729"/>
      <c r="AB253" s="729"/>
      <c r="AC253" s="729"/>
      <c r="AD253" s="729"/>
      <c r="AE253" s="729"/>
      <c r="AF253" s="729"/>
      <c r="AG253" s="729"/>
      <c r="AH253" s="729"/>
      <c r="AI253" s="729"/>
      <c r="AJ253" s="729"/>
      <c r="AK253" s="729"/>
      <c r="AL253" s="729"/>
      <c r="AM253" s="729"/>
      <c r="AN253" s="729"/>
      <c r="AO253" s="729"/>
      <c r="AP253" s="729"/>
      <c r="AQ253" s="729"/>
      <c r="AR253" s="729"/>
      <c r="AS253" s="729"/>
      <c r="AT253" s="729"/>
      <c r="AU253" s="729"/>
      <c r="AV253" s="729"/>
      <c r="AW253" s="729"/>
      <c r="AX253" s="729"/>
      <c r="AY253" s="729"/>
    </row>
    <row r="254" spans="1:51">
      <c r="A254" s="729"/>
      <c r="B254" s="729"/>
      <c r="C254" s="729"/>
      <c r="D254" s="729"/>
      <c r="E254" s="729"/>
      <c r="F254" s="729"/>
      <c r="G254" s="729"/>
      <c r="H254" s="729"/>
      <c r="I254" s="729"/>
      <c r="J254" s="729"/>
      <c r="K254" s="729"/>
      <c r="L254" s="729"/>
      <c r="M254" s="729"/>
      <c r="N254" s="729"/>
      <c r="O254" s="729"/>
      <c r="P254" s="729"/>
      <c r="Q254" s="729"/>
      <c r="R254" s="729"/>
      <c r="S254" s="729"/>
      <c r="T254" s="729"/>
      <c r="U254" s="729"/>
      <c r="V254" s="729"/>
      <c r="W254" s="729"/>
      <c r="X254" s="729"/>
      <c r="Y254" s="729"/>
      <c r="Z254" s="729"/>
      <c r="AA254" s="729"/>
      <c r="AB254" s="729"/>
      <c r="AC254" s="729"/>
      <c r="AD254" s="729"/>
      <c r="AE254" s="729"/>
      <c r="AF254" s="729"/>
      <c r="AG254" s="729"/>
      <c r="AH254" s="729"/>
      <c r="AI254" s="729"/>
      <c r="AJ254" s="729"/>
      <c r="AK254" s="729"/>
      <c r="AL254" s="729"/>
      <c r="AM254" s="729"/>
      <c r="AN254" s="729"/>
      <c r="AO254" s="729"/>
      <c r="AP254" s="729"/>
      <c r="AQ254" s="729"/>
      <c r="AR254" s="729"/>
      <c r="AS254" s="729"/>
      <c r="AT254" s="729"/>
      <c r="AU254" s="729"/>
      <c r="AV254" s="729"/>
      <c r="AW254" s="729"/>
      <c r="AX254" s="729"/>
      <c r="AY254" s="729"/>
    </row>
    <row r="255" spans="1:51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29"/>
      <c r="P255" s="729"/>
      <c r="Q255" s="729"/>
      <c r="R255" s="729"/>
      <c r="S255" s="729"/>
      <c r="T255" s="729"/>
      <c r="U255" s="729"/>
      <c r="V255" s="729"/>
      <c r="W255" s="729"/>
      <c r="X255" s="729"/>
      <c r="Y255" s="729"/>
      <c r="Z255" s="729"/>
      <c r="AA255" s="729"/>
      <c r="AB255" s="729"/>
      <c r="AC255" s="729"/>
      <c r="AD255" s="729"/>
      <c r="AE255" s="729"/>
      <c r="AF255" s="729"/>
      <c r="AG255" s="729"/>
      <c r="AH255" s="729"/>
      <c r="AI255" s="729"/>
      <c r="AJ255" s="729"/>
      <c r="AK255" s="729"/>
      <c r="AL255" s="729"/>
      <c r="AM255" s="729"/>
      <c r="AN255" s="729"/>
      <c r="AO255" s="729"/>
      <c r="AP255" s="729"/>
      <c r="AQ255" s="729"/>
      <c r="AR255" s="729"/>
      <c r="AS255" s="729"/>
      <c r="AT255" s="729"/>
      <c r="AU255" s="729"/>
      <c r="AV255" s="729"/>
      <c r="AW255" s="729"/>
      <c r="AX255" s="729"/>
      <c r="AY255" s="729"/>
    </row>
    <row r="256" spans="1:51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29"/>
      <c r="P256" s="729"/>
      <c r="Q256" s="729"/>
      <c r="R256" s="729"/>
      <c r="S256" s="729"/>
      <c r="T256" s="729"/>
      <c r="U256" s="729"/>
      <c r="V256" s="729"/>
      <c r="W256" s="729"/>
      <c r="X256" s="729"/>
      <c r="Y256" s="729"/>
      <c r="Z256" s="729"/>
      <c r="AA256" s="729"/>
      <c r="AB256" s="729"/>
      <c r="AC256" s="729"/>
      <c r="AD256" s="729"/>
      <c r="AE256" s="729"/>
      <c r="AF256" s="729"/>
      <c r="AG256" s="729"/>
      <c r="AH256" s="729"/>
      <c r="AI256" s="729"/>
      <c r="AJ256" s="729"/>
      <c r="AK256" s="729"/>
      <c r="AL256" s="729"/>
      <c r="AM256" s="729"/>
      <c r="AN256" s="729"/>
      <c r="AO256" s="729"/>
      <c r="AP256" s="729"/>
      <c r="AQ256" s="729"/>
      <c r="AR256" s="729"/>
      <c r="AS256" s="729"/>
      <c r="AT256" s="729"/>
      <c r="AU256" s="729"/>
      <c r="AV256" s="729"/>
      <c r="AW256" s="729"/>
      <c r="AX256" s="729"/>
      <c r="AY256" s="729"/>
    </row>
    <row r="257" spans="1:51">
      <c r="A257" s="729"/>
      <c r="B257" s="729"/>
      <c r="C257" s="729"/>
      <c r="D257" s="729"/>
      <c r="E257" s="729"/>
      <c r="F257" s="729"/>
      <c r="G257" s="729"/>
      <c r="H257" s="729"/>
      <c r="I257" s="729"/>
      <c r="J257" s="729"/>
      <c r="K257" s="729"/>
      <c r="L257" s="729"/>
      <c r="M257" s="729"/>
      <c r="N257" s="729"/>
      <c r="O257" s="729"/>
      <c r="P257" s="729"/>
      <c r="Q257" s="729"/>
      <c r="R257" s="729"/>
      <c r="S257" s="729"/>
      <c r="T257" s="729"/>
      <c r="U257" s="729"/>
      <c r="V257" s="729"/>
      <c r="W257" s="729"/>
      <c r="X257" s="729"/>
      <c r="Y257" s="729"/>
      <c r="Z257" s="729"/>
      <c r="AA257" s="729"/>
      <c r="AB257" s="729"/>
      <c r="AC257" s="729"/>
      <c r="AD257" s="729"/>
      <c r="AE257" s="729"/>
      <c r="AF257" s="729"/>
      <c r="AG257" s="729"/>
      <c r="AH257" s="729"/>
      <c r="AI257" s="729"/>
      <c r="AJ257" s="729"/>
      <c r="AK257" s="729"/>
      <c r="AL257" s="729"/>
      <c r="AM257" s="729"/>
      <c r="AN257" s="729"/>
      <c r="AO257" s="729"/>
      <c r="AP257" s="729"/>
      <c r="AQ257" s="729"/>
      <c r="AR257" s="729"/>
      <c r="AS257" s="729"/>
      <c r="AT257" s="729"/>
      <c r="AU257" s="729"/>
      <c r="AV257" s="729"/>
      <c r="AW257" s="729"/>
      <c r="AX257" s="729"/>
      <c r="AY257" s="729"/>
    </row>
    <row r="258" spans="1:51">
      <c r="A258" s="729"/>
      <c r="B258" s="729"/>
      <c r="C258" s="729"/>
      <c r="D258" s="729"/>
      <c r="E258" s="729"/>
      <c r="F258" s="729"/>
      <c r="G258" s="729"/>
      <c r="H258" s="729"/>
      <c r="I258" s="729"/>
      <c r="J258" s="729"/>
      <c r="K258" s="729"/>
      <c r="L258" s="729"/>
      <c r="M258" s="729"/>
      <c r="N258" s="729"/>
      <c r="O258" s="729"/>
      <c r="P258" s="729"/>
      <c r="Q258" s="729"/>
      <c r="R258" s="729"/>
      <c r="S258" s="729"/>
      <c r="T258" s="729"/>
      <c r="U258" s="729"/>
      <c r="V258" s="729"/>
      <c r="W258" s="729"/>
      <c r="X258" s="729"/>
      <c r="Y258" s="729"/>
      <c r="Z258" s="729"/>
      <c r="AA258" s="729"/>
      <c r="AB258" s="729"/>
      <c r="AC258" s="729"/>
      <c r="AD258" s="729"/>
      <c r="AE258" s="729"/>
      <c r="AF258" s="729"/>
      <c r="AG258" s="729"/>
      <c r="AH258" s="729"/>
      <c r="AI258" s="729"/>
      <c r="AJ258" s="729"/>
      <c r="AK258" s="729"/>
      <c r="AL258" s="729"/>
      <c r="AM258" s="729"/>
      <c r="AN258" s="729"/>
      <c r="AO258" s="729"/>
      <c r="AP258" s="729"/>
      <c r="AQ258" s="729"/>
      <c r="AR258" s="729"/>
      <c r="AS258" s="729"/>
      <c r="AT258" s="729"/>
      <c r="AU258" s="729"/>
      <c r="AV258" s="729"/>
      <c r="AW258" s="729"/>
      <c r="AX258" s="729"/>
      <c r="AY258" s="729"/>
    </row>
    <row r="259" spans="1:51">
      <c r="A259" s="729"/>
      <c r="B259" s="729"/>
      <c r="C259" s="729"/>
      <c r="D259" s="729"/>
      <c r="E259" s="729"/>
      <c r="F259" s="729"/>
      <c r="G259" s="729"/>
      <c r="H259" s="729"/>
      <c r="I259" s="729"/>
      <c r="J259" s="729"/>
      <c r="K259" s="729"/>
      <c r="L259" s="729"/>
      <c r="M259" s="729"/>
      <c r="N259" s="729"/>
      <c r="O259" s="729"/>
      <c r="P259" s="729"/>
      <c r="Q259" s="729"/>
      <c r="R259" s="729"/>
      <c r="S259" s="729"/>
      <c r="T259" s="729"/>
      <c r="U259" s="729"/>
      <c r="V259" s="729"/>
      <c r="W259" s="729"/>
      <c r="X259" s="729"/>
      <c r="Y259" s="729"/>
      <c r="Z259" s="729"/>
      <c r="AA259" s="729"/>
      <c r="AB259" s="729"/>
      <c r="AC259" s="729"/>
      <c r="AD259" s="729"/>
      <c r="AE259" s="729"/>
      <c r="AF259" s="729"/>
      <c r="AG259" s="729"/>
      <c r="AH259" s="729"/>
      <c r="AI259" s="729"/>
      <c r="AJ259" s="729"/>
      <c r="AK259" s="729"/>
      <c r="AL259" s="729"/>
      <c r="AM259" s="729"/>
      <c r="AN259" s="729"/>
      <c r="AO259" s="729"/>
      <c r="AP259" s="729"/>
      <c r="AQ259" s="729"/>
      <c r="AR259" s="729"/>
      <c r="AS259" s="729"/>
      <c r="AT259" s="729"/>
      <c r="AU259" s="729"/>
      <c r="AV259" s="729"/>
      <c r="AW259" s="729"/>
      <c r="AX259" s="729"/>
      <c r="AY259" s="729"/>
    </row>
    <row r="260" spans="1:51">
      <c r="A260" s="729"/>
      <c r="B260" s="729"/>
      <c r="C260" s="729"/>
      <c r="D260" s="729"/>
      <c r="E260" s="729"/>
      <c r="F260" s="729"/>
      <c r="G260" s="729"/>
      <c r="H260" s="729"/>
      <c r="I260" s="729"/>
      <c r="J260" s="729"/>
      <c r="K260" s="729"/>
      <c r="L260" s="729"/>
      <c r="M260" s="729"/>
      <c r="N260" s="729"/>
      <c r="O260" s="729"/>
      <c r="P260" s="729"/>
      <c r="Q260" s="729"/>
      <c r="R260" s="729"/>
      <c r="S260" s="729"/>
      <c r="T260" s="729"/>
      <c r="U260" s="729"/>
      <c r="V260" s="729"/>
      <c r="W260" s="729"/>
      <c r="X260" s="729"/>
      <c r="Y260" s="729"/>
      <c r="Z260" s="729"/>
      <c r="AA260" s="729"/>
      <c r="AB260" s="729"/>
      <c r="AC260" s="729"/>
      <c r="AD260" s="729"/>
      <c r="AE260" s="729"/>
      <c r="AF260" s="729"/>
      <c r="AG260" s="729"/>
      <c r="AH260" s="729"/>
      <c r="AI260" s="729"/>
      <c r="AJ260" s="729"/>
      <c r="AK260" s="729"/>
      <c r="AL260" s="729"/>
      <c r="AM260" s="729"/>
      <c r="AN260" s="729"/>
      <c r="AO260" s="729"/>
      <c r="AP260" s="729"/>
      <c r="AQ260" s="729"/>
      <c r="AR260" s="729"/>
      <c r="AS260" s="729"/>
      <c r="AT260" s="729"/>
      <c r="AU260" s="729"/>
      <c r="AV260" s="729"/>
      <c r="AW260" s="729"/>
      <c r="AX260" s="729"/>
      <c r="AY260" s="729"/>
    </row>
    <row r="261" spans="1:51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29"/>
      <c r="P261" s="729"/>
      <c r="Q261" s="729"/>
      <c r="R261" s="729"/>
      <c r="S261" s="729"/>
      <c r="T261" s="729"/>
      <c r="U261" s="729"/>
      <c r="V261" s="729"/>
      <c r="W261" s="729"/>
      <c r="X261" s="729"/>
      <c r="Y261" s="729"/>
      <c r="Z261" s="729"/>
      <c r="AA261" s="729"/>
      <c r="AB261" s="729"/>
      <c r="AC261" s="729"/>
      <c r="AD261" s="729"/>
      <c r="AE261" s="729"/>
      <c r="AF261" s="729"/>
      <c r="AG261" s="729"/>
      <c r="AH261" s="729"/>
      <c r="AI261" s="729"/>
      <c r="AJ261" s="729"/>
      <c r="AK261" s="729"/>
      <c r="AL261" s="729"/>
      <c r="AM261" s="729"/>
      <c r="AN261" s="729"/>
      <c r="AO261" s="729"/>
      <c r="AP261" s="729"/>
      <c r="AQ261" s="729"/>
      <c r="AR261" s="729"/>
      <c r="AS261" s="729"/>
      <c r="AT261" s="729"/>
      <c r="AU261" s="729"/>
      <c r="AV261" s="729"/>
      <c r="AW261" s="729"/>
      <c r="AX261" s="729"/>
      <c r="AY261" s="729"/>
    </row>
    <row r="262" spans="1:51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29"/>
      <c r="P262" s="729"/>
      <c r="Q262" s="729"/>
      <c r="R262" s="729"/>
      <c r="S262" s="729"/>
      <c r="T262" s="729"/>
      <c r="U262" s="729"/>
      <c r="V262" s="729"/>
      <c r="W262" s="729"/>
      <c r="X262" s="729"/>
      <c r="Y262" s="729"/>
      <c r="Z262" s="729"/>
      <c r="AA262" s="729"/>
      <c r="AB262" s="729"/>
      <c r="AC262" s="729"/>
      <c r="AD262" s="729"/>
      <c r="AE262" s="729"/>
      <c r="AF262" s="729"/>
      <c r="AG262" s="729"/>
      <c r="AH262" s="729"/>
      <c r="AI262" s="729"/>
      <c r="AJ262" s="729"/>
      <c r="AK262" s="729"/>
      <c r="AL262" s="729"/>
      <c r="AM262" s="729"/>
      <c r="AN262" s="729"/>
      <c r="AO262" s="729"/>
      <c r="AP262" s="729"/>
      <c r="AQ262" s="729"/>
      <c r="AR262" s="729"/>
      <c r="AS262" s="729"/>
      <c r="AT262" s="729"/>
      <c r="AU262" s="729"/>
      <c r="AV262" s="729"/>
      <c r="AW262" s="729"/>
      <c r="AX262" s="729"/>
      <c r="AY262" s="729"/>
    </row>
    <row r="263" spans="1:51">
      <c r="A263" s="729"/>
      <c r="B263" s="729"/>
      <c r="C263" s="729"/>
      <c r="D263" s="729"/>
      <c r="E263" s="729"/>
      <c r="F263" s="729"/>
      <c r="G263" s="729"/>
      <c r="H263" s="729"/>
      <c r="I263" s="729"/>
      <c r="J263" s="729"/>
      <c r="K263" s="729"/>
      <c r="L263" s="729"/>
      <c r="M263" s="729"/>
      <c r="N263" s="729"/>
      <c r="O263" s="729"/>
      <c r="P263" s="729"/>
      <c r="Q263" s="729"/>
      <c r="R263" s="729"/>
      <c r="S263" s="729"/>
      <c r="T263" s="729"/>
      <c r="U263" s="729"/>
      <c r="V263" s="729"/>
      <c r="W263" s="729"/>
      <c r="X263" s="729"/>
      <c r="Y263" s="729"/>
      <c r="Z263" s="729"/>
      <c r="AA263" s="729"/>
      <c r="AB263" s="729"/>
      <c r="AC263" s="729"/>
      <c r="AD263" s="729"/>
      <c r="AE263" s="729"/>
      <c r="AF263" s="729"/>
      <c r="AG263" s="729"/>
      <c r="AH263" s="729"/>
      <c r="AI263" s="729"/>
      <c r="AJ263" s="729"/>
      <c r="AK263" s="729"/>
      <c r="AL263" s="729"/>
      <c r="AM263" s="729"/>
      <c r="AN263" s="729"/>
      <c r="AO263" s="729"/>
      <c r="AP263" s="729"/>
      <c r="AQ263" s="729"/>
      <c r="AR263" s="729"/>
      <c r="AS263" s="729"/>
      <c r="AT263" s="729"/>
      <c r="AU263" s="729"/>
      <c r="AV263" s="729"/>
      <c r="AW263" s="729"/>
      <c r="AX263" s="729"/>
      <c r="AY263" s="729"/>
    </row>
    <row r="264" spans="1:51">
      <c r="A264" s="729"/>
      <c r="B264" s="729"/>
      <c r="C264" s="729"/>
      <c r="D264" s="729"/>
      <c r="E264" s="729"/>
      <c r="F264" s="729"/>
      <c r="G264" s="729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29"/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29"/>
      <c r="AX264" s="729"/>
      <c r="AY264" s="729"/>
    </row>
    <row r="265" spans="1:51">
      <c r="A265" s="729"/>
      <c r="B265" s="729"/>
      <c r="C265" s="729"/>
      <c r="D265" s="729"/>
      <c r="E265" s="729"/>
      <c r="F265" s="729"/>
      <c r="G265" s="729"/>
      <c r="H265" s="729"/>
      <c r="I265" s="729"/>
      <c r="J265" s="729"/>
      <c r="K265" s="729"/>
      <c r="L265" s="729"/>
      <c r="M265" s="729"/>
      <c r="N265" s="729"/>
      <c r="O265" s="729"/>
      <c r="P265" s="729"/>
      <c r="Q265" s="729"/>
      <c r="R265" s="729"/>
      <c r="S265" s="729"/>
      <c r="T265" s="729"/>
      <c r="U265" s="729"/>
      <c r="V265" s="729"/>
      <c r="W265" s="729"/>
      <c r="X265" s="729"/>
      <c r="Y265" s="729"/>
      <c r="Z265" s="729"/>
      <c r="AA265" s="729"/>
      <c r="AB265" s="729"/>
      <c r="AC265" s="729"/>
      <c r="AD265" s="729"/>
      <c r="AE265" s="729"/>
      <c r="AF265" s="729"/>
      <c r="AG265" s="729"/>
      <c r="AH265" s="729"/>
      <c r="AI265" s="729"/>
      <c r="AJ265" s="729"/>
      <c r="AK265" s="729"/>
      <c r="AL265" s="729"/>
      <c r="AM265" s="729"/>
      <c r="AN265" s="729"/>
      <c r="AO265" s="729"/>
      <c r="AP265" s="729"/>
      <c r="AQ265" s="729"/>
      <c r="AR265" s="729"/>
      <c r="AS265" s="729"/>
      <c r="AT265" s="729"/>
      <c r="AU265" s="729"/>
      <c r="AV265" s="729"/>
      <c r="AW265" s="729"/>
      <c r="AX265" s="729"/>
      <c r="AY265" s="729"/>
    </row>
    <row r="266" spans="1:51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29"/>
      <c r="P266" s="729"/>
      <c r="Q266" s="729"/>
      <c r="R266" s="729"/>
      <c r="S266" s="729"/>
      <c r="T266" s="729"/>
      <c r="U266" s="729"/>
      <c r="V266" s="729"/>
      <c r="W266" s="729"/>
      <c r="X266" s="729"/>
      <c r="Y266" s="729"/>
      <c r="Z266" s="729"/>
      <c r="AA266" s="729"/>
      <c r="AB266" s="729"/>
      <c r="AC266" s="729"/>
      <c r="AD266" s="729"/>
      <c r="AE266" s="729"/>
      <c r="AF266" s="729"/>
      <c r="AG266" s="729"/>
      <c r="AH266" s="729"/>
      <c r="AI266" s="729"/>
      <c r="AJ266" s="729"/>
      <c r="AK266" s="729"/>
      <c r="AL266" s="729"/>
      <c r="AM266" s="729"/>
      <c r="AN266" s="729"/>
      <c r="AO266" s="729"/>
      <c r="AP266" s="729"/>
      <c r="AQ266" s="729"/>
      <c r="AR266" s="729"/>
      <c r="AS266" s="729"/>
      <c r="AT266" s="729"/>
      <c r="AU266" s="729"/>
      <c r="AV266" s="729"/>
      <c r="AW266" s="729"/>
      <c r="AX266" s="729"/>
      <c r="AY266" s="729"/>
    </row>
    <row r="267" spans="1:51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29"/>
      <c r="P267" s="729"/>
      <c r="Q267" s="729"/>
      <c r="R267" s="729"/>
      <c r="S267" s="729"/>
      <c r="T267" s="729"/>
      <c r="U267" s="729"/>
      <c r="V267" s="729"/>
      <c r="W267" s="729"/>
      <c r="X267" s="729"/>
      <c r="Y267" s="729"/>
      <c r="Z267" s="729"/>
      <c r="AA267" s="729"/>
      <c r="AB267" s="729"/>
      <c r="AC267" s="729"/>
      <c r="AD267" s="729"/>
      <c r="AE267" s="729"/>
      <c r="AF267" s="729"/>
      <c r="AG267" s="729"/>
      <c r="AH267" s="729"/>
      <c r="AI267" s="729"/>
      <c r="AJ267" s="729"/>
      <c r="AK267" s="729"/>
      <c r="AL267" s="729"/>
      <c r="AM267" s="729"/>
      <c r="AN267" s="729"/>
      <c r="AO267" s="729"/>
      <c r="AP267" s="729"/>
      <c r="AQ267" s="729"/>
      <c r="AR267" s="729"/>
      <c r="AS267" s="729"/>
      <c r="AT267" s="729"/>
      <c r="AU267" s="729"/>
      <c r="AV267" s="729"/>
      <c r="AW267" s="729"/>
      <c r="AX267" s="729"/>
      <c r="AY267" s="729"/>
    </row>
    <row r="268" spans="1:51">
      <c r="A268" s="729"/>
      <c r="B268" s="729"/>
      <c r="C268" s="729"/>
      <c r="D268" s="729"/>
      <c r="E268" s="729"/>
      <c r="F268" s="729"/>
      <c r="G268" s="729"/>
      <c r="H268" s="729"/>
      <c r="I268" s="729"/>
      <c r="J268" s="729"/>
      <c r="K268" s="729"/>
      <c r="L268" s="729"/>
      <c r="M268" s="729"/>
      <c r="N268" s="729"/>
      <c r="O268" s="729"/>
      <c r="P268" s="729"/>
      <c r="Q268" s="729"/>
      <c r="R268" s="729"/>
      <c r="S268" s="729"/>
      <c r="T268" s="729"/>
      <c r="U268" s="729"/>
      <c r="V268" s="729"/>
      <c r="W268" s="729"/>
      <c r="X268" s="729"/>
      <c r="Y268" s="729"/>
      <c r="Z268" s="729"/>
      <c r="AA268" s="729"/>
      <c r="AB268" s="729"/>
      <c r="AC268" s="729"/>
      <c r="AD268" s="729"/>
      <c r="AE268" s="729"/>
      <c r="AF268" s="729"/>
      <c r="AG268" s="729"/>
      <c r="AH268" s="729"/>
      <c r="AI268" s="729"/>
      <c r="AJ268" s="729"/>
      <c r="AK268" s="729"/>
      <c r="AL268" s="729"/>
      <c r="AM268" s="729"/>
      <c r="AN268" s="729"/>
      <c r="AO268" s="729"/>
      <c r="AP268" s="729"/>
      <c r="AQ268" s="729"/>
      <c r="AR268" s="729"/>
      <c r="AS268" s="729"/>
      <c r="AT268" s="729"/>
      <c r="AU268" s="729"/>
      <c r="AV268" s="729"/>
      <c r="AW268" s="729"/>
      <c r="AX268" s="729"/>
      <c r="AY268" s="729"/>
    </row>
    <row r="269" spans="1:51">
      <c r="A269" s="729"/>
      <c r="B269" s="729"/>
      <c r="C269" s="729"/>
      <c r="D269" s="729"/>
      <c r="E269" s="729"/>
      <c r="F269" s="729"/>
      <c r="G269" s="729"/>
      <c r="H269" s="729"/>
      <c r="I269" s="729"/>
      <c r="J269" s="729"/>
      <c r="K269" s="729"/>
      <c r="L269" s="729"/>
      <c r="M269" s="729"/>
      <c r="N269" s="729"/>
      <c r="O269" s="729"/>
      <c r="P269" s="729"/>
      <c r="Q269" s="729"/>
      <c r="R269" s="729"/>
      <c r="S269" s="729"/>
      <c r="T269" s="729"/>
      <c r="U269" s="729"/>
      <c r="V269" s="729"/>
      <c r="W269" s="729"/>
      <c r="X269" s="729"/>
      <c r="Y269" s="729"/>
      <c r="Z269" s="729"/>
      <c r="AA269" s="729"/>
      <c r="AB269" s="729"/>
      <c r="AC269" s="729"/>
      <c r="AD269" s="729"/>
      <c r="AE269" s="729"/>
      <c r="AF269" s="729"/>
      <c r="AG269" s="729"/>
      <c r="AH269" s="729"/>
      <c r="AI269" s="729"/>
      <c r="AJ269" s="729"/>
      <c r="AK269" s="729"/>
      <c r="AL269" s="729"/>
      <c r="AM269" s="729"/>
      <c r="AN269" s="729"/>
      <c r="AO269" s="729"/>
      <c r="AP269" s="729"/>
      <c r="AQ269" s="729"/>
      <c r="AR269" s="729"/>
      <c r="AS269" s="729"/>
      <c r="AT269" s="729"/>
      <c r="AU269" s="729"/>
      <c r="AV269" s="729"/>
      <c r="AW269" s="729"/>
      <c r="AX269" s="729"/>
      <c r="AY269" s="729"/>
    </row>
    <row r="270" spans="1:51">
      <c r="A270" s="729"/>
      <c r="B270" s="729"/>
      <c r="C270" s="729"/>
      <c r="D270" s="729"/>
      <c r="E270" s="729"/>
      <c r="F270" s="729"/>
      <c r="G270" s="729"/>
      <c r="H270" s="729"/>
      <c r="I270" s="729"/>
      <c r="J270" s="729"/>
      <c r="K270" s="729"/>
      <c r="L270" s="729"/>
      <c r="M270" s="729"/>
      <c r="N270" s="729"/>
      <c r="O270" s="729"/>
      <c r="P270" s="729"/>
      <c r="Q270" s="729"/>
      <c r="R270" s="729"/>
      <c r="S270" s="729"/>
      <c r="T270" s="729"/>
      <c r="U270" s="729"/>
      <c r="V270" s="729"/>
      <c r="W270" s="729"/>
      <c r="X270" s="729"/>
      <c r="Y270" s="729"/>
      <c r="Z270" s="729"/>
      <c r="AA270" s="729"/>
      <c r="AB270" s="729"/>
      <c r="AC270" s="729"/>
      <c r="AD270" s="729"/>
      <c r="AE270" s="729"/>
      <c r="AF270" s="729"/>
      <c r="AG270" s="729"/>
      <c r="AH270" s="729"/>
      <c r="AI270" s="729"/>
      <c r="AJ270" s="729"/>
      <c r="AK270" s="729"/>
      <c r="AL270" s="729"/>
      <c r="AM270" s="729"/>
      <c r="AN270" s="729"/>
      <c r="AO270" s="729"/>
      <c r="AP270" s="729"/>
      <c r="AQ270" s="729"/>
      <c r="AR270" s="729"/>
      <c r="AS270" s="729"/>
      <c r="AT270" s="729"/>
      <c r="AU270" s="729"/>
      <c r="AV270" s="729"/>
      <c r="AW270" s="729"/>
      <c r="AX270" s="729"/>
      <c r="AY270" s="729"/>
    </row>
    <row r="271" spans="1:51">
      <c r="A271" s="729"/>
      <c r="B271" s="729"/>
      <c r="C271" s="729"/>
      <c r="D271" s="729"/>
      <c r="E271" s="729"/>
      <c r="F271" s="729"/>
      <c r="G271" s="729"/>
      <c r="H271" s="729"/>
      <c r="I271" s="729"/>
      <c r="J271" s="729"/>
      <c r="K271" s="729"/>
      <c r="L271" s="729"/>
      <c r="M271" s="729"/>
      <c r="N271" s="729"/>
      <c r="O271" s="729"/>
      <c r="P271" s="729"/>
      <c r="Q271" s="729"/>
      <c r="R271" s="729"/>
      <c r="S271" s="729"/>
      <c r="T271" s="729"/>
      <c r="U271" s="729"/>
      <c r="V271" s="729"/>
      <c r="W271" s="729"/>
      <c r="X271" s="729"/>
      <c r="Y271" s="729"/>
      <c r="Z271" s="729"/>
      <c r="AA271" s="729"/>
      <c r="AB271" s="729"/>
      <c r="AC271" s="729"/>
      <c r="AD271" s="729"/>
      <c r="AE271" s="729"/>
      <c r="AF271" s="729"/>
      <c r="AG271" s="729"/>
      <c r="AH271" s="729"/>
      <c r="AI271" s="729"/>
      <c r="AJ271" s="729"/>
      <c r="AK271" s="729"/>
      <c r="AL271" s="729"/>
      <c r="AM271" s="729"/>
      <c r="AN271" s="729"/>
      <c r="AO271" s="729"/>
      <c r="AP271" s="729"/>
      <c r="AQ271" s="729"/>
      <c r="AR271" s="729"/>
      <c r="AS271" s="729"/>
      <c r="AT271" s="729"/>
      <c r="AU271" s="729"/>
      <c r="AV271" s="729"/>
      <c r="AW271" s="729"/>
      <c r="AX271" s="729"/>
      <c r="AY271" s="729"/>
    </row>
    <row r="272" spans="1:51">
      <c r="A272" s="729"/>
      <c r="B272" s="729"/>
      <c r="C272" s="729"/>
      <c r="D272" s="729"/>
      <c r="E272" s="729"/>
      <c r="F272" s="729"/>
      <c r="G272" s="729"/>
      <c r="H272" s="729"/>
      <c r="I272" s="729"/>
      <c r="J272" s="729"/>
      <c r="K272" s="729"/>
      <c r="L272" s="729"/>
      <c r="M272" s="729"/>
      <c r="N272" s="729"/>
      <c r="O272" s="729"/>
      <c r="P272" s="729"/>
      <c r="Q272" s="729"/>
      <c r="R272" s="729"/>
      <c r="S272" s="729"/>
      <c r="T272" s="729"/>
      <c r="U272" s="729"/>
      <c r="V272" s="729"/>
      <c r="W272" s="729"/>
      <c r="X272" s="729"/>
      <c r="Y272" s="729"/>
      <c r="Z272" s="729"/>
      <c r="AA272" s="729"/>
      <c r="AB272" s="729"/>
      <c r="AC272" s="729"/>
      <c r="AD272" s="729"/>
      <c r="AE272" s="729"/>
      <c r="AF272" s="729"/>
      <c r="AG272" s="729"/>
      <c r="AH272" s="729"/>
      <c r="AI272" s="729"/>
      <c r="AJ272" s="729"/>
      <c r="AK272" s="729"/>
      <c r="AL272" s="729"/>
      <c r="AM272" s="729"/>
      <c r="AN272" s="729"/>
      <c r="AO272" s="729"/>
      <c r="AP272" s="729"/>
      <c r="AQ272" s="729"/>
      <c r="AR272" s="729"/>
      <c r="AS272" s="729"/>
      <c r="AT272" s="729"/>
      <c r="AU272" s="729"/>
      <c r="AV272" s="729"/>
      <c r="AW272" s="729"/>
      <c r="AX272" s="729"/>
      <c r="AY272" s="729"/>
    </row>
    <row r="273" spans="1:51">
      <c r="A273" s="729"/>
      <c r="B273" s="729"/>
      <c r="C273" s="729"/>
      <c r="D273" s="729"/>
      <c r="E273" s="729"/>
      <c r="F273" s="729"/>
      <c r="G273" s="729"/>
      <c r="H273" s="729"/>
      <c r="I273" s="729"/>
      <c r="J273" s="729"/>
      <c r="K273" s="729"/>
      <c r="L273" s="729"/>
      <c r="M273" s="729"/>
      <c r="N273" s="729"/>
      <c r="O273" s="729"/>
      <c r="P273" s="729"/>
      <c r="Q273" s="729"/>
      <c r="R273" s="729"/>
      <c r="S273" s="729"/>
      <c r="T273" s="729"/>
      <c r="U273" s="729"/>
      <c r="V273" s="729"/>
      <c r="W273" s="729"/>
      <c r="X273" s="729"/>
      <c r="Y273" s="729"/>
      <c r="Z273" s="729"/>
      <c r="AA273" s="729"/>
      <c r="AB273" s="729"/>
      <c r="AC273" s="729"/>
      <c r="AD273" s="729"/>
      <c r="AE273" s="729"/>
      <c r="AF273" s="729"/>
      <c r="AG273" s="729"/>
      <c r="AH273" s="729"/>
      <c r="AI273" s="729"/>
      <c r="AJ273" s="729"/>
      <c r="AK273" s="729"/>
      <c r="AL273" s="729"/>
      <c r="AM273" s="729"/>
      <c r="AN273" s="729"/>
      <c r="AO273" s="729"/>
      <c r="AP273" s="729"/>
      <c r="AQ273" s="729"/>
      <c r="AR273" s="729"/>
      <c r="AS273" s="729"/>
      <c r="AT273" s="729"/>
      <c r="AU273" s="729"/>
      <c r="AV273" s="729"/>
      <c r="AW273" s="729"/>
      <c r="AX273" s="729"/>
      <c r="AY273" s="729"/>
    </row>
    <row r="274" spans="1:51">
      <c r="A274" s="729"/>
      <c r="B274" s="729"/>
      <c r="C274" s="729"/>
      <c r="D274" s="729"/>
      <c r="E274" s="729"/>
      <c r="F274" s="729"/>
      <c r="G274" s="729"/>
      <c r="H274" s="729"/>
      <c r="I274" s="729"/>
      <c r="J274" s="729"/>
      <c r="K274" s="729"/>
      <c r="L274" s="729"/>
      <c r="M274" s="729"/>
      <c r="N274" s="729"/>
      <c r="O274" s="729"/>
      <c r="P274" s="729"/>
      <c r="Q274" s="729"/>
      <c r="R274" s="729"/>
      <c r="S274" s="729"/>
      <c r="T274" s="729"/>
      <c r="U274" s="729"/>
      <c r="V274" s="729"/>
      <c r="W274" s="729"/>
      <c r="X274" s="729"/>
      <c r="Y274" s="729"/>
      <c r="Z274" s="729"/>
      <c r="AA274" s="729"/>
      <c r="AB274" s="729"/>
      <c r="AC274" s="729"/>
      <c r="AD274" s="729"/>
      <c r="AE274" s="729"/>
      <c r="AF274" s="729"/>
      <c r="AG274" s="729"/>
      <c r="AH274" s="729"/>
      <c r="AI274" s="729"/>
      <c r="AJ274" s="729"/>
      <c r="AK274" s="729"/>
      <c r="AL274" s="729"/>
      <c r="AM274" s="729"/>
      <c r="AN274" s="729"/>
      <c r="AO274" s="729"/>
      <c r="AP274" s="729"/>
      <c r="AQ274" s="729"/>
      <c r="AR274" s="729"/>
      <c r="AS274" s="729"/>
      <c r="AT274" s="729"/>
      <c r="AU274" s="729"/>
      <c r="AV274" s="729"/>
      <c r="AW274" s="729"/>
      <c r="AX274" s="729"/>
      <c r="AY274" s="729"/>
    </row>
    <row r="275" spans="1:51">
      <c r="A275" s="729"/>
      <c r="B275" s="729"/>
      <c r="C275" s="729"/>
      <c r="D275" s="729"/>
      <c r="E275" s="729"/>
      <c r="F275" s="729"/>
      <c r="G275" s="729"/>
      <c r="H275" s="729"/>
      <c r="I275" s="729"/>
      <c r="J275" s="729"/>
      <c r="K275" s="729"/>
      <c r="L275" s="729"/>
      <c r="M275" s="729"/>
      <c r="N275" s="729"/>
      <c r="O275" s="729"/>
      <c r="P275" s="729"/>
      <c r="Q275" s="729"/>
      <c r="R275" s="729"/>
      <c r="S275" s="729"/>
      <c r="T275" s="729"/>
      <c r="U275" s="729"/>
      <c r="V275" s="729"/>
      <c r="W275" s="729"/>
      <c r="X275" s="729"/>
      <c r="Y275" s="729"/>
      <c r="Z275" s="729"/>
      <c r="AA275" s="729"/>
      <c r="AB275" s="729"/>
      <c r="AC275" s="729"/>
      <c r="AD275" s="729"/>
      <c r="AE275" s="729"/>
      <c r="AF275" s="729"/>
      <c r="AG275" s="729"/>
      <c r="AH275" s="729"/>
      <c r="AI275" s="729"/>
      <c r="AJ275" s="729"/>
      <c r="AK275" s="729"/>
      <c r="AL275" s="729"/>
      <c r="AM275" s="729"/>
      <c r="AN275" s="729"/>
      <c r="AO275" s="729"/>
      <c r="AP275" s="729"/>
      <c r="AQ275" s="729"/>
      <c r="AR275" s="729"/>
      <c r="AS275" s="729"/>
      <c r="AT275" s="729"/>
      <c r="AU275" s="729"/>
      <c r="AV275" s="729"/>
      <c r="AW275" s="729"/>
      <c r="AX275" s="729"/>
      <c r="AY275" s="729"/>
    </row>
    <row r="276" spans="1:51">
      <c r="A276" s="729"/>
      <c r="B276" s="729"/>
      <c r="C276" s="729"/>
      <c r="D276" s="729"/>
      <c r="E276" s="729"/>
      <c r="F276" s="729"/>
      <c r="G276" s="729"/>
      <c r="H276" s="729"/>
      <c r="I276" s="729"/>
      <c r="J276" s="729"/>
      <c r="K276" s="729"/>
      <c r="L276" s="729"/>
      <c r="M276" s="729"/>
      <c r="N276" s="729"/>
      <c r="O276" s="729"/>
      <c r="P276" s="729"/>
      <c r="Q276" s="729"/>
      <c r="R276" s="729"/>
      <c r="S276" s="729"/>
      <c r="T276" s="729"/>
      <c r="U276" s="729"/>
      <c r="V276" s="729"/>
      <c r="W276" s="729"/>
      <c r="X276" s="729"/>
      <c r="Y276" s="729"/>
      <c r="Z276" s="729"/>
      <c r="AA276" s="729"/>
      <c r="AB276" s="729"/>
      <c r="AC276" s="729"/>
      <c r="AD276" s="729"/>
      <c r="AE276" s="729"/>
      <c r="AF276" s="729"/>
      <c r="AG276" s="729"/>
      <c r="AH276" s="729"/>
      <c r="AI276" s="729"/>
      <c r="AJ276" s="729"/>
      <c r="AK276" s="729"/>
      <c r="AL276" s="729"/>
      <c r="AM276" s="729"/>
      <c r="AN276" s="729"/>
      <c r="AO276" s="729"/>
      <c r="AP276" s="729"/>
      <c r="AQ276" s="729"/>
      <c r="AR276" s="729"/>
      <c r="AS276" s="729"/>
      <c r="AT276" s="729"/>
      <c r="AU276" s="729"/>
      <c r="AV276" s="729"/>
      <c r="AW276" s="729"/>
      <c r="AX276" s="729"/>
      <c r="AY276" s="729"/>
    </row>
    <row r="277" spans="1:51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29"/>
      <c r="P277" s="729"/>
      <c r="Q277" s="729"/>
      <c r="R277" s="729"/>
      <c r="S277" s="729"/>
      <c r="T277" s="729"/>
      <c r="U277" s="729"/>
      <c r="V277" s="729"/>
      <c r="W277" s="729"/>
      <c r="X277" s="729"/>
      <c r="Y277" s="729"/>
      <c r="Z277" s="729"/>
      <c r="AA277" s="729"/>
      <c r="AB277" s="729"/>
      <c r="AC277" s="729"/>
      <c r="AD277" s="729"/>
      <c r="AE277" s="729"/>
      <c r="AF277" s="729"/>
      <c r="AG277" s="729"/>
      <c r="AH277" s="729"/>
      <c r="AI277" s="729"/>
      <c r="AJ277" s="729"/>
      <c r="AK277" s="729"/>
      <c r="AL277" s="729"/>
      <c r="AM277" s="729"/>
      <c r="AN277" s="729"/>
      <c r="AO277" s="729"/>
      <c r="AP277" s="729"/>
      <c r="AQ277" s="729"/>
      <c r="AR277" s="729"/>
      <c r="AS277" s="729"/>
      <c r="AT277" s="729"/>
      <c r="AU277" s="729"/>
      <c r="AV277" s="729"/>
      <c r="AW277" s="729"/>
      <c r="AX277" s="729"/>
      <c r="AY277" s="729"/>
    </row>
    <row r="278" spans="1:51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29"/>
      <c r="P278" s="729"/>
      <c r="Q278" s="729"/>
      <c r="R278" s="729"/>
      <c r="S278" s="729"/>
      <c r="T278" s="729"/>
      <c r="U278" s="729"/>
      <c r="V278" s="729"/>
      <c r="W278" s="729"/>
      <c r="X278" s="729"/>
      <c r="Y278" s="729"/>
      <c r="Z278" s="729"/>
      <c r="AA278" s="729"/>
      <c r="AB278" s="729"/>
      <c r="AC278" s="729"/>
      <c r="AD278" s="729"/>
      <c r="AE278" s="729"/>
      <c r="AF278" s="729"/>
      <c r="AG278" s="729"/>
      <c r="AH278" s="729"/>
      <c r="AI278" s="729"/>
      <c r="AJ278" s="729"/>
      <c r="AK278" s="729"/>
      <c r="AL278" s="729"/>
      <c r="AM278" s="729"/>
      <c r="AN278" s="729"/>
      <c r="AO278" s="729"/>
      <c r="AP278" s="729"/>
      <c r="AQ278" s="729"/>
      <c r="AR278" s="729"/>
      <c r="AS278" s="729"/>
      <c r="AT278" s="729"/>
      <c r="AU278" s="729"/>
      <c r="AV278" s="729"/>
      <c r="AW278" s="729"/>
      <c r="AX278" s="729"/>
      <c r="AY278" s="729"/>
    </row>
    <row r="279" spans="1:51">
      <c r="A279" s="729"/>
      <c r="B279" s="729"/>
      <c r="C279" s="729"/>
      <c r="D279" s="729"/>
      <c r="E279" s="729"/>
      <c r="F279" s="729"/>
      <c r="G279" s="729"/>
      <c r="H279" s="729"/>
      <c r="I279" s="729"/>
      <c r="J279" s="729"/>
      <c r="K279" s="729"/>
      <c r="L279" s="729"/>
      <c r="M279" s="729"/>
      <c r="N279" s="729"/>
      <c r="O279" s="729"/>
      <c r="P279" s="729"/>
      <c r="Q279" s="729"/>
      <c r="R279" s="729"/>
      <c r="S279" s="729"/>
      <c r="T279" s="729"/>
      <c r="U279" s="729"/>
      <c r="V279" s="729"/>
      <c r="W279" s="729"/>
      <c r="X279" s="729"/>
      <c r="Y279" s="729"/>
      <c r="Z279" s="729"/>
      <c r="AA279" s="729"/>
      <c r="AB279" s="729"/>
      <c r="AC279" s="729"/>
      <c r="AD279" s="729"/>
      <c r="AE279" s="729"/>
      <c r="AF279" s="729"/>
      <c r="AG279" s="729"/>
      <c r="AH279" s="729"/>
      <c r="AI279" s="729"/>
      <c r="AJ279" s="729"/>
      <c r="AK279" s="729"/>
      <c r="AL279" s="729"/>
      <c r="AM279" s="729"/>
      <c r="AN279" s="729"/>
      <c r="AO279" s="729"/>
      <c r="AP279" s="729"/>
      <c r="AQ279" s="729"/>
      <c r="AR279" s="729"/>
      <c r="AS279" s="729"/>
      <c r="AT279" s="729"/>
      <c r="AU279" s="729"/>
      <c r="AV279" s="729"/>
      <c r="AW279" s="729"/>
      <c r="AX279" s="729"/>
      <c r="AY279" s="729"/>
    </row>
    <row r="280" spans="1:51">
      <c r="A280" s="729"/>
      <c r="B280" s="729"/>
      <c r="C280" s="729"/>
      <c r="D280" s="729"/>
      <c r="E280" s="729"/>
      <c r="F280" s="729"/>
      <c r="G280" s="729"/>
      <c r="H280" s="729"/>
      <c r="I280" s="729"/>
      <c r="J280" s="729"/>
      <c r="K280" s="729"/>
      <c r="L280" s="729"/>
      <c r="M280" s="729"/>
      <c r="N280" s="729"/>
      <c r="O280" s="729"/>
      <c r="P280" s="729"/>
      <c r="Q280" s="729"/>
      <c r="R280" s="729"/>
      <c r="S280" s="729"/>
      <c r="T280" s="729"/>
      <c r="U280" s="729"/>
      <c r="V280" s="729"/>
      <c r="W280" s="729"/>
      <c r="X280" s="729"/>
      <c r="Y280" s="729"/>
      <c r="Z280" s="729"/>
      <c r="AA280" s="729"/>
      <c r="AB280" s="729"/>
      <c r="AC280" s="729"/>
      <c r="AD280" s="729"/>
      <c r="AE280" s="729"/>
      <c r="AF280" s="729"/>
      <c r="AG280" s="729"/>
      <c r="AH280" s="729"/>
      <c r="AI280" s="729"/>
      <c r="AJ280" s="729"/>
      <c r="AK280" s="729"/>
      <c r="AL280" s="729"/>
      <c r="AM280" s="729"/>
      <c r="AN280" s="729"/>
      <c r="AO280" s="729"/>
      <c r="AP280" s="729"/>
      <c r="AQ280" s="729"/>
      <c r="AR280" s="729"/>
      <c r="AS280" s="729"/>
      <c r="AT280" s="729"/>
      <c r="AU280" s="729"/>
      <c r="AV280" s="729"/>
      <c r="AW280" s="729"/>
      <c r="AX280" s="729"/>
      <c r="AY280" s="729"/>
    </row>
    <row r="281" spans="1:51">
      <c r="A281" s="729"/>
      <c r="B281" s="729"/>
      <c r="C281" s="729"/>
      <c r="D281" s="729"/>
      <c r="E281" s="729"/>
      <c r="F281" s="729"/>
      <c r="G281" s="729"/>
      <c r="H281" s="729"/>
      <c r="I281" s="729"/>
      <c r="J281" s="729"/>
      <c r="K281" s="729"/>
      <c r="L281" s="729"/>
      <c r="M281" s="729"/>
      <c r="N281" s="729"/>
      <c r="O281" s="729"/>
      <c r="P281" s="729"/>
      <c r="Q281" s="729"/>
      <c r="R281" s="729"/>
      <c r="S281" s="729"/>
      <c r="T281" s="729"/>
      <c r="U281" s="729"/>
      <c r="V281" s="729"/>
      <c r="W281" s="729"/>
      <c r="X281" s="729"/>
      <c r="Y281" s="729"/>
      <c r="Z281" s="729"/>
      <c r="AA281" s="729"/>
      <c r="AB281" s="729"/>
      <c r="AC281" s="729"/>
      <c r="AD281" s="729"/>
      <c r="AE281" s="729"/>
      <c r="AF281" s="729"/>
      <c r="AG281" s="729"/>
      <c r="AH281" s="729"/>
      <c r="AI281" s="729"/>
      <c r="AJ281" s="729"/>
      <c r="AK281" s="729"/>
      <c r="AL281" s="729"/>
      <c r="AM281" s="729"/>
      <c r="AN281" s="729"/>
      <c r="AO281" s="729"/>
      <c r="AP281" s="729"/>
      <c r="AQ281" s="729"/>
      <c r="AR281" s="729"/>
      <c r="AS281" s="729"/>
      <c r="AT281" s="729"/>
      <c r="AU281" s="729"/>
      <c r="AV281" s="729"/>
      <c r="AW281" s="729"/>
      <c r="AX281" s="729"/>
      <c r="AY281" s="729"/>
    </row>
    <row r="282" spans="1:51">
      <c r="A282" s="729"/>
      <c r="B282" s="729"/>
      <c r="C282" s="729"/>
      <c r="D282" s="729"/>
      <c r="E282" s="729"/>
      <c r="F282" s="729"/>
      <c r="G282" s="729"/>
      <c r="H282" s="729"/>
      <c r="I282" s="729"/>
      <c r="J282" s="729"/>
      <c r="K282" s="729"/>
      <c r="L282" s="729"/>
      <c r="M282" s="729"/>
      <c r="N282" s="729"/>
      <c r="O282" s="729"/>
      <c r="P282" s="729"/>
      <c r="Q282" s="729"/>
      <c r="R282" s="729"/>
      <c r="S282" s="729"/>
      <c r="T282" s="729"/>
      <c r="U282" s="729"/>
      <c r="V282" s="729"/>
      <c r="W282" s="729"/>
      <c r="X282" s="729"/>
      <c r="Y282" s="729"/>
      <c r="Z282" s="729"/>
      <c r="AA282" s="729"/>
      <c r="AB282" s="729"/>
      <c r="AC282" s="729"/>
      <c r="AD282" s="729"/>
      <c r="AE282" s="729"/>
      <c r="AF282" s="729"/>
      <c r="AG282" s="729"/>
      <c r="AH282" s="729"/>
      <c r="AI282" s="729"/>
      <c r="AJ282" s="729"/>
      <c r="AK282" s="729"/>
      <c r="AL282" s="729"/>
      <c r="AM282" s="729"/>
      <c r="AN282" s="729"/>
      <c r="AO282" s="729"/>
      <c r="AP282" s="729"/>
      <c r="AQ282" s="729"/>
      <c r="AR282" s="729"/>
      <c r="AS282" s="729"/>
      <c r="AT282" s="729"/>
      <c r="AU282" s="729"/>
      <c r="AV282" s="729"/>
      <c r="AW282" s="729"/>
      <c r="AX282" s="729"/>
      <c r="AY282" s="729"/>
    </row>
    <row r="283" spans="1:51">
      <c r="A283" s="729"/>
      <c r="B283" s="729"/>
      <c r="C283" s="729"/>
      <c r="D283" s="729"/>
      <c r="E283" s="729"/>
      <c r="F283" s="729"/>
      <c r="G283" s="729"/>
      <c r="H283" s="729"/>
      <c r="I283" s="729"/>
      <c r="J283" s="729"/>
      <c r="K283" s="729"/>
      <c r="L283" s="729"/>
      <c r="M283" s="729"/>
      <c r="N283" s="729"/>
      <c r="O283" s="729"/>
      <c r="P283" s="729"/>
      <c r="Q283" s="729"/>
      <c r="R283" s="729"/>
      <c r="S283" s="729"/>
      <c r="T283" s="729"/>
      <c r="U283" s="729"/>
      <c r="V283" s="729"/>
      <c r="W283" s="729"/>
      <c r="X283" s="729"/>
      <c r="Y283" s="729"/>
      <c r="Z283" s="729"/>
      <c r="AA283" s="729"/>
      <c r="AB283" s="729"/>
      <c r="AC283" s="729"/>
      <c r="AD283" s="729"/>
      <c r="AE283" s="729"/>
      <c r="AF283" s="729"/>
      <c r="AG283" s="729"/>
      <c r="AH283" s="729"/>
      <c r="AI283" s="729"/>
      <c r="AJ283" s="729"/>
      <c r="AK283" s="729"/>
      <c r="AL283" s="729"/>
      <c r="AM283" s="729"/>
      <c r="AN283" s="729"/>
      <c r="AO283" s="729"/>
      <c r="AP283" s="729"/>
      <c r="AQ283" s="729"/>
      <c r="AR283" s="729"/>
      <c r="AS283" s="729"/>
      <c r="AT283" s="729"/>
      <c r="AU283" s="729"/>
      <c r="AV283" s="729"/>
      <c r="AW283" s="729"/>
      <c r="AX283" s="729"/>
      <c r="AY283" s="729"/>
    </row>
    <row r="284" spans="1:51">
      <c r="A284" s="729"/>
      <c r="B284" s="729"/>
      <c r="C284" s="729"/>
      <c r="D284" s="729"/>
      <c r="E284" s="729"/>
      <c r="F284" s="729"/>
      <c r="G284" s="729"/>
      <c r="H284" s="729"/>
      <c r="I284" s="729"/>
      <c r="J284" s="729"/>
      <c r="K284" s="729"/>
      <c r="L284" s="729"/>
      <c r="M284" s="729"/>
      <c r="N284" s="729"/>
      <c r="O284" s="729"/>
      <c r="P284" s="729"/>
      <c r="Q284" s="729"/>
      <c r="R284" s="729"/>
      <c r="S284" s="729"/>
      <c r="T284" s="729"/>
      <c r="U284" s="729"/>
      <c r="V284" s="729"/>
      <c r="W284" s="729"/>
      <c r="X284" s="729"/>
      <c r="Y284" s="729"/>
      <c r="Z284" s="729"/>
      <c r="AA284" s="729"/>
      <c r="AB284" s="729"/>
      <c r="AC284" s="729"/>
      <c r="AD284" s="729"/>
      <c r="AE284" s="729"/>
      <c r="AF284" s="729"/>
      <c r="AG284" s="729"/>
      <c r="AH284" s="729"/>
      <c r="AI284" s="729"/>
      <c r="AJ284" s="729"/>
      <c r="AK284" s="729"/>
      <c r="AL284" s="729"/>
      <c r="AM284" s="729"/>
      <c r="AN284" s="729"/>
      <c r="AO284" s="729"/>
      <c r="AP284" s="729"/>
      <c r="AQ284" s="729"/>
      <c r="AR284" s="729"/>
      <c r="AS284" s="729"/>
      <c r="AT284" s="729"/>
      <c r="AU284" s="729"/>
      <c r="AV284" s="729"/>
      <c r="AW284" s="729"/>
      <c r="AX284" s="729"/>
      <c r="AY284" s="729"/>
    </row>
    <row r="285" spans="1:51">
      <c r="A285" s="729"/>
      <c r="B285" s="729"/>
      <c r="C285" s="729"/>
      <c r="D285" s="729"/>
      <c r="E285" s="729"/>
      <c r="F285" s="729"/>
      <c r="G285" s="729"/>
      <c r="H285" s="729"/>
      <c r="I285" s="729"/>
      <c r="J285" s="729"/>
      <c r="K285" s="729"/>
      <c r="L285" s="729"/>
      <c r="M285" s="729"/>
      <c r="N285" s="729"/>
      <c r="O285" s="729"/>
      <c r="P285" s="729"/>
      <c r="Q285" s="729"/>
      <c r="R285" s="729"/>
      <c r="S285" s="729"/>
      <c r="T285" s="729"/>
      <c r="U285" s="729"/>
      <c r="V285" s="729"/>
      <c r="W285" s="729"/>
      <c r="X285" s="729"/>
      <c r="Y285" s="729"/>
      <c r="Z285" s="729"/>
      <c r="AA285" s="729"/>
      <c r="AB285" s="729"/>
      <c r="AC285" s="729"/>
      <c r="AD285" s="729"/>
      <c r="AE285" s="729"/>
      <c r="AF285" s="729"/>
      <c r="AG285" s="729"/>
      <c r="AH285" s="729"/>
      <c r="AI285" s="729"/>
      <c r="AJ285" s="729"/>
      <c r="AK285" s="729"/>
      <c r="AL285" s="729"/>
      <c r="AM285" s="729"/>
      <c r="AN285" s="729"/>
      <c r="AO285" s="729"/>
      <c r="AP285" s="729"/>
      <c r="AQ285" s="729"/>
      <c r="AR285" s="729"/>
      <c r="AS285" s="729"/>
      <c r="AT285" s="729"/>
      <c r="AU285" s="729"/>
      <c r="AV285" s="729"/>
      <c r="AW285" s="729"/>
      <c r="AX285" s="729"/>
      <c r="AY285" s="729"/>
    </row>
    <row r="286" spans="1:51">
      <c r="A286" s="729"/>
      <c r="B286" s="729"/>
      <c r="C286" s="729"/>
      <c r="D286" s="729"/>
      <c r="E286" s="729"/>
      <c r="F286" s="729"/>
      <c r="G286" s="729"/>
      <c r="H286" s="729"/>
      <c r="I286" s="729"/>
      <c r="J286" s="729"/>
      <c r="K286" s="729"/>
      <c r="L286" s="729"/>
      <c r="M286" s="729"/>
      <c r="N286" s="729"/>
      <c r="O286" s="729"/>
      <c r="P286" s="729"/>
      <c r="Q286" s="729"/>
      <c r="R286" s="729"/>
      <c r="S286" s="729"/>
      <c r="T286" s="729"/>
      <c r="U286" s="729"/>
      <c r="V286" s="729"/>
      <c r="W286" s="729"/>
      <c r="X286" s="729"/>
      <c r="Y286" s="729"/>
      <c r="Z286" s="729"/>
      <c r="AA286" s="729"/>
      <c r="AB286" s="729"/>
      <c r="AC286" s="729"/>
      <c r="AD286" s="729"/>
      <c r="AE286" s="729"/>
      <c r="AF286" s="729"/>
      <c r="AG286" s="729"/>
      <c r="AH286" s="729"/>
      <c r="AI286" s="729"/>
      <c r="AJ286" s="729"/>
      <c r="AK286" s="729"/>
      <c r="AL286" s="729"/>
      <c r="AM286" s="729"/>
      <c r="AN286" s="729"/>
      <c r="AO286" s="729"/>
      <c r="AP286" s="729"/>
      <c r="AQ286" s="729"/>
      <c r="AR286" s="729"/>
      <c r="AS286" s="729"/>
      <c r="AT286" s="729"/>
      <c r="AU286" s="729"/>
      <c r="AV286" s="729"/>
      <c r="AW286" s="729"/>
      <c r="AX286" s="729"/>
      <c r="AY286" s="729"/>
    </row>
  </sheetData>
  <mergeCells count="18">
    <mergeCell ref="A1:R1"/>
    <mergeCell ref="A2:R2"/>
    <mergeCell ref="A4:C4"/>
    <mergeCell ref="A5:C7"/>
    <mergeCell ref="D4:F4"/>
    <mergeCell ref="D5:F7"/>
    <mergeCell ref="G4:I4"/>
    <mergeCell ref="G5:I7"/>
    <mergeCell ref="J4:L4"/>
    <mergeCell ref="J5:L7"/>
    <mergeCell ref="A107:R107"/>
    <mergeCell ref="A166:R166"/>
    <mergeCell ref="M4:O4"/>
    <mergeCell ref="M5:O7"/>
    <mergeCell ref="P4:R4"/>
    <mergeCell ref="P5:R7"/>
    <mergeCell ref="A8:R8"/>
    <mergeCell ref="A48:R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EF22-1A9D-4152-B37A-70BB002DA913}">
  <sheetPr>
    <tabColor rgb="FF548235"/>
  </sheetPr>
  <dimension ref="A1:AF231"/>
  <sheetViews>
    <sheetView showGridLines="0" topLeftCell="A89" zoomScale="92" workbookViewId="0">
      <pane xSplit="2" topLeftCell="C1" activePane="topRight" state="frozen"/>
      <selection activeCell="A89" sqref="A89"/>
      <selection pane="topRight" activeCell="I59" sqref="I59"/>
    </sheetView>
    <sheetView topLeftCell="A6" workbookViewId="1"/>
  </sheetViews>
  <sheetFormatPr defaultRowHeight="14.4"/>
  <cols>
    <col min="2" max="2" width="60.6640625" bestFit="1" customWidth="1"/>
    <col min="3" max="17" width="17" customWidth="1"/>
  </cols>
  <sheetData>
    <row r="1" spans="1:32">
      <c r="A1" s="729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</row>
    <row r="2" spans="1:32" ht="17.399999999999999">
      <c r="A2" s="729"/>
      <c r="B2" s="607" t="s">
        <v>1111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458"/>
      <c r="Q2" s="458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</row>
    <row r="3" spans="1:32">
      <c r="A3" s="729"/>
      <c r="B3" s="893" t="s">
        <v>1112</v>
      </c>
      <c r="C3" s="893"/>
      <c r="D3" s="893"/>
      <c r="E3" s="893"/>
      <c r="F3" s="893"/>
      <c r="G3" s="893"/>
      <c r="H3" s="893"/>
      <c r="I3" s="893"/>
      <c r="J3" s="893"/>
      <c r="K3" s="893"/>
      <c r="L3" s="893"/>
      <c r="M3" s="893"/>
      <c r="N3" s="893"/>
      <c r="O3" s="893"/>
      <c r="P3" s="682"/>
      <c r="Q3" s="682"/>
      <c r="R3" s="729"/>
      <c r="S3" s="729"/>
      <c r="T3" s="729"/>
      <c r="U3" s="729"/>
      <c r="V3" s="729"/>
      <c r="W3" s="729"/>
      <c r="X3" s="729"/>
      <c r="Y3" s="729"/>
      <c r="Z3" s="729"/>
      <c r="AA3" s="729"/>
      <c r="AB3" s="729"/>
      <c r="AC3" s="729"/>
      <c r="AD3" s="729"/>
      <c r="AE3" s="729"/>
      <c r="AF3" s="729"/>
    </row>
    <row r="4" spans="1:32">
      <c r="A4" s="729"/>
      <c r="B4" s="674"/>
      <c r="C4" s="674"/>
      <c r="D4" s="674"/>
      <c r="E4" s="674"/>
      <c r="F4" s="674"/>
      <c r="G4" s="674"/>
      <c r="H4" s="674"/>
      <c r="I4" s="674"/>
      <c r="J4" s="674"/>
      <c r="K4" s="674"/>
      <c r="L4" s="674"/>
      <c r="M4" s="674"/>
      <c r="N4" s="674"/>
      <c r="O4" s="674"/>
      <c r="P4" s="674"/>
      <c r="Q4" s="674"/>
      <c r="R4" s="729"/>
      <c r="S4" s="729"/>
      <c r="T4" s="729"/>
      <c r="U4" s="729"/>
      <c r="V4" s="729"/>
      <c r="W4" s="729"/>
      <c r="X4" s="729"/>
      <c r="Y4" s="729"/>
      <c r="Z4" s="729"/>
      <c r="AA4" s="729"/>
      <c r="AB4" s="729"/>
      <c r="AC4" s="729"/>
      <c r="AD4" s="729"/>
      <c r="AE4" s="729"/>
      <c r="AF4" s="729"/>
    </row>
    <row r="5" spans="1:32">
      <c r="A5" s="729"/>
      <c r="B5" s="678" t="s">
        <v>1113</v>
      </c>
      <c r="C5" s="378">
        <v>4000</v>
      </c>
      <c r="D5" s="674"/>
      <c r="E5" s="674"/>
      <c r="F5" s="674"/>
      <c r="G5" s="674"/>
      <c r="H5" s="674"/>
      <c r="I5" s="674"/>
      <c r="J5" s="674"/>
      <c r="K5" s="674"/>
      <c r="L5" s="674"/>
      <c r="M5" s="674"/>
      <c r="N5" s="674"/>
      <c r="O5" s="674"/>
      <c r="P5" s="674"/>
      <c r="Q5" s="674"/>
      <c r="R5" s="729"/>
      <c r="S5" s="729"/>
      <c r="T5" s="729"/>
      <c r="U5" s="729"/>
      <c r="V5" s="729"/>
      <c r="W5" s="729"/>
      <c r="X5" s="729"/>
      <c r="Y5" s="729"/>
      <c r="Z5" s="729"/>
      <c r="AA5" s="729"/>
      <c r="AB5" s="729"/>
      <c r="AC5" s="729"/>
      <c r="AD5" s="729"/>
      <c r="AE5" s="729"/>
      <c r="AF5" s="729"/>
    </row>
    <row r="6" spans="1:32">
      <c r="A6" s="729"/>
      <c r="B6" s="678" t="s">
        <v>1114</v>
      </c>
      <c r="C6" s="378">
        <v>3690</v>
      </c>
      <c r="D6" s="674"/>
      <c r="E6" s="674"/>
      <c r="F6" s="674"/>
      <c r="G6" s="674"/>
      <c r="H6" s="674"/>
      <c r="I6" s="674"/>
      <c r="J6" s="674"/>
      <c r="K6" s="674"/>
      <c r="L6" s="674"/>
      <c r="M6" s="674"/>
      <c r="N6" s="674"/>
      <c r="O6" s="674"/>
      <c r="P6" s="674"/>
      <c r="Q6" s="674"/>
      <c r="R6" s="729"/>
      <c r="S6" s="729"/>
      <c r="T6" s="729"/>
      <c r="U6" s="729"/>
      <c r="V6" s="729"/>
      <c r="W6" s="729"/>
      <c r="X6" s="729"/>
      <c r="Y6" s="729"/>
      <c r="Z6" s="729"/>
      <c r="AA6" s="729"/>
      <c r="AB6" s="729"/>
      <c r="AC6" s="729"/>
      <c r="AD6" s="729"/>
      <c r="AE6" s="729"/>
      <c r="AF6" s="729"/>
    </row>
    <row r="7" spans="1:32">
      <c r="A7" s="729"/>
      <c r="B7" s="674"/>
      <c r="C7" s="674"/>
      <c r="D7" s="674"/>
      <c r="E7" s="674"/>
      <c r="F7" s="674"/>
      <c r="G7" s="674"/>
      <c r="H7" s="674"/>
      <c r="I7" s="674"/>
      <c r="J7" s="674"/>
      <c r="K7" s="674"/>
      <c r="L7" s="674"/>
      <c r="M7" s="674"/>
      <c r="N7" s="674"/>
      <c r="O7" s="674"/>
      <c r="P7" s="674"/>
      <c r="Q7" s="674"/>
      <c r="R7" s="729"/>
      <c r="S7" s="729"/>
      <c r="T7" s="729"/>
      <c r="U7" s="729"/>
      <c r="V7" s="729"/>
      <c r="W7" s="729"/>
      <c r="X7" s="729"/>
      <c r="Y7" s="729"/>
      <c r="Z7" s="729"/>
      <c r="AA7" s="729"/>
      <c r="AB7" s="729"/>
      <c r="AC7" s="729"/>
      <c r="AD7" s="729"/>
      <c r="AE7" s="729"/>
      <c r="AF7" s="729"/>
    </row>
    <row r="8" spans="1:32" ht="30" customHeight="1" thickBot="1">
      <c r="A8" s="729"/>
      <c r="B8" s="610" t="s">
        <v>210</v>
      </c>
      <c r="C8" s="608" t="s">
        <v>736</v>
      </c>
      <c r="D8" s="608" t="s">
        <v>51</v>
      </c>
      <c r="E8" s="608" t="s">
        <v>52</v>
      </c>
      <c r="F8" s="608" t="s">
        <v>53</v>
      </c>
      <c r="G8" s="608" t="s">
        <v>54</v>
      </c>
      <c r="H8" s="609" t="s">
        <v>55</v>
      </c>
      <c r="I8" s="608" t="s">
        <v>56</v>
      </c>
      <c r="J8" s="608" t="s">
        <v>57</v>
      </c>
      <c r="K8" s="608" t="s">
        <v>58</v>
      </c>
      <c r="L8" s="608" t="s">
        <v>59</v>
      </c>
      <c r="M8" s="608" t="s">
        <v>60</v>
      </c>
      <c r="N8" s="608" t="s">
        <v>61</v>
      </c>
      <c r="O8" s="608" t="s">
        <v>62</v>
      </c>
      <c r="P8" s="608" t="s">
        <v>16</v>
      </c>
      <c r="Q8" s="461"/>
      <c r="R8" s="729"/>
      <c r="S8" s="729"/>
      <c r="T8" s="729"/>
      <c r="U8" s="729"/>
      <c r="V8" s="729"/>
      <c r="W8" s="729"/>
      <c r="X8" s="729"/>
      <c r="Y8" s="729"/>
      <c r="Z8" s="729"/>
      <c r="AA8" s="729"/>
      <c r="AB8" s="729"/>
      <c r="AC8" s="729"/>
      <c r="AD8" s="729"/>
      <c r="AE8" s="729"/>
      <c r="AF8" s="729"/>
    </row>
    <row r="9" spans="1:32" ht="30" customHeight="1">
      <c r="A9" s="729"/>
      <c r="B9" s="580" t="s">
        <v>1115</v>
      </c>
      <c r="C9" s="578"/>
      <c r="D9" s="578" t="s">
        <v>1116</v>
      </c>
      <c r="E9" s="578" t="s">
        <v>1116</v>
      </c>
      <c r="F9" s="578" t="s">
        <v>1116</v>
      </c>
      <c r="G9" s="578" t="s">
        <v>1116</v>
      </c>
      <c r="H9" s="611" t="s">
        <v>1117</v>
      </c>
      <c r="I9" s="578" t="s">
        <v>1117</v>
      </c>
      <c r="J9" s="578" t="s">
        <v>1117</v>
      </c>
      <c r="K9" s="578" t="s">
        <v>1117</v>
      </c>
      <c r="L9" s="578" t="s">
        <v>1117</v>
      </c>
      <c r="M9" s="578" t="s">
        <v>1117</v>
      </c>
      <c r="N9" s="578" t="s">
        <v>1117</v>
      </c>
      <c r="O9" s="578" t="s">
        <v>1117</v>
      </c>
      <c r="P9" s="578" t="s">
        <v>1118</v>
      </c>
      <c r="Q9" s="461"/>
      <c r="R9" s="729"/>
      <c r="S9" s="729"/>
      <c r="T9" s="729"/>
      <c r="U9" s="729"/>
      <c r="V9" s="729"/>
      <c r="W9" s="729"/>
      <c r="X9" s="729"/>
      <c r="Y9" s="729"/>
      <c r="Z9" s="729"/>
      <c r="AA9" s="729"/>
      <c r="AB9" s="729"/>
      <c r="AC9" s="729"/>
      <c r="AD9" s="729"/>
      <c r="AE9" s="729"/>
      <c r="AF9" s="729"/>
    </row>
    <row r="10" spans="1:32">
      <c r="A10" s="729"/>
      <c r="B10" s="674" t="s">
        <v>1119</v>
      </c>
      <c r="C10" s="674" t="s">
        <v>691</v>
      </c>
      <c r="D10" s="378">
        <v>4000</v>
      </c>
      <c r="E10" s="378">
        <v>4000</v>
      </c>
      <c r="F10" s="378">
        <v>4000</v>
      </c>
      <c r="G10" s="378">
        <v>4000</v>
      </c>
      <c r="H10" s="894">
        <v>3690</v>
      </c>
      <c r="I10" s="378">
        <v>3690</v>
      </c>
      <c r="J10" s="378">
        <v>3690</v>
      </c>
      <c r="K10" s="378">
        <v>3690</v>
      </c>
      <c r="L10" s="378">
        <v>3690</v>
      </c>
      <c r="M10" s="378">
        <v>3690</v>
      </c>
      <c r="N10" s="378">
        <v>3690</v>
      </c>
      <c r="O10" s="378">
        <v>3690</v>
      </c>
      <c r="P10" s="678"/>
      <c r="Q10" s="674"/>
      <c r="R10" s="729"/>
      <c r="S10" s="729"/>
      <c r="T10" s="729"/>
      <c r="U10" s="729"/>
      <c r="V10" s="729"/>
      <c r="W10" s="729"/>
      <c r="X10" s="729"/>
      <c r="Y10" s="729"/>
      <c r="Z10" s="729"/>
      <c r="AA10" s="729"/>
      <c r="AB10" s="729"/>
      <c r="AC10" s="729"/>
      <c r="AD10" s="729"/>
      <c r="AE10" s="729"/>
      <c r="AF10" s="729"/>
    </row>
    <row r="11" spans="1:32">
      <c r="A11" s="729"/>
      <c r="B11" s="674"/>
      <c r="C11" s="674"/>
      <c r="D11" s="674"/>
      <c r="E11" s="674"/>
      <c r="F11" s="674"/>
      <c r="G11" s="674"/>
      <c r="H11" s="895"/>
      <c r="I11" s="674"/>
      <c r="J11" s="674"/>
      <c r="K11" s="674"/>
      <c r="L11" s="674"/>
      <c r="M11" s="674"/>
      <c r="N11" s="674"/>
      <c r="O11" s="674"/>
      <c r="P11" s="678"/>
      <c r="Q11" s="674"/>
      <c r="R11" s="729"/>
      <c r="S11" s="729"/>
      <c r="T11" s="729"/>
      <c r="U11" s="729"/>
      <c r="V11" s="729"/>
      <c r="W11" s="729"/>
      <c r="X11" s="729"/>
      <c r="Y11" s="729"/>
      <c r="Z11" s="729"/>
      <c r="AA11" s="729"/>
      <c r="AB11" s="729"/>
      <c r="AC11" s="729"/>
      <c r="AD11" s="729"/>
      <c r="AE11" s="729"/>
      <c r="AF11" s="729"/>
    </row>
    <row r="12" spans="1:32">
      <c r="A12" s="729"/>
      <c r="B12" s="679" t="s">
        <v>1120</v>
      </c>
      <c r="C12" s="679" t="s">
        <v>146</v>
      </c>
      <c r="D12" s="896">
        <f>'Informe Accionista'!C65</f>
        <v>186232</v>
      </c>
      <c r="E12" s="896">
        <f>'Informe Accionista'!D65</f>
        <v>354321</v>
      </c>
      <c r="F12" s="896">
        <f>'Informe Accionista'!E65</f>
        <v>396239</v>
      </c>
      <c r="G12" s="896">
        <f>'Informe Accionista'!F65</f>
        <v>359191</v>
      </c>
      <c r="H12" s="897">
        <f>'Informe Accionista'!G58</f>
        <v>360135.50135501358</v>
      </c>
      <c r="I12" s="896">
        <f>'Informe Accionista'!H58</f>
        <v>259076.31087882307</v>
      </c>
      <c r="J12" s="896">
        <f>'Informe Accionista'!I58</f>
        <v>283850.12040263263</v>
      </c>
      <c r="K12" s="896">
        <f>'Informe Accionista'!J58</f>
        <v>426456.92992644216</v>
      </c>
      <c r="L12" s="896">
        <f>'Informe Accionista'!K58</f>
        <v>451230.73945025163</v>
      </c>
      <c r="M12" s="896">
        <f>'Informe Accionista'!L58</f>
        <v>476004.54897406121</v>
      </c>
      <c r="N12" s="896">
        <f>'Informe Accionista'!M58</f>
        <v>500778.35849787074</v>
      </c>
      <c r="O12" s="896">
        <f>'Informe Accionista'!N58</f>
        <v>525552.16802168021</v>
      </c>
      <c r="P12" s="898">
        <f>SUM(D12:O12)</f>
        <v>4579067.6775067747</v>
      </c>
      <c r="Q12" s="674"/>
      <c r="R12" s="729"/>
      <c r="S12" s="729"/>
      <c r="T12" s="729"/>
      <c r="U12" s="729"/>
      <c r="V12" s="729"/>
      <c r="W12" s="729"/>
      <c r="X12" s="729"/>
      <c r="Y12" s="729"/>
      <c r="Z12" s="729"/>
      <c r="AA12" s="729"/>
      <c r="AB12" s="729"/>
      <c r="AC12" s="729"/>
      <c r="AD12" s="729"/>
      <c r="AE12" s="729"/>
      <c r="AF12" s="729"/>
    </row>
    <row r="13" spans="1:32" ht="15" thickBot="1">
      <c r="A13" s="729"/>
      <c r="B13" s="899" t="s">
        <v>1120</v>
      </c>
      <c r="C13" s="899" t="s">
        <v>140</v>
      </c>
      <c r="D13" s="900">
        <f t="shared" ref="D13:O13" si="0">D12*D10</f>
        <v>744928000</v>
      </c>
      <c r="E13" s="900">
        <f t="shared" si="0"/>
        <v>1417284000</v>
      </c>
      <c r="F13" s="900">
        <f t="shared" si="0"/>
        <v>1584956000</v>
      </c>
      <c r="G13" s="900">
        <f t="shared" si="0"/>
        <v>1436764000</v>
      </c>
      <c r="H13" s="901">
        <f t="shared" si="0"/>
        <v>1328900000</v>
      </c>
      <c r="I13" s="900">
        <f t="shared" si="0"/>
        <v>955991587.14285719</v>
      </c>
      <c r="J13" s="900">
        <f t="shared" si="0"/>
        <v>1047406944.2857144</v>
      </c>
      <c r="K13" s="900">
        <f t="shared" si="0"/>
        <v>1573626071.4285715</v>
      </c>
      <c r="L13" s="900">
        <f t="shared" si="0"/>
        <v>1665041428.5714285</v>
      </c>
      <c r="M13" s="900">
        <f t="shared" si="0"/>
        <v>1756456785.7142859</v>
      </c>
      <c r="N13" s="900">
        <f t="shared" si="0"/>
        <v>1847872142.8571429</v>
      </c>
      <c r="O13" s="900">
        <f t="shared" si="0"/>
        <v>1939287500</v>
      </c>
      <c r="P13" s="900">
        <f>SUM(D13:O13)</f>
        <v>17298514460</v>
      </c>
      <c r="Q13" s="674"/>
      <c r="R13" s="729"/>
      <c r="S13" s="729"/>
      <c r="T13" s="729"/>
      <c r="U13" s="729"/>
      <c r="V13" s="729"/>
      <c r="W13" s="729"/>
      <c r="X13" s="729"/>
      <c r="Y13" s="729"/>
      <c r="Z13" s="729"/>
      <c r="AA13" s="729"/>
      <c r="AB13" s="729"/>
      <c r="AC13" s="729"/>
      <c r="AD13" s="729"/>
      <c r="AE13" s="729"/>
      <c r="AF13" s="729"/>
    </row>
    <row r="14" spans="1:32" ht="15" thickTop="1">
      <c r="A14" s="729"/>
      <c r="B14" s="674"/>
      <c r="C14" s="674"/>
      <c r="D14" s="674"/>
      <c r="E14" s="674"/>
      <c r="F14" s="674"/>
      <c r="G14" s="674"/>
      <c r="H14" s="895"/>
      <c r="I14" s="674"/>
      <c r="J14" s="674"/>
      <c r="K14" s="674"/>
      <c r="L14" s="674"/>
      <c r="M14" s="674"/>
      <c r="N14" s="674"/>
      <c r="O14" s="674"/>
      <c r="P14" s="678"/>
      <c r="Q14" s="674"/>
      <c r="R14" s="729"/>
      <c r="S14" s="729"/>
      <c r="T14" s="729"/>
      <c r="U14" s="729"/>
      <c r="V14" s="729"/>
      <c r="W14" s="729"/>
      <c r="X14" s="729"/>
      <c r="Y14" s="729"/>
      <c r="Z14" s="729"/>
      <c r="AA14" s="729"/>
      <c r="AB14" s="729"/>
      <c r="AC14" s="729"/>
      <c r="AD14" s="729"/>
      <c r="AE14" s="729"/>
      <c r="AF14" s="729"/>
    </row>
    <row r="15" spans="1:32">
      <c r="A15" s="729"/>
      <c r="B15" s="674"/>
      <c r="C15" s="674"/>
      <c r="D15" s="674"/>
      <c r="E15" s="674"/>
      <c r="F15" s="674"/>
      <c r="G15" s="674"/>
      <c r="H15" s="895"/>
      <c r="I15" s="674"/>
      <c r="J15" s="674"/>
      <c r="K15" s="674"/>
      <c r="L15" s="674"/>
      <c r="M15" s="674"/>
      <c r="N15" s="674"/>
      <c r="O15" s="674"/>
      <c r="P15" s="678"/>
      <c r="Q15" s="674"/>
      <c r="R15" s="729"/>
      <c r="S15" s="729"/>
      <c r="T15" s="729"/>
      <c r="U15" s="729"/>
      <c r="V15" s="729"/>
      <c r="W15" s="729"/>
      <c r="X15" s="729"/>
      <c r="Y15" s="729"/>
      <c r="Z15" s="729"/>
      <c r="AA15" s="729"/>
      <c r="AB15" s="729"/>
      <c r="AC15" s="729"/>
      <c r="AD15" s="729"/>
      <c r="AE15" s="729"/>
      <c r="AF15" s="729"/>
    </row>
    <row r="16" spans="1:32" ht="15" thickBot="1">
      <c r="A16" s="729"/>
      <c r="B16" s="468" t="s">
        <v>1192</v>
      </c>
      <c r="C16" s="468"/>
      <c r="D16" s="468"/>
      <c r="E16" s="468"/>
      <c r="F16" s="468"/>
      <c r="G16" s="468"/>
      <c r="H16" s="612"/>
      <c r="I16" s="468"/>
      <c r="J16" s="468"/>
      <c r="K16" s="468"/>
      <c r="L16" s="468"/>
      <c r="M16" s="468"/>
      <c r="N16" s="468"/>
      <c r="O16" s="468"/>
      <c r="P16" s="468"/>
      <c r="Q16" s="464"/>
      <c r="R16" s="729"/>
      <c r="S16" s="729"/>
      <c r="T16" s="729"/>
      <c r="U16" s="729"/>
      <c r="V16" s="729"/>
      <c r="W16" s="729"/>
      <c r="X16" s="729"/>
      <c r="Y16" s="729"/>
      <c r="Z16" s="729"/>
      <c r="AA16" s="729"/>
      <c r="AB16" s="729"/>
      <c r="AC16" s="729"/>
      <c r="AD16" s="729"/>
      <c r="AE16" s="729"/>
      <c r="AF16" s="729"/>
    </row>
    <row r="17" spans="1:32" ht="15" thickTop="1">
      <c r="A17" s="729"/>
      <c r="B17" s="305" t="s">
        <v>1125</v>
      </c>
      <c r="C17" s="305" t="s">
        <v>146</v>
      </c>
      <c r="D17" s="130">
        <f>'Informe Accionista'!C30</f>
        <v>165920.7861788618</v>
      </c>
      <c r="E17" s="130">
        <f>'Informe Accionista'!D30</f>
        <v>201685.13197831978</v>
      </c>
      <c r="F17" s="130">
        <f>'Informe Accionista'!E30</f>
        <v>213290.2945799458</v>
      </c>
      <c r="G17" s="130">
        <f>'Informe Accionista'!F30</f>
        <v>203487.17127371274</v>
      </c>
      <c r="H17" s="131">
        <f>'Informe Accionista'!G30</f>
        <v>223987.73604336043</v>
      </c>
      <c r="I17" s="130">
        <f>'Informe Accionista'!H30</f>
        <v>203645.88455284553</v>
      </c>
      <c r="J17" s="130">
        <f>'Modelo Base'!L51/J10</f>
        <v>184252.18211382115</v>
      </c>
      <c r="K17" s="130"/>
      <c r="L17" s="130"/>
      <c r="M17" s="130"/>
      <c r="N17" s="130"/>
      <c r="O17" s="130"/>
      <c r="P17" s="452">
        <f>SUM(D17:I17)</f>
        <v>1212017.0046070463</v>
      </c>
      <c r="Q17" s="674"/>
      <c r="R17" s="729"/>
      <c r="S17" s="729"/>
      <c r="T17" s="729"/>
      <c r="U17" s="729"/>
      <c r="V17" s="729"/>
      <c r="W17" s="729"/>
      <c r="X17" s="729"/>
      <c r="Y17" s="729"/>
      <c r="Z17" s="729"/>
      <c r="AA17" s="729"/>
      <c r="AB17" s="729"/>
      <c r="AC17" s="729"/>
      <c r="AD17" s="729"/>
      <c r="AE17" s="729"/>
      <c r="AF17" s="729"/>
    </row>
    <row r="18" spans="1:32">
      <c r="A18" s="729"/>
      <c r="B18" s="305" t="s">
        <v>1125</v>
      </c>
      <c r="C18" s="305" t="s">
        <v>140</v>
      </c>
      <c r="D18" s="130">
        <f>'Informe Accionista'!C122</f>
        <v>612247701</v>
      </c>
      <c r="E18" s="130">
        <f>'Informe Accionista'!D122</f>
        <v>744218137</v>
      </c>
      <c r="F18" s="130">
        <f>'Informe Accionista'!E122</f>
        <v>787041187</v>
      </c>
      <c r="G18" s="130">
        <f>'Informe Accionista'!F122</f>
        <v>750867662</v>
      </c>
      <c r="H18" s="131">
        <f>'Informe Accionista'!G122</f>
        <v>826514746</v>
      </c>
      <c r="I18" s="130">
        <f>'Informe Accionista'!H122</f>
        <v>751453314</v>
      </c>
      <c r="J18" s="130">
        <f>'Modelo Base'!L51</f>
        <v>679890552</v>
      </c>
      <c r="K18" s="130"/>
      <c r="L18" s="130"/>
      <c r="M18" s="130"/>
      <c r="N18" s="130"/>
      <c r="O18" s="130"/>
      <c r="P18" s="452">
        <f>SUM(D18:I18)</f>
        <v>4472342747</v>
      </c>
      <c r="Q18" s="674"/>
      <c r="R18" s="729"/>
      <c r="S18" s="729"/>
      <c r="T18" s="729"/>
      <c r="U18" s="729"/>
      <c r="V18" s="729"/>
      <c r="W18" s="729"/>
      <c r="X18" s="729"/>
      <c r="Y18" s="729"/>
      <c r="Z18" s="729"/>
      <c r="AA18" s="729"/>
      <c r="AB18" s="729"/>
      <c r="AC18" s="729"/>
      <c r="AD18" s="729"/>
      <c r="AE18" s="729"/>
      <c r="AF18" s="729"/>
    </row>
    <row r="19" spans="1:32">
      <c r="A19" s="729"/>
      <c r="B19" s="305" t="s">
        <v>1126</v>
      </c>
      <c r="C19" s="305" t="s">
        <v>146</v>
      </c>
      <c r="D19" s="453">
        <f t="shared" ref="D19:I19" si="1">D17-D12</f>
        <v>-20311.213821138197</v>
      </c>
      <c r="E19" s="453">
        <f t="shared" si="1"/>
        <v>-152635.86802168022</v>
      </c>
      <c r="F19" s="453">
        <f t="shared" si="1"/>
        <v>-182948.7054200542</v>
      </c>
      <c r="G19" s="453">
        <f t="shared" si="1"/>
        <v>-155703.82872628726</v>
      </c>
      <c r="H19" s="454">
        <f t="shared" si="1"/>
        <v>-136147.76531165314</v>
      </c>
      <c r="I19" s="453">
        <f t="shared" si="1"/>
        <v>-55430.426325977547</v>
      </c>
      <c r="J19" s="453">
        <f>J17-J12</f>
        <v>-99597.938288811478</v>
      </c>
      <c r="K19" s="132"/>
      <c r="L19" s="132"/>
      <c r="M19" s="132"/>
      <c r="N19" s="132"/>
      <c r="O19" s="132"/>
      <c r="P19" s="453">
        <f>SUM(D17:I17)-SUM(D12:I12)</f>
        <v>-703177.80762679037</v>
      </c>
      <c r="Q19" s="674"/>
      <c r="R19" s="729"/>
      <c r="S19" s="729"/>
      <c r="T19" s="729"/>
      <c r="U19" s="729"/>
      <c r="V19" s="729"/>
      <c r="W19" s="729"/>
      <c r="X19" s="729"/>
      <c r="Y19" s="729"/>
      <c r="Z19" s="729"/>
      <c r="AA19" s="729"/>
      <c r="AB19" s="729"/>
      <c r="AC19" s="729"/>
      <c r="AD19" s="729"/>
      <c r="AE19" s="729"/>
      <c r="AF19" s="729"/>
    </row>
    <row r="20" spans="1:32" ht="15" thickBot="1">
      <c r="A20" s="729"/>
      <c r="B20" s="305" t="s">
        <v>1127</v>
      </c>
      <c r="C20" s="305" t="s">
        <v>291</v>
      </c>
      <c r="D20" s="455">
        <f t="shared" ref="D20:I20" si="2">IFERROR(D17/D12,0)</f>
        <v>0.89093596255671315</v>
      </c>
      <c r="E20" s="455">
        <f t="shared" si="2"/>
        <v>0.56921585787554163</v>
      </c>
      <c r="F20" s="455">
        <f t="shared" si="2"/>
        <v>0.53828697977721984</v>
      </c>
      <c r="G20" s="455">
        <f t="shared" si="2"/>
        <v>0.56651522803665111</v>
      </c>
      <c r="H20" s="456">
        <f t="shared" si="2"/>
        <v>0.621954056738656</v>
      </c>
      <c r="I20" s="455">
        <f t="shared" si="2"/>
        <v>0.78604594863208532</v>
      </c>
      <c r="J20" s="455">
        <f>IFERROR(J17/J12,0)</f>
        <v>0.64911785787677356</v>
      </c>
      <c r="K20" s="133"/>
      <c r="L20" s="133"/>
      <c r="M20" s="133"/>
      <c r="N20" s="133"/>
      <c r="O20" s="133"/>
      <c r="P20" s="455">
        <f>IFERROR(SUM(D17:I17)/SUM(D12:I12),0)</f>
        <v>0.63284267316565002</v>
      </c>
      <c r="Q20" s="674"/>
      <c r="R20" s="729"/>
      <c r="S20" s="729"/>
      <c r="T20" s="729"/>
      <c r="U20" s="729"/>
      <c r="V20" s="729"/>
      <c r="W20" s="729"/>
      <c r="X20" s="729"/>
      <c r="Y20" s="729"/>
      <c r="Z20" s="729"/>
      <c r="AA20" s="729"/>
      <c r="AB20" s="729"/>
      <c r="AC20" s="729"/>
      <c r="AD20" s="729"/>
      <c r="AE20" s="729"/>
      <c r="AF20" s="729"/>
    </row>
    <row r="21" spans="1:32">
      <c r="A21" s="729"/>
      <c r="B21" s="497" t="s">
        <v>1191</v>
      </c>
      <c r="C21" s="497"/>
      <c r="D21" s="497"/>
      <c r="E21" s="497"/>
      <c r="F21" s="497"/>
      <c r="G21" s="497"/>
      <c r="H21" s="613"/>
      <c r="I21" s="497"/>
      <c r="J21" s="497"/>
      <c r="K21" s="497"/>
      <c r="L21" s="497"/>
      <c r="M21" s="497"/>
      <c r="N21" s="497"/>
      <c r="O21" s="497"/>
      <c r="P21" s="497"/>
      <c r="Q21" s="682"/>
      <c r="R21" s="729"/>
      <c r="S21" s="729"/>
      <c r="T21" s="729"/>
      <c r="U21" s="729"/>
      <c r="V21" s="729"/>
      <c r="W21" s="729"/>
      <c r="X21" s="729"/>
      <c r="Y21" s="729"/>
      <c r="Z21" s="729"/>
      <c r="AA21" s="729"/>
      <c r="AB21" s="729"/>
      <c r="AC21" s="729"/>
      <c r="AD21" s="729"/>
      <c r="AE21" s="729"/>
      <c r="AF21" s="729"/>
    </row>
    <row r="22" spans="1:32">
      <c r="A22" s="729"/>
      <c r="B22" s="647" t="s">
        <v>1121</v>
      </c>
      <c r="C22" s="647"/>
      <c r="D22" s="647"/>
      <c r="E22" s="647"/>
      <c r="F22" s="647"/>
      <c r="G22" s="647"/>
      <c r="H22" s="648"/>
      <c r="I22" s="647"/>
      <c r="J22" s="647"/>
      <c r="K22" s="647"/>
      <c r="L22" s="647"/>
      <c r="M22" s="647"/>
      <c r="N22" s="647"/>
      <c r="O22" s="647"/>
      <c r="P22" s="647"/>
      <c r="Q22" s="627"/>
      <c r="R22" s="729"/>
      <c r="S22" s="729"/>
      <c r="T22" s="729"/>
      <c r="U22" s="729"/>
      <c r="V22" s="729"/>
      <c r="W22" s="729"/>
      <c r="X22" s="729"/>
      <c r="Y22" s="729"/>
      <c r="Z22" s="729"/>
      <c r="AA22" s="729"/>
      <c r="AB22" s="729"/>
      <c r="AC22" s="729"/>
      <c r="AD22" s="729"/>
      <c r="AE22" s="729"/>
      <c r="AF22" s="729"/>
    </row>
    <row r="23" spans="1:32">
      <c r="A23" s="729"/>
      <c r="B23" s="674" t="s">
        <v>1122</v>
      </c>
      <c r="C23" s="674" t="s">
        <v>146</v>
      </c>
      <c r="D23" s="902">
        <f>'Informe Accionista'!C65</f>
        <v>186232</v>
      </c>
      <c r="E23" s="902">
        <f>'Informe Accionista'!D65</f>
        <v>354321</v>
      </c>
      <c r="F23" s="902">
        <f>'Informe Accionista'!E65</f>
        <v>396239</v>
      </c>
      <c r="G23" s="902">
        <f>'Informe Accionista'!F65</f>
        <v>359191</v>
      </c>
      <c r="H23" s="903">
        <f>'Informe Accionista'!G65</f>
        <v>403080</v>
      </c>
      <c r="I23" s="902">
        <f>'Informe Accionista'!H65</f>
        <v>375559</v>
      </c>
      <c r="J23" s="902">
        <f>'Informe Accionista'!I65</f>
        <v>388085</v>
      </c>
      <c r="K23" s="902">
        <f>'Informe Accionista'!J65</f>
        <v>383589</v>
      </c>
      <c r="L23" s="902">
        <f>'Informe Accionista'!K65</f>
        <v>424263</v>
      </c>
      <c r="M23" s="902">
        <f>'Informe Accionista'!L65</f>
        <v>419954</v>
      </c>
      <c r="N23" s="902">
        <f>'Informe Accionista'!M65</f>
        <v>423217</v>
      </c>
      <c r="O23" s="902">
        <f>'Informe Accionista'!N65</f>
        <v>441996</v>
      </c>
      <c r="P23" s="904">
        <f>SUM(D23:O23)</f>
        <v>4555726</v>
      </c>
      <c r="Q23" s="674"/>
      <c r="R23" s="729"/>
      <c r="S23" s="729"/>
      <c r="T23" s="729"/>
      <c r="U23" s="729"/>
      <c r="V23" s="729"/>
      <c r="W23" s="729"/>
      <c r="X23" s="729"/>
      <c r="Y23" s="729"/>
      <c r="Z23" s="729"/>
      <c r="AA23" s="729"/>
      <c r="AB23" s="729"/>
      <c r="AC23" s="729"/>
      <c r="AD23" s="729"/>
      <c r="AE23" s="729"/>
      <c r="AF23" s="729"/>
    </row>
    <row r="24" spans="1:32">
      <c r="A24" s="729"/>
      <c r="B24" s="674" t="s">
        <v>1122</v>
      </c>
      <c r="C24" s="674" t="s">
        <v>140</v>
      </c>
      <c r="D24" s="905">
        <f t="shared" ref="D24:O24" si="3">D23*$C$5</f>
        <v>744928000</v>
      </c>
      <c r="E24" s="905">
        <f t="shared" si="3"/>
        <v>1417284000</v>
      </c>
      <c r="F24" s="905">
        <f t="shared" si="3"/>
        <v>1584956000</v>
      </c>
      <c r="G24" s="905">
        <f t="shared" si="3"/>
        <v>1436764000</v>
      </c>
      <c r="H24" s="906">
        <f t="shared" si="3"/>
        <v>1612320000</v>
      </c>
      <c r="I24" s="905">
        <f t="shared" si="3"/>
        <v>1502236000</v>
      </c>
      <c r="J24" s="905">
        <f t="shared" si="3"/>
        <v>1552340000</v>
      </c>
      <c r="K24" s="905">
        <f t="shared" si="3"/>
        <v>1534356000</v>
      </c>
      <c r="L24" s="905">
        <f t="shared" si="3"/>
        <v>1697052000</v>
      </c>
      <c r="M24" s="905">
        <f t="shared" si="3"/>
        <v>1679816000</v>
      </c>
      <c r="N24" s="905">
        <f t="shared" si="3"/>
        <v>1692868000</v>
      </c>
      <c r="O24" s="905">
        <f t="shared" si="3"/>
        <v>1767984000</v>
      </c>
      <c r="P24" s="904">
        <f>SUM(D24:O24)</f>
        <v>18222904000</v>
      </c>
      <c r="Q24" s="674"/>
      <c r="R24" s="729"/>
      <c r="S24" s="729"/>
      <c r="T24" s="729"/>
      <c r="U24" s="729"/>
      <c r="V24" s="729"/>
      <c r="W24" s="729"/>
      <c r="X24" s="729"/>
      <c r="Y24" s="729"/>
      <c r="Z24" s="729"/>
      <c r="AA24" s="729"/>
      <c r="AB24" s="729"/>
      <c r="AC24" s="729"/>
      <c r="AD24" s="729"/>
      <c r="AE24" s="729"/>
      <c r="AF24" s="729"/>
    </row>
    <row r="25" spans="1:32">
      <c r="A25" s="729"/>
      <c r="B25" s="674"/>
      <c r="C25" s="674"/>
      <c r="D25" s="674"/>
      <c r="E25" s="674"/>
      <c r="F25" s="674"/>
      <c r="G25" s="674"/>
      <c r="H25" s="895"/>
      <c r="I25" s="674"/>
      <c r="J25" s="674"/>
      <c r="K25" s="674"/>
      <c r="L25" s="674"/>
      <c r="M25" s="674"/>
      <c r="N25" s="674"/>
      <c r="O25" s="674"/>
      <c r="P25" s="678"/>
      <c r="Q25" s="674"/>
      <c r="R25" s="729"/>
      <c r="S25" s="729"/>
      <c r="T25" s="729"/>
      <c r="U25" s="729"/>
      <c r="V25" s="729"/>
      <c r="W25" s="729"/>
      <c r="X25" s="729"/>
      <c r="Y25" s="729"/>
      <c r="Z25" s="729"/>
      <c r="AA25" s="729"/>
      <c r="AB25" s="729"/>
      <c r="AC25" s="729"/>
      <c r="AD25" s="729"/>
      <c r="AE25" s="729"/>
      <c r="AF25" s="729"/>
    </row>
    <row r="26" spans="1:32">
      <c r="A26" s="729"/>
      <c r="B26" s="674" t="s">
        <v>1123</v>
      </c>
      <c r="C26" s="674" t="s">
        <v>146</v>
      </c>
      <c r="D26" s="902">
        <f>'Informe Accionista'!C58</f>
        <v>165920.7861788618</v>
      </c>
      <c r="E26" s="902">
        <f>'Informe Accionista'!D58</f>
        <v>201685.13197831978</v>
      </c>
      <c r="F26" s="902">
        <f>'Informe Accionista'!E58</f>
        <v>213290.2945799458</v>
      </c>
      <c r="G26" s="902">
        <f>'Informe Accionista'!F58</f>
        <v>203487.17127371274</v>
      </c>
      <c r="H26" s="903">
        <f>'Informe Accionista'!G58</f>
        <v>360135.50135501358</v>
      </c>
      <c r="I26" s="902">
        <f>'Informe Accionista'!H58</f>
        <v>259076.31087882307</v>
      </c>
      <c r="J26" s="902">
        <f>'Informe Accionista'!I58</f>
        <v>283850.12040263263</v>
      </c>
      <c r="K26" s="902">
        <f>'Informe Accionista'!J58</f>
        <v>426456.92992644216</v>
      </c>
      <c r="L26" s="902">
        <f>'Informe Accionista'!K58</f>
        <v>451230.73945025163</v>
      </c>
      <c r="M26" s="902">
        <f>'Informe Accionista'!L58</f>
        <v>476004.54897406121</v>
      </c>
      <c r="N26" s="902">
        <f>'Informe Accionista'!M58</f>
        <v>500778.35849787074</v>
      </c>
      <c r="O26" s="902">
        <f>'Informe Accionista'!N58</f>
        <v>525552.16802168021</v>
      </c>
      <c r="P26" s="904">
        <f>SUM(D26:O26)</f>
        <v>4067468.0615176153</v>
      </c>
      <c r="Q26" s="674"/>
      <c r="R26" s="729"/>
      <c r="S26" s="729"/>
      <c r="T26" s="729"/>
      <c r="U26" s="729"/>
      <c r="V26" s="729"/>
      <c r="W26" s="729"/>
      <c r="X26" s="729"/>
      <c r="Y26" s="729"/>
      <c r="Z26" s="729"/>
      <c r="AA26" s="729"/>
      <c r="AB26" s="729"/>
      <c r="AC26" s="729"/>
      <c r="AD26" s="729"/>
      <c r="AE26" s="729"/>
      <c r="AF26" s="729"/>
    </row>
    <row r="27" spans="1:32">
      <c r="A27" s="729"/>
      <c r="B27" s="674" t="s">
        <v>1123</v>
      </c>
      <c r="C27" s="674" t="s">
        <v>140</v>
      </c>
      <c r="D27" s="905">
        <f t="shared" ref="D27:O27" si="4">D26*$C$6</f>
        <v>612247701</v>
      </c>
      <c r="E27" s="905">
        <f t="shared" si="4"/>
        <v>744218137</v>
      </c>
      <c r="F27" s="905">
        <f t="shared" si="4"/>
        <v>787041187</v>
      </c>
      <c r="G27" s="905">
        <f t="shared" si="4"/>
        <v>750867662</v>
      </c>
      <c r="H27" s="906">
        <f t="shared" si="4"/>
        <v>1328900000</v>
      </c>
      <c r="I27" s="905">
        <f t="shared" si="4"/>
        <v>955991587.14285719</v>
      </c>
      <c r="J27" s="905">
        <f t="shared" si="4"/>
        <v>1047406944.2857144</v>
      </c>
      <c r="K27" s="905">
        <f t="shared" si="4"/>
        <v>1573626071.4285715</v>
      </c>
      <c r="L27" s="905">
        <f t="shared" si="4"/>
        <v>1665041428.5714285</v>
      </c>
      <c r="M27" s="905">
        <f t="shared" si="4"/>
        <v>1756456785.7142859</v>
      </c>
      <c r="N27" s="905">
        <f t="shared" si="4"/>
        <v>1847872142.8571429</v>
      </c>
      <c r="O27" s="905">
        <f t="shared" si="4"/>
        <v>1939287500</v>
      </c>
      <c r="P27" s="904">
        <f>SUM(D27:O27)</f>
        <v>15008957147</v>
      </c>
      <c r="Q27" s="674"/>
      <c r="R27" s="729"/>
      <c r="S27" s="729"/>
      <c r="T27" s="729"/>
      <c r="U27" s="729"/>
      <c r="V27" s="729"/>
      <c r="W27" s="729"/>
      <c r="X27" s="729"/>
      <c r="Y27" s="729"/>
      <c r="Z27" s="729"/>
      <c r="AA27" s="729"/>
      <c r="AB27" s="729"/>
      <c r="AC27" s="729"/>
      <c r="AD27" s="729"/>
      <c r="AE27" s="729"/>
      <c r="AF27" s="729"/>
    </row>
    <row r="28" spans="1:32">
      <c r="A28" s="729"/>
      <c r="B28" s="674"/>
      <c r="C28" s="674"/>
      <c r="D28" s="674"/>
      <c r="E28" s="674"/>
      <c r="F28" s="674"/>
      <c r="G28" s="674"/>
      <c r="H28" s="895"/>
      <c r="I28" s="674"/>
      <c r="J28" s="674"/>
      <c r="K28" s="674"/>
      <c r="L28" s="674"/>
      <c r="M28" s="674"/>
      <c r="N28" s="674"/>
      <c r="O28" s="674"/>
      <c r="P28" s="678"/>
      <c r="Q28" s="674"/>
      <c r="R28" s="729"/>
      <c r="S28" s="729"/>
      <c r="T28" s="729"/>
      <c r="U28" s="729"/>
      <c r="V28" s="729"/>
      <c r="W28" s="729"/>
      <c r="X28" s="729"/>
      <c r="Y28" s="729"/>
      <c r="Z28" s="729"/>
      <c r="AA28" s="729"/>
      <c r="AB28" s="729"/>
      <c r="AC28" s="729"/>
      <c r="AD28" s="729"/>
      <c r="AE28" s="729"/>
      <c r="AF28" s="729"/>
    </row>
    <row r="29" spans="1:32">
      <c r="A29" s="729"/>
      <c r="B29" s="674"/>
      <c r="C29" s="674"/>
      <c r="D29" s="674"/>
      <c r="E29" s="674"/>
      <c r="F29" s="674"/>
      <c r="G29" s="674"/>
      <c r="H29" s="895"/>
      <c r="I29" s="674"/>
      <c r="J29" s="674"/>
      <c r="K29" s="674"/>
      <c r="L29" s="674"/>
      <c r="M29" s="674"/>
      <c r="N29" s="674"/>
      <c r="O29" s="674"/>
      <c r="P29" s="678"/>
      <c r="Q29" s="674"/>
      <c r="R29" s="729"/>
      <c r="S29" s="729"/>
      <c r="T29" s="729"/>
      <c r="U29" s="729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  <c r="AF29" s="729"/>
    </row>
    <row r="30" spans="1:32">
      <c r="A30" s="729"/>
      <c r="B30" s="674" t="s">
        <v>1124</v>
      </c>
      <c r="C30" s="674" t="s">
        <v>146</v>
      </c>
      <c r="D30" s="905">
        <f t="shared" ref="D30:P30" si="5">D12-D23</f>
        <v>0</v>
      </c>
      <c r="E30" s="905">
        <f t="shared" si="5"/>
        <v>0</v>
      </c>
      <c r="F30" s="905">
        <f t="shared" si="5"/>
        <v>0</v>
      </c>
      <c r="G30" s="905">
        <f t="shared" si="5"/>
        <v>0</v>
      </c>
      <c r="H30" s="906">
        <f t="shared" si="5"/>
        <v>-42944.498644986423</v>
      </c>
      <c r="I30" s="905">
        <f t="shared" si="5"/>
        <v>-116482.68912117693</v>
      </c>
      <c r="J30" s="905">
        <f t="shared" si="5"/>
        <v>-104234.87959736737</v>
      </c>
      <c r="K30" s="905">
        <f t="shared" si="5"/>
        <v>42867.929926442157</v>
      </c>
      <c r="L30" s="905">
        <f t="shared" si="5"/>
        <v>26967.739450251625</v>
      </c>
      <c r="M30" s="905">
        <f t="shared" si="5"/>
        <v>56050.54897406121</v>
      </c>
      <c r="N30" s="905">
        <f t="shared" si="5"/>
        <v>77561.358497870737</v>
      </c>
      <c r="O30" s="905">
        <f t="shared" si="5"/>
        <v>83556.168021680205</v>
      </c>
      <c r="P30" s="904">
        <f t="shared" si="5"/>
        <v>23341.677506774664</v>
      </c>
      <c r="Q30" s="674"/>
      <c r="R30" s="729"/>
      <c r="S30" s="729"/>
      <c r="T30" s="729"/>
      <c r="U30" s="729"/>
      <c r="V30" s="729"/>
      <c r="W30" s="729"/>
      <c r="X30" s="729"/>
      <c r="Y30" s="729"/>
      <c r="Z30" s="729"/>
      <c r="AA30" s="729"/>
      <c r="AB30" s="729"/>
      <c r="AC30" s="729"/>
      <c r="AD30" s="729"/>
      <c r="AE30" s="729"/>
      <c r="AF30" s="729"/>
    </row>
    <row r="31" spans="1:32">
      <c r="A31" s="729"/>
      <c r="B31" s="674" t="s">
        <v>1124</v>
      </c>
      <c r="C31" s="674" t="s">
        <v>140</v>
      </c>
      <c r="D31" s="905">
        <f t="shared" ref="D31:P31" si="6">D13-D24</f>
        <v>0</v>
      </c>
      <c r="E31" s="905">
        <f t="shared" si="6"/>
        <v>0</v>
      </c>
      <c r="F31" s="905">
        <f t="shared" si="6"/>
        <v>0</v>
      </c>
      <c r="G31" s="905">
        <f t="shared" si="6"/>
        <v>0</v>
      </c>
      <c r="H31" s="906">
        <f t="shared" si="6"/>
        <v>-283420000</v>
      </c>
      <c r="I31" s="905">
        <f t="shared" si="6"/>
        <v>-546244412.85714281</v>
      </c>
      <c r="J31" s="905">
        <f t="shared" si="6"/>
        <v>-504933055.71428561</v>
      </c>
      <c r="K31" s="905">
        <f t="shared" si="6"/>
        <v>39270071.428571463</v>
      </c>
      <c r="L31" s="905">
        <f t="shared" si="6"/>
        <v>-32010571.428571463</v>
      </c>
      <c r="M31" s="905">
        <f t="shared" si="6"/>
        <v>76640785.714285851</v>
      </c>
      <c r="N31" s="905">
        <f t="shared" si="6"/>
        <v>155004142.85714293</v>
      </c>
      <c r="O31" s="905">
        <f t="shared" si="6"/>
        <v>171303500</v>
      </c>
      <c r="P31" s="904">
        <f t="shared" si="6"/>
        <v>-924389540</v>
      </c>
      <c r="Q31" s="674"/>
      <c r="R31" s="729"/>
      <c r="S31" s="729"/>
      <c r="T31" s="729"/>
      <c r="U31" s="729"/>
      <c r="V31" s="729"/>
      <c r="W31" s="729"/>
      <c r="X31" s="729"/>
      <c r="Y31" s="729"/>
      <c r="Z31" s="729"/>
      <c r="AA31" s="729"/>
      <c r="AB31" s="729"/>
      <c r="AC31" s="729"/>
      <c r="AD31" s="729"/>
      <c r="AE31" s="729"/>
      <c r="AF31" s="729"/>
    </row>
    <row r="32" spans="1:32">
      <c r="A32" s="729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4"/>
      <c r="P32" s="674"/>
      <c r="Q32" s="674"/>
      <c r="R32" s="729"/>
      <c r="S32" s="729"/>
      <c r="T32" s="729"/>
      <c r="U32" s="729"/>
      <c r="V32" s="729"/>
      <c r="W32" s="729"/>
      <c r="X32" s="729"/>
      <c r="Y32" s="729"/>
      <c r="Z32" s="729"/>
      <c r="AA32" s="729"/>
      <c r="AB32" s="729"/>
      <c r="AC32" s="729"/>
      <c r="AD32" s="729"/>
      <c r="AE32" s="729"/>
      <c r="AF32" s="729"/>
    </row>
    <row r="33" spans="1:32">
      <c r="A33" s="729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4"/>
      <c r="P33" s="674"/>
      <c r="Q33" s="674"/>
      <c r="R33" s="729"/>
      <c r="S33" s="729"/>
      <c r="T33" s="729"/>
      <c r="U33" s="729"/>
      <c r="V33" s="729"/>
      <c r="W33" s="729"/>
      <c r="X33" s="729"/>
      <c r="Y33" s="729"/>
      <c r="Z33" s="729"/>
      <c r="AA33" s="729"/>
      <c r="AB33" s="729"/>
      <c r="AC33" s="729"/>
      <c r="AD33" s="729"/>
      <c r="AE33" s="729"/>
      <c r="AF33" s="729"/>
    </row>
    <row r="34" spans="1:32" ht="30" customHeight="1">
      <c r="A34" s="729"/>
      <c r="B34" s="467"/>
      <c r="C34" s="461"/>
      <c r="D34" s="461" t="s">
        <v>51</v>
      </c>
      <c r="E34" s="461" t="s">
        <v>52</v>
      </c>
      <c r="F34" s="461" t="s">
        <v>53</v>
      </c>
      <c r="G34" s="461" t="s">
        <v>54</v>
      </c>
      <c r="H34" s="461" t="s">
        <v>55</v>
      </c>
      <c r="I34" s="461" t="s">
        <v>56</v>
      </c>
      <c r="J34" s="461" t="s">
        <v>57</v>
      </c>
      <c r="K34" s="461" t="s">
        <v>58</v>
      </c>
      <c r="L34" s="461" t="s">
        <v>59</v>
      </c>
      <c r="M34" s="461" t="s">
        <v>60</v>
      </c>
      <c r="N34" s="461" t="s">
        <v>61</v>
      </c>
      <c r="O34" s="461" t="s">
        <v>62</v>
      </c>
      <c r="P34" s="461"/>
      <c r="Q34" s="461"/>
      <c r="R34" s="729"/>
      <c r="S34" s="729"/>
      <c r="T34" s="729"/>
      <c r="U34" s="729"/>
      <c r="V34" s="729"/>
      <c r="W34" s="729"/>
      <c r="X34" s="729"/>
      <c r="Y34" s="729"/>
      <c r="Z34" s="729"/>
      <c r="AA34" s="729"/>
      <c r="AB34" s="729"/>
      <c r="AC34" s="729"/>
      <c r="AD34" s="729"/>
      <c r="AE34" s="729"/>
      <c r="AF34" s="729"/>
    </row>
    <row r="35" spans="1:32">
      <c r="A35" s="729"/>
      <c r="B35" s="674"/>
      <c r="C35" s="674"/>
      <c r="D35" s="905">
        <f t="shared" ref="D35:O35" si="7">D12</f>
        <v>186232</v>
      </c>
      <c r="E35" s="905">
        <f t="shared" si="7"/>
        <v>354321</v>
      </c>
      <c r="F35" s="905">
        <f t="shared" si="7"/>
        <v>396239</v>
      </c>
      <c r="G35" s="905">
        <f t="shared" si="7"/>
        <v>359191</v>
      </c>
      <c r="H35" s="905">
        <f t="shared" si="7"/>
        <v>360135.50135501358</v>
      </c>
      <c r="I35" s="905">
        <f t="shared" si="7"/>
        <v>259076.31087882307</v>
      </c>
      <c r="J35" s="905">
        <f t="shared" si="7"/>
        <v>283850.12040263263</v>
      </c>
      <c r="K35" s="905">
        <f t="shared" si="7"/>
        <v>426456.92992644216</v>
      </c>
      <c r="L35" s="905">
        <f t="shared" si="7"/>
        <v>451230.73945025163</v>
      </c>
      <c r="M35" s="905">
        <f t="shared" si="7"/>
        <v>476004.54897406121</v>
      </c>
      <c r="N35" s="905">
        <f t="shared" si="7"/>
        <v>500778.35849787074</v>
      </c>
      <c r="O35" s="905">
        <f t="shared" si="7"/>
        <v>525552.16802168021</v>
      </c>
      <c r="P35" s="674"/>
      <c r="Q35" s="674"/>
      <c r="R35" s="729"/>
      <c r="S35" s="729"/>
      <c r="T35" s="729"/>
      <c r="U35" s="729"/>
      <c r="V35" s="729"/>
      <c r="W35" s="729"/>
      <c r="X35" s="729"/>
      <c r="Y35" s="729"/>
      <c r="Z35" s="729"/>
      <c r="AA35" s="729"/>
      <c r="AB35" s="729"/>
      <c r="AC35" s="729"/>
      <c r="AD35" s="729"/>
      <c r="AE35" s="729"/>
      <c r="AF35" s="729"/>
    </row>
    <row r="36" spans="1:32">
      <c r="A36" s="729"/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729"/>
      <c r="S36" s="729"/>
      <c r="T36" s="729"/>
      <c r="U36" s="729"/>
      <c r="V36" s="729"/>
      <c r="W36" s="729"/>
      <c r="X36" s="729"/>
      <c r="Y36" s="729"/>
      <c r="Z36" s="729"/>
      <c r="AA36" s="729"/>
      <c r="AB36" s="729"/>
      <c r="AC36" s="729"/>
      <c r="AD36" s="729"/>
      <c r="AE36" s="729"/>
      <c r="AF36" s="729"/>
    </row>
    <row r="37" spans="1:32">
      <c r="A37" s="729"/>
      <c r="B37" s="674"/>
      <c r="C37" s="674"/>
      <c r="D37" s="674"/>
      <c r="E37" s="674"/>
      <c r="F37" s="674"/>
      <c r="G37" s="674"/>
      <c r="H37" s="674"/>
      <c r="I37" s="674"/>
      <c r="J37" s="674"/>
      <c r="K37" s="674"/>
      <c r="L37" s="674"/>
      <c r="M37" s="674"/>
      <c r="N37" s="674"/>
      <c r="O37" s="674"/>
      <c r="P37" s="674"/>
      <c r="Q37" s="674"/>
      <c r="R37" s="729"/>
      <c r="S37" s="729"/>
      <c r="T37" s="729"/>
      <c r="U37" s="729"/>
      <c r="V37" s="729"/>
      <c r="W37" s="729"/>
      <c r="X37" s="729"/>
      <c r="Y37" s="729"/>
      <c r="Z37" s="729"/>
      <c r="AA37" s="729"/>
      <c r="AB37" s="729"/>
      <c r="AC37" s="729"/>
      <c r="AD37" s="729"/>
      <c r="AE37" s="729"/>
      <c r="AF37" s="729"/>
    </row>
    <row r="38" spans="1:32">
      <c r="A38" s="729"/>
      <c r="B38" s="674"/>
      <c r="C38" s="674"/>
      <c r="D38" s="674"/>
      <c r="E38" s="674"/>
      <c r="F38" s="674"/>
      <c r="G38" s="674"/>
      <c r="H38" s="674"/>
      <c r="I38" s="674"/>
      <c r="J38" s="674"/>
      <c r="K38" s="674"/>
      <c r="L38" s="674"/>
      <c r="M38" s="674"/>
      <c r="N38" s="674"/>
      <c r="O38" s="674"/>
      <c r="P38" s="674"/>
      <c r="Q38" s="674"/>
      <c r="R38" s="729"/>
      <c r="S38" s="729"/>
      <c r="T38" s="729"/>
      <c r="U38" s="729"/>
      <c r="V38" s="729"/>
      <c r="W38" s="729"/>
      <c r="X38" s="729"/>
      <c r="Y38" s="729"/>
      <c r="Z38" s="729"/>
      <c r="AA38" s="729"/>
      <c r="AB38" s="729"/>
      <c r="AC38" s="729"/>
      <c r="AD38" s="729"/>
      <c r="AE38" s="729"/>
      <c r="AF38" s="729"/>
    </row>
    <row r="39" spans="1:32">
      <c r="A39" s="729"/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674"/>
      <c r="R39" s="729"/>
      <c r="S39" s="729"/>
      <c r="T39" s="729"/>
      <c r="U39" s="729"/>
      <c r="V39" s="729"/>
      <c r="W39" s="729"/>
      <c r="X39" s="729"/>
      <c r="Y39" s="729"/>
      <c r="Z39" s="729"/>
      <c r="AA39" s="729"/>
      <c r="AB39" s="729"/>
      <c r="AC39" s="729"/>
      <c r="AD39" s="729"/>
      <c r="AE39" s="729"/>
      <c r="AF39" s="729"/>
    </row>
    <row r="40" spans="1:32">
      <c r="A40" s="729"/>
      <c r="B40" s="674"/>
      <c r="C40" s="674"/>
      <c r="D40" s="674"/>
      <c r="E40" s="674"/>
      <c r="F40" s="674"/>
      <c r="G40" s="674"/>
      <c r="H40" s="674"/>
      <c r="I40" s="674"/>
      <c r="J40" s="674"/>
      <c r="K40" s="674"/>
      <c r="L40" s="674"/>
      <c r="M40" s="674"/>
      <c r="N40" s="674"/>
      <c r="O40" s="674"/>
      <c r="P40" s="674"/>
      <c r="Q40" s="674"/>
      <c r="R40" s="729"/>
      <c r="S40" s="729"/>
      <c r="T40" s="729"/>
      <c r="U40" s="729"/>
      <c r="V40" s="729"/>
      <c r="W40" s="729"/>
      <c r="X40" s="729"/>
      <c r="Y40" s="729"/>
      <c r="Z40" s="729"/>
      <c r="AA40" s="729"/>
      <c r="AB40" s="729"/>
      <c r="AC40" s="729"/>
      <c r="AD40" s="729"/>
      <c r="AE40" s="729"/>
      <c r="AF40" s="729"/>
    </row>
    <row r="41" spans="1:32">
      <c r="A41" s="729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4"/>
      <c r="P41" s="674"/>
      <c r="Q41" s="674"/>
      <c r="R41" s="729"/>
      <c r="S41" s="729"/>
      <c r="T41" s="729"/>
      <c r="U41" s="729"/>
      <c r="V41" s="729"/>
      <c r="W41" s="729"/>
      <c r="X41" s="729"/>
      <c r="Y41" s="729"/>
      <c r="Z41" s="729"/>
      <c r="AA41" s="729"/>
      <c r="AB41" s="729"/>
      <c r="AC41" s="729"/>
      <c r="AD41" s="729"/>
      <c r="AE41" s="729"/>
      <c r="AF41" s="729"/>
    </row>
    <row r="42" spans="1:32">
      <c r="A42" s="729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4"/>
      <c r="P42" s="674"/>
      <c r="Q42" s="674"/>
      <c r="R42" s="729"/>
      <c r="S42" s="729"/>
      <c r="T42" s="729"/>
      <c r="U42" s="729"/>
      <c r="V42" s="729"/>
      <c r="W42" s="729"/>
      <c r="X42" s="729"/>
      <c r="Y42" s="729"/>
      <c r="Z42" s="729"/>
      <c r="AA42" s="729"/>
      <c r="AB42" s="729"/>
      <c r="AC42" s="729"/>
      <c r="AD42" s="729"/>
      <c r="AE42" s="729"/>
      <c r="AF42" s="729"/>
    </row>
    <row r="43" spans="1:32">
      <c r="A43" s="729"/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729"/>
      <c r="S43" s="729"/>
      <c r="T43" s="729"/>
      <c r="U43" s="729"/>
      <c r="V43" s="729"/>
      <c r="W43" s="729"/>
      <c r="X43" s="729"/>
      <c r="Y43" s="729"/>
      <c r="Z43" s="729"/>
      <c r="AA43" s="729"/>
      <c r="AB43" s="729"/>
      <c r="AC43" s="729"/>
      <c r="AD43" s="729"/>
      <c r="AE43" s="729"/>
      <c r="AF43" s="729"/>
    </row>
    <row r="44" spans="1:32">
      <c r="A44" s="729"/>
      <c r="B44" s="674"/>
      <c r="C44" s="674"/>
      <c r="D44" s="674"/>
      <c r="E44" s="674"/>
      <c r="F44" s="674"/>
      <c r="G44" s="674"/>
      <c r="H44" s="674"/>
      <c r="I44" s="674"/>
      <c r="J44" s="674"/>
      <c r="K44" s="674"/>
      <c r="L44" s="674"/>
      <c r="M44" s="674"/>
      <c r="N44" s="674"/>
      <c r="O44" s="674"/>
      <c r="P44" s="674"/>
      <c r="Q44" s="674"/>
      <c r="R44" s="729"/>
      <c r="S44" s="729"/>
      <c r="T44" s="729"/>
      <c r="U44" s="729"/>
      <c r="V44" s="729"/>
      <c r="W44" s="729"/>
      <c r="X44" s="729"/>
      <c r="Y44" s="729"/>
      <c r="Z44" s="729"/>
      <c r="AA44" s="729"/>
      <c r="AB44" s="729"/>
      <c r="AC44" s="729"/>
      <c r="AD44" s="729"/>
      <c r="AE44" s="729"/>
      <c r="AF44" s="729"/>
    </row>
    <row r="45" spans="1:32">
      <c r="A45" s="729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4"/>
      <c r="P45" s="674"/>
      <c r="Q45" s="674"/>
      <c r="R45" s="729"/>
      <c r="S45" s="729"/>
      <c r="T45" s="729"/>
      <c r="U45" s="729"/>
      <c r="V45" s="729"/>
      <c r="W45" s="729"/>
      <c r="X45" s="729"/>
      <c r="Y45" s="729"/>
      <c r="Z45" s="729"/>
      <c r="AA45" s="729"/>
      <c r="AB45" s="729"/>
      <c r="AC45" s="729"/>
      <c r="AD45" s="729"/>
      <c r="AE45" s="729"/>
      <c r="AF45" s="729"/>
    </row>
    <row r="46" spans="1:32">
      <c r="A46" s="729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4"/>
      <c r="P46" s="674"/>
      <c r="Q46" s="674"/>
      <c r="R46" s="729"/>
      <c r="S46" s="729"/>
      <c r="T46" s="729"/>
      <c r="U46" s="729"/>
      <c r="V46" s="729"/>
      <c r="W46" s="729"/>
      <c r="X46" s="729"/>
      <c r="Y46" s="729"/>
      <c r="Z46" s="729"/>
      <c r="AA46" s="729"/>
      <c r="AB46" s="729"/>
      <c r="AC46" s="729"/>
      <c r="AD46" s="729"/>
      <c r="AE46" s="729"/>
      <c r="AF46" s="729"/>
    </row>
    <row r="47" spans="1:32">
      <c r="A47" s="729"/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729"/>
      <c r="S47" s="729"/>
      <c r="T47" s="729"/>
      <c r="U47" s="729"/>
      <c r="V47" s="729"/>
      <c r="W47" s="729"/>
      <c r="X47" s="729"/>
      <c r="Y47" s="729"/>
      <c r="Z47" s="729"/>
      <c r="AA47" s="729"/>
      <c r="AB47" s="729"/>
      <c r="AC47" s="729"/>
      <c r="AD47" s="729"/>
      <c r="AE47" s="729"/>
      <c r="AF47" s="729"/>
    </row>
    <row r="48" spans="1:32">
      <c r="A48" s="729"/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729"/>
      <c r="S48" s="729"/>
      <c r="T48" s="729"/>
      <c r="U48" s="729"/>
      <c r="V48" s="729"/>
      <c r="W48" s="729"/>
      <c r="X48" s="729"/>
      <c r="Y48" s="729"/>
      <c r="Z48" s="729"/>
      <c r="AA48" s="729"/>
      <c r="AB48" s="729"/>
      <c r="AC48" s="729"/>
      <c r="AD48" s="729"/>
      <c r="AE48" s="729"/>
      <c r="AF48" s="729"/>
    </row>
    <row r="49" spans="1:32">
      <c r="A49" s="729"/>
      <c r="B49" s="674"/>
      <c r="C49" s="674"/>
      <c r="D49" s="674"/>
      <c r="E49" s="674"/>
      <c r="F49" s="674"/>
      <c r="G49" s="674"/>
      <c r="H49" s="674"/>
      <c r="I49" s="674"/>
      <c r="J49" s="674"/>
      <c r="K49" s="674"/>
      <c r="L49" s="674"/>
      <c r="M49" s="674"/>
      <c r="N49" s="674"/>
      <c r="O49" s="674"/>
      <c r="P49" s="674"/>
      <c r="Q49" s="674"/>
      <c r="R49" s="729"/>
      <c r="S49" s="729"/>
      <c r="T49" s="729"/>
      <c r="U49" s="729"/>
      <c r="V49" s="729"/>
      <c r="W49" s="729"/>
      <c r="X49" s="729"/>
      <c r="Y49" s="729"/>
      <c r="Z49" s="729"/>
      <c r="AA49" s="729"/>
      <c r="AB49" s="729"/>
      <c r="AC49" s="729"/>
      <c r="AD49" s="729"/>
      <c r="AE49" s="729"/>
      <c r="AF49" s="729"/>
    </row>
    <row r="50" spans="1:32">
      <c r="A50" s="729"/>
      <c r="B50" s="674"/>
      <c r="C50" s="674"/>
      <c r="D50" s="674"/>
      <c r="E50" s="674"/>
      <c r="F50" s="674"/>
      <c r="G50" s="674"/>
      <c r="H50" s="674"/>
      <c r="I50" s="674"/>
      <c r="J50" s="674"/>
      <c r="K50" s="674"/>
      <c r="L50" s="674"/>
      <c r="M50" s="674"/>
      <c r="N50" s="674"/>
      <c r="O50" s="674"/>
      <c r="P50" s="674"/>
      <c r="Q50" s="674"/>
      <c r="R50" s="729"/>
      <c r="S50" s="729"/>
      <c r="T50" s="729"/>
      <c r="U50" s="729"/>
      <c r="V50" s="729"/>
      <c r="W50" s="729"/>
      <c r="X50" s="729"/>
      <c r="Y50" s="729"/>
      <c r="Z50" s="729"/>
      <c r="AA50" s="729"/>
      <c r="AB50" s="729"/>
      <c r="AC50" s="729"/>
      <c r="AD50" s="729"/>
      <c r="AE50" s="729"/>
      <c r="AF50" s="729"/>
    </row>
    <row r="51" spans="1:32">
      <c r="A51" s="729"/>
      <c r="B51" s="674"/>
      <c r="C51" s="674"/>
      <c r="D51" s="674"/>
      <c r="E51" s="674"/>
      <c r="F51" s="674"/>
      <c r="G51" s="674"/>
      <c r="H51" s="674"/>
      <c r="I51" s="674"/>
      <c r="J51" s="674"/>
      <c r="K51" s="674"/>
      <c r="L51" s="674"/>
      <c r="M51" s="674"/>
      <c r="N51" s="674"/>
      <c r="O51" s="674"/>
      <c r="P51" s="674"/>
      <c r="Q51" s="674"/>
      <c r="R51" s="729"/>
      <c r="S51" s="729"/>
      <c r="T51" s="729"/>
      <c r="U51" s="729"/>
      <c r="V51" s="729"/>
      <c r="W51" s="729"/>
      <c r="X51" s="729"/>
      <c r="Y51" s="729"/>
      <c r="Z51" s="729"/>
      <c r="AA51" s="729"/>
      <c r="AB51" s="729"/>
      <c r="AC51" s="729"/>
      <c r="AD51" s="729"/>
      <c r="AE51" s="729"/>
      <c r="AF51" s="729"/>
    </row>
    <row r="52" spans="1:32" ht="30" customHeight="1">
      <c r="A52" s="729"/>
      <c r="B52" s="467" t="s">
        <v>1128</v>
      </c>
      <c r="C52" s="461" t="s">
        <v>51</v>
      </c>
      <c r="D52" s="461" t="s">
        <v>52</v>
      </c>
      <c r="E52" s="461" t="s">
        <v>53</v>
      </c>
      <c r="F52" s="461" t="s">
        <v>54</v>
      </c>
      <c r="G52" s="461" t="s">
        <v>55</v>
      </c>
      <c r="H52" s="461" t="s">
        <v>56</v>
      </c>
      <c r="I52" s="461" t="s">
        <v>57</v>
      </c>
      <c r="J52" s="461" t="s">
        <v>58</v>
      </c>
      <c r="K52" s="461" t="s">
        <v>59</v>
      </c>
      <c r="L52" s="461" t="s">
        <v>60</v>
      </c>
      <c r="M52" s="461" t="s">
        <v>61</v>
      </c>
      <c r="N52" s="461" t="s">
        <v>62</v>
      </c>
      <c r="O52" s="461"/>
      <c r="P52" s="461"/>
      <c r="Q52" s="461"/>
      <c r="R52" s="729"/>
      <c r="S52" s="729"/>
      <c r="T52" s="729"/>
      <c r="U52" s="729"/>
      <c r="V52" s="729"/>
      <c r="W52" s="729"/>
      <c r="X52" s="729"/>
      <c r="Y52" s="729"/>
      <c r="Z52" s="729"/>
      <c r="AA52" s="729"/>
      <c r="AB52" s="729"/>
      <c r="AC52" s="729"/>
      <c r="AD52" s="729"/>
      <c r="AE52" s="729"/>
      <c r="AF52" s="729"/>
    </row>
    <row r="53" spans="1:32">
      <c r="A53" s="729"/>
      <c r="B53" s="907" t="s">
        <v>1129</v>
      </c>
      <c r="C53" s="799">
        <f t="shared" ref="C53:N53" si="8">D12</f>
        <v>186232</v>
      </c>
      <c r="D53" s="799">
        <f t="shared" si="8"/>
        <v>354321</v>
      </c>
      <c r="E53" s="799">
        <f t="shared" si="8"/>
        <v>396239</v>
      </c>
      <c r="F53" s="799">
        <f t="shared" si="8"/>
        <v>359191</v>
      </c>
      <c r="G53" s="799">
        <f t="shared" si="8"/>
        <v>360135.50135501358</v>
      </c>
      <c r="H53" s="799">
        <f t="shared" si="8"/>
        <v>259076.31087882307</v>
      </c>
      <c r="I53" s="799">
        <f t="shared" si="8"/>
        <v>283850.12040263263</v>
      </c>
      <c r="J53" s="799">
        <f t="shared" si="8"/>
        <v>426456.92992644216</v>
      </c>
      <c r="K53" s="799">
        <f t="shared" si="8"/>
        <v>451230.73945025163</v>
      </c>
      <c r="L53" s="799">
        <f t="shared" si="8"/>
        <v>476004.54897406121</v>
      </c>
      <c r="M53" s="799">
        <f t="shared" si="8"/>
        <v>500778.35849787074</v>
      </c>
      <c r="N53" s="799">
        <f t="shared" si="8"/>
        <v>525552.16802168021</v>
      </c>
      <c r="O53" s="749">
        <f>SUM(C53:N53)</f>
        <v>4579067.6775067747</v>
      </c>
      <c r="P53" s="907"/>
      <c r="Q53" s="674"/>
      <c r="R53" s="729"/>
      <c r="S53" s="729"/>
      <c r="T53" s="729"/>
      <c r="U53" s="729"/>
      <c r="V53" s="729"/>
      <c r="W53" s="729"/>
      <c r="X53" s="729"/>
      <c r="Y53" s="729"/>
      <c r="Z53" s="729"/>
      <c r="AA53" s="729"/>
      <c r="AB53" s="729"/>
      <c r="AC53" s="729"/>
      <c r="AD53" s="729"/>
      <c r="AE53" s="729"/>
      <c r="AF53" s="729"/>
    </row>
    <row r="54" spans="1:32">
      <c r="A54" s="729"/>
      <c r="B54" s="907" t="s">
        <v>273</v>
      </c>
      <c r="C54" s="799">
        <f t="shared" ref="C54:H54" si="9">D17</f>
        <v>165920.7861788618</v>
      </c>
      <c r="D54" s="799">
        <f t="shared" si="9"/>
        <v>201685.13197831978</v>
      </c>
      <c r="E54" s="799">
        <f t="shared" si="9"/>
        <v>213290.2945799458</v>
      </c>
      <c r="F54" s="799">
        <f t="shared" si="9"/>
        <v>203487.17127371274</v>
      </c>
      <c r="G54" s="799">
        <f t="shared" si="9"/>
        <v>223987.73604336043</v>
      </c>
      <c r="H54" s="799">
        <f t="shared" si="9"/>
        <v>203645.88455284553</v>
      </c>
      <c r="I54" s="802"/>
      <c r="J54" s="802"/>
      <c r="K54" s="802"/>
      <c r="L54" s="802"/>
      <c r="M54" s="802"/>
      <c r="N54" s="802"/>
      <c r="O54" s="907"/>
      <c r="P54" s="907"/>
      <c r="Q54" s="674"/>
      <c r="R54" s="729"/>
      <c r="S54" s="729"/>
      <c r="T54" s="729"/>
      <c r="U54" s="729"/>
      <c r="V54" s="729"/>
      <c r="W54" s="729"/>
      <c r="X54" s="729"/>
      <c r="Y54" s="729"/>
      <c r="Z54" s="729"/>
      <c r="AA54" s="729"/>
      <c r="AB54" s="729"/>
      <c r="AC54" s="729"/>
      <c r="AD54" s="729"/>
      <c r="AE54" s="729"/>
      <c r="AF54" s="729"/>
    </row>
    <row r="55" spans="1:32">
      <c r="A55" s="729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4"/>
      <c r="P55" s="674"/>
      <c r="Q55" s="674"/>
      <c r="R55" s="729"/>
      <c r="S55" s="729"/>
      <c r="T55" s="729"/>
      <c r="U55" s="729"/>
      <c r="V55" s="729"/>
      <c r="W55" s="729"/>
      <c r="X55" s="729"/>
      <c r="Y55" s="729"/>
      <c r="Z55" s="729"/>
      <c r="AA55" s="729"/>
      <c r="AB55" s="729"/>
      <c r="AC55" s="729"/>
      <c r="AD55" s="729"/>
      <c r="AE55" s="729"/>
      <c r="AF55" s="729"/>
    </row>
    <row r="56" spans="1:32">
      <c r="A56" s="729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4"/>
      <c r="P56" s="674"/>
      <c r="Q56" s="674"/>
      <c r="R56" s="729"/>
      <c r="S56" s="729"/>
      <c r="T56" s="729"/>
      <c r="U56" s="729"/>
      <c r="V56" s="729"/>
      <c r="W56" s="729"/>
      <c r="X56" s="729"/>
      <c r="Y56" s="729"/>
      <c r="Z56" s="729"/>
      <c r="AA56" s="729"/>
      <c r="AB56" s="729"/>
      <c r="AC56" s="729"/>
      <c r="AD56" s="729"/>
      <c r="AE56" s="729"/>
      <c r="AF56" s="729"/>
    </row>
    <row r="57" spans="1:32" ht="15" thickBot="1">
      <c r="A57" s="729"/>
      <c r="B57" s="306" t="s">
        <v>1130</v>
      </c>
      <c r="C57" s="674"/>
      <c r="D57" s="674"/>
      <c r="E57" s="674"/>
      <c r="F57" s="674"/>
      <c r="G57" s="674"/>
      <c r="H57" s="674"/>
      <c r="I57" s="674"/>
      <c r="J57" s="908" t="s">
        <v>1128</v>
      </c>
      <c r="K57" s="908" t="s">
        <v>51</v>
      </c>
      <c r="L57" s="908" t="s">
        <v>52</v>
      </c>
      <c r="M57" s="908" t="s">
        <v>53</v>
      </c>
      <c r="N57" s="908" t="s">
        <v>54</v>
      </c>
      <c r="O57" s="908" t="s">
        <v>55</v>
      </c>
      <c r="P57" s="908" t="s">
        <v>56</v>
      </c>
      <c r="Q57" s="908" t="s">
        <v>57</v>
      </c>
      <c r="R57" s="729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  <c r="AF57" s="729"/>
    </row>
    <row r="58" spans="1:32" ht="15" thickTop="1">
      <c r="A58" s="729"/>
      <c r="B58" s="307" t="s">
        <v>1128</v>
      </c>
      <c r="C58" s="308" t="s">
        <v>51</v>
      </c>
      <c r="D58" s="308" t="s">
        <v>52</v>
      </c>
      <c r="E58" s="308" t="s">
        <v>53</v>
      </c>
      <c r="F58" s="308" t="s">
        <v>54</v>
      </c>
      <c r="G58" s="308" t="s">
        <v>55</v>
      </c>
      <c r="H58" s="308" t="s">
        <v>56</v>
      </c>
      <c r="I58" s="308" t="s">
        <v>57</v>
      </c>
      <c r="J58" s="309" t="s">
        <v>1134</v>
      </c>
      <c r="K58" s="728">
        <f t="shared" ref="K58:P58" si="10">C60</f>
        <v>-194.135626</v>
      </c>
      <c r="L58" s="728">
        <f t="shared" si="10"/>
        <v>305.29308700000001</v>
      </c>
      <c r="M58" s="728">
        <f t="shared" si="10"/>
        <v>-149.18717200000003</v>
      </c>
      <c r="N58" s="728">
        <f t="shared" si="10"/>
        <v>-88.268449999999973</v>
      </c>
      <c r="O58" s="728">
        <f t="shared" si="10"/>
        <v>112.93481599999998</v>
      </c>
      <c r="P58" s="728">
        <f t="shared" si="10"/>
        <v>129.38098300000001</v>
      </c>
      <c r="Q58" s="728">
        <f>I60</f>
        <v>-58.825564000000014</v>
      </c>
      <c r="R58" s="729"/>
      <c r="S58" s="729"/>
      <c r="T58" s="729"/>
      <c r="U58" s="729"/>
      <c r="V58" s="729"/>
      <c r="W58" s="729"/>
      <c r="X58" s="729"/>
      <c r="Y58" s="729"/>
      <c r="Z58" s="729"/>
      <c r="AA58" s="729"/>
      <c r="AB58" s="729"/>
      <c r="AC58" s="729"/>
      <c r="AD58" s="729"/>
      <c r="AE58" s="729"/>
      <c r="AF58" s="729"/>
    </row>
    <row r="59" spans="1:32">
      <c r="A59" s="729"/>
      <c r="B59" s="678" t="s">
        <v>1131</v>
      </c>
      <c r="C59" s="681">
        <f>Inputs!D93/1000000</f>
        <v>425.59462600000001</v>
      </c>
      <c r="D59" s="681">
        <f>Inputs!E93/1000000</f>
        <v>120.30153900000001</v>
      </c>
      <c r="E59" s="681">
        <f>Inputs!F93/1000000</f>
        <v>269.48871100000002</v>
      </c>
      <c r="F59" s="681">
        <f>Inputs!G93/1000000</f>
        <v>357.757161</v>
      </c>
      <c r="G59" s="681">
        <f>Inputs!H93/1000000</f>
        <v>244.82234500000001</v>
      </c>
      <c r="H59" s="681">
        <f>Inputs!I93/1000000</f>
        <v>115.441362</v>
      </c>
      <c r="I59" s="681">
        <f>Inputs!J93/1000000</f>
        <v>174.26692600000001</v>
      </c>
      <c r="J59" s="674"/>
      <c r="K59" s="674"/>
      <c r="L59" s="674"/>
      <c r="M59" s="674"/>
      <c r="N59" s="674"/>
      <c r="O59" s="674"/>
      <c r="P59" s="674"/>
      <c r="Q59" s="674"/>
      <c r="R59" s="729"/>
      <c r="S59" s="729"/>
      <c r="T59" s="729"/>
      <c r="U59" s="729"/>
      <c r="V59" s="729"/>
      <c r="W59" s="729"/>
      <c r="X59" s="729"/>
      <c r="Y59" s="729"/>
      <c r="Z59" s="729"/>
      <c r="AA59" s="729"/>
      <c r="AB59" s="729"/>
      <c r="AC59" s="729"/>
      <c r="AD59" s="729"/>
      <c r="AE59" s="729"/>
      <c r="AF59" s="729"/>
    </row>
    <row r="60" spans="1:32">
      <c r="A60" s="729"/>
      <c r="B60" s="678" t="s">
        <v>1132</v>
      </c>
      <c r="C60" s="681">
        <f>'Modelo Base'!E34/1000000-C59</f>
        <v>-194.135626</v>
      </c>
      <c r="D60" s="714">
        <f>C59-D59</f>
        <v>305.29308700000001</v>
      </c>
      <c r="E60" s="714">
        <f>D59-E59</f>
        <v>-149.18717200000003</v>
      </c>
      <c r="F60" s="714">
        <f>E59-F59</f>
        <v>-88.268449999999973</v>
      </c>
      <c r="G60" s="714">
        <f>F59-G59</f>
        <v>112.93481599999998</v>
      </c>
      <c r="H60" s="714">
        <f>G59-H59</f>
        <v>129.38098300000001</v>
      </c>
      <c r="I60" s="714">
        <f>H59-I59</f>
        <v>-58.825564000000014</v>
      </c>
      <c r="J60" s="674"/>
      <c r="K60" s="674"/>
      <c r="L60" s="674"/>
      <c r="M60" s="674"/>
      <c r="N60" s="674"/>
      <c r="O60" s="674"/>
      <c r="P60" s="674"/>
      <c r="Q60" s="674"/>
      <c r="R60" s="729"/>
      <c r="S60" s="729"/>
      <c r="T60" s="729"/>
      <c r="U60" s="729"/>
      <c r="V60" s="729"/>
      <c r="W60" s="729"/>
      <c r="X60" s="729"/>
      <c r="Y60" s="729"/>
      <c r="Z60" s="729"/>
      <c r="AA60" s="729"/>
      <c r="AB60" s="729"/>
      <c r="AC60" s="729"/>
      <c r="AD60" s="729"/>
      <c r="AE60" s="729"/>
      <c r="AF60" s="729"/>
    </row>
    <row r="61" spans="1:32">
      <c r="A61" s="729"/>
      <c r="B61" s="682" t="s">
        <v>1133</v>
      </c>
      <c r="C61" s="682"/>
      <c r="D61" s="682"/>
      <c r="E61" s="682"/>
      <c r="F61" s="682"/>
      <c r="G61" s="682"/>
      <c r="H61" s="682"/>
      <c r="I61" s="682"/>
      <c r="J61" s="682"/>
      <c r="K61" s="682"/>
      <c r="L61" s="682"/>
      <c r="M61" s="682"/>
      <c r="N61" s="682"/>
      <c r="O61" s="682"/>
      <c r="P61" s="682"/>
      <c r="Q61" s="682"/>
      <c r="R61" s="729"/>
      <c r="S61" s="729"/>
      <c r="T61" s="729"/>
      <c r="U61" s="729"/>
      <c r="V61" s="729"/>
      <c r="W61" s="729"/>
      <c r="X61" s="729"/>
      <c r="Y61" s="729"/>
      <c r="Z61" s="729"/>
      <c r="AA61" s="729"/>
      <c r="AB61" s="729"/>
      <c r="AC61" s="729"/>
      <c r="AD61" s="729"/>
      <c r="AE61" s="729"/>
      <c r="AF61" s="729"/>
    </row>
    <row r="62" spans="1:32">
      <c r="A62" s="729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4"/>
      <c r="P62" s="674"/>
      <c r="Q62" s="674"/>
      <c r="R62" s="729"/>
      <c r="S62" s="729"/>
      <c r="T62" s="729"/>
      <c r="U62" s="729"/>
      <c r="V62" s="729"/>
      <c r="W62" s="729"/>
      <c r="X62" s="729"/>
      <c r="Y62" s="729"/>
      <c r="Z62" s="729"/>
      <c r="AA62" s="729"/>
      <c r="AB62" s="729"/>
      <c r="AC62" s="729"/>
      <c r="AD62" s="729"/>
      <c r="AE62" s="729"/>
      <c r="AF62" s="729"/>
    </row>
    <row r="63" spans="1:32">
      <c r="A63" s="729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4"/>
      <c r="P63" s="674"/>
      <c r="Q63" s="674"/>
      <c r="R63" s="729"/>
      <c r="S63" s="729"/>
      <c r="T63" s="729"/>
      <c r="U63" s="729"/>
      <c r="V63" s="729"/>
      <c r="W63" s="729"/>
      <c r="X63" s="729"/>
      <c r="Y63" s="729"/>
      <c r="Z63" s="729"/>
      <c r="AA63" s="729"/>
      <c r="AB63" s="729"/>
      <c r="AC63" s="729"/>
      <c r="AD63" s="729"/>
      <c r="AE63" s="729"/>
      <c r="AF63" s="729"/>
    </row>
    <row r="64" spans="1:32">
      <c r="A64" s="729"/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729"/>
      <c r="S64" s="729"/>
      <c r="T64" s="729"/>
      <c r="U64" s="729"/>
      <c r="V64" s="729"/>
      <c r="W64" s="729"/>
      <c r="X64" s="729"/>
      <c r="Y64" s="729"/>
      <c r="Z64" s="729"/>
      <c r="AA64" s="729"/>
      <c r="AB64" s="729"/>
      <c r="AC64" s="729"/>
      <c r="AD64" s="729"/>
      <c r="AE64" s="729"/>
      <c r="AF64" s="729"/>
    </row>
    <row r="65" spans="1:32">
      <c r="A65" s="729"/>
      <c r="B65" s="674"/>
      <c r="C65" s="674"/>
      <c r="D65" s="674"/>
      <c r="E65" s="674"/>
      <c r="F65" s="674"/>
      <c r="G65" s="674"/>
      <c r="H65" s="674"/>
      <c r="I65" s="674"/>
      <c r="J65" s="674"/>
      <c r="K65" s="674"/>
      <c r="L65" s="674"/>
      <c r="M65" s="674"/>
      <c r="N65" s="674"/>
      <c r="O65" s="674"/>
      <c r="P65" s="674"/>
      <c r="Q65" s="674"/>
      <c r="R65" s="729"/>
      <c r="S65" s="729"/>
      <c r="T65" s="729"/>
      <c r="U65" s="729"/>
      <c r="V65" s="729"/>
      <c r="W65" s="729"/>
      <c r="X65" s="729"/>
      <c r="Y65" s="729"/>
      <c r="Z65" s="729"/>
      <c r="AA65" s="729"/>
      <c r="AB65" s="729"/>
      <c r="AC65" s="729"/>
      <c r="AD65" s="729"/>
      <c r="AE65" s="729"/>
      <c r="AF65" s="729"/>
    </row>
    <row r="66" spans="1:32">
      <c r="A66" s="729"/>
      <c r="B66" s="674"/>
      <c r="C66" s="674"/>
      <c r="D66" s="674"/>
      <c r="E66" s="674"/>
      <c r="F66" s="674"/>
      <c r="G66" s="674"/>
      <c r="H66" s="674"/>
      <c r="I66" s="674"/>
      <c r="J66" s="674"/>
      <c r="K66" s="674"/>
      <c r="L66" s="674"/>
      <c r="M66" s="674"/>
      <c r="N66" s="674"/>
      <c r="O66" s="674"/>
      <c r="P66" s="674"/>
      <c r="Q66" s="674"/>
      <c r="R66" s="729"/>
      <c r="S66" s="729"/>
      <c r="T66" s="729"/>
      <c r="U66" s="729"/>
      <c r="V66" s="729"/>
      <c r="W66" s="729"/>
      <c r="X66" s="729"/>
      <c r="Y66" s="729"/>
      <c r="Z66" s="729"/>
      <c r="AA66" s="729"/>
      <c r="AB66" s="729"/>
      <c r="AC66" s="729"/>
      <c r="AD66" s="729"/>
      <c r="AE66" s="729"/>
      <c r="AF66" s="729"/>
    </row>
    <row r="67" spans="1:32">
      <c r="A67" s="729"/>
      <c r="B67" s="674"/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  <c r="N67" s="674"/>
      <c r="O67" s="674"/>
      <c r="P67" s="674"/>
      <c r="Q67" s="674"/>
      <c r="R67" s="729"/>
      <c r="S67" s="729"/>
      <c r="T67" s="729"/>
      <c r="U67" s="729"/>
      <c r="V67" s="729"/>
      <c r="W67" s="729"/>
      <c r="X67" s="729"/>
      <c r="Y67" s="729"/>
      <c r="Z67" s="729"/>
      <c r="AA67" s="729"/>
      <c r="AB67" s="729"/>
      <c r="AC67" s="729"/>
      <c r="AD67" s="729"/>
      <c r="AE67" s="729"/>
      <c r="AF67" s="729"/>
    </row>
    <row r="68" spans="1:32">
      <c r="A68" s="729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4"/>
      <c r="P68" s="674"/>
      <c r="Q68" s="674"/>
      <c r="R68" s="729"/>
      <c r="S68" s="729"/>
      <c r="T68" s="729"/>
      <c r="U68" s="729"/>
      <c r="V68" s="729"/>
      <c r="W68" s="729"/>
      <c r="X68" s="729"/>
      <c r="Y68" s="729"/>
      <c r="Z68" s="729"/>
      <c r="AA68" s="729"/>
      <c r="AB68" s="729"/>
      <c r="AC68" s="729"/>
      <c r="AD68" s="729"/>
      <c r="AE68" s="729"/>
      <c r="AF68" s="729"/>
    </row>
    <row r="69" spans="1:32">
      <c r="A69" s="729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4"/>
      <c r="P69" s="674"/>
      <c r="Q69" s="674"/>
      <c r="R69" s="729"/>
      <c r="S69" s="729"/>
      <c r="T69" s="729"/>
      <c r="U69" s="729"/>
      <c r="V69" s="729"/>
      <c r="W69" s="729"/>
      <c r="X69" s="729"/>
      <c r="Y69" s="729"/>
      <c r="Z69" s="729"/>
      <c r="AA69" s="729"/>
      <c r="AB69" s="729"/>
      <c r="AC69" s="729"/>
      <c r="AD69" s="729"/>
      <c r="AE69" s="729"/>
      <c r="AF69" s="729"/>
    </row>
    <row r="70" spans="1:32">
      <c r="A70" s="729"/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729"/>
      <c r="S70" s="729"/>
      <c r="T70" s="729"/>
      <c r="U70" s="729"/>
      <c r="V70" s="729"/>
      <c r="W70" s="729"/>
      <c r="X70" s="729"/>
      <c r="Y70" s="729"/>
      <c r="Z70" s="729"/>
      <c r="AA70" s="729"/>
      <c r="AB70" s="729"/>
      <c r="AC70" s="729"/>
      <c r="AD70" s="729"/>
      <c r="AE70" s="729"/>
      <c r="AF70" s="729"/>
    </row>
    <row r="71" spans="1:32">
      <c r="A71" s="729"/>
      <c r="B71" s="674"/>
      <c r="C71" s="674"/>
      <c r="D71" s="674"/>
      <c r="E71" s="674"/>
      <c r="F71" s="674"/>
      <c r="G71" s="674"/>
      <c r="H71" s="674"/>
      <c r="I71" s="674"/>
      <c r="J71" s="674"/>
      <c r="K71" s="674"/>
      <c r="L71" s="674"/>
      <c r="M71" s="674"/>
      <c r="N71" s="674"/>
      <c r="O71" s="674"/>
      <c r="P71" s="674"/>
      <c r="Q71" s="674"/>
      <c r="R71" s="729"/>
      <c r="S71" s="729"/>
      <c r="T71" s="729"/>
      <c r="U71" s="729"/>
      <c r="V71" s="729"/>
      <c r="W71" s="729"/>
      <c r="X71" s="729"/>
      <c r="Y71" s="729"/>
      <c r="Z71" s="729"/>
      <c r="AA71" s="729"/>
      <c r="AB71" s="729"/>
      <c r="AC71" s="729"/>
      <c r="AD71" s="729"/>
      <c r="AE71" s="729"/>
      <c r="AF71" s="729"/>
    </row>
    <row r="72" spans="1:32">
      <c r="A72" s="729"/>
      <c r="B72" s="674"/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4"/>
      <c r="N72" s="674"/>
      <c r="O72" s="674"/>
      <c r="P72" s="674"/>
      <c r="Q72" s="674"/>
      <c r="R72" s="729"/>
      <c r="S72" s="729"/>
      <c r="T72" s="729"/>
      <c r="U72" s="729"/>
      <c r="V72" s="729"/>
      <c r="W72" s="729"/>
      <c r="X72" s="729"/>
      <c r="Y72" s="729"/>
      <c r="Z72" s="729"/>
      <c r="AA72" s="729"/>
      <c r="AB72" s="729"/>
      <c r="AC72" s="729"/>
      <c r="AD72" s="729"/>
      <c r="AE72" s="729"/>
      <c r="AF72" s="729"/>
    </row>
    <row r="73" spans="1:32">
      <c r="A73" s="729"/>
      <c r="B73" s="674"/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4"/>
      <c r="P73" s="674"/>
      <c r="Q73" s="674"/>
      <c r="R73" s="729"/>
      <c r="S73" s="729"/>
      <c r="T73" s="729"/>
      <c r="U73" s="729"/>
      <c r="V73" s="729"/>
      <c r="W73" s="729"/>
      <c r="X73" s="729"/>
      <c r="Y73" s="729"/>
      <c r="Z73" s="729"/>
      <c r="AA73" s="729"/>
      <c r="AB73" s="729"/>
      <c r="AC73" s="729"/>
      <c r="AD73" s="729"/>
      <c r="AE73" s="729"/>
      <c r="AF73" s="729"/>
    </row>
    <row r="74" spans="1:32">
      <c r="A74" s="729"/>
      <c r="B74" s="674"/>
      <c r="C74" s="674"/>
      <c r="D74" s="674"/>
      <c r="E74" s="674"/>
      <c r="F74" s="674"/>
      <c r="G74" s="674"/>
      <c r="H74" s="674"/>
      <c r="I74" s="674"/>
      <c r="J74" s="674"/>
      <c r="K74" s="674"/>
      <c r="L74" s="674"/>
      <c r="M74" s="674"/>
      <c r="N74" s="674"/>
      <c r="O74" s="674"/>
      <c r="P74" s="674"/>
      <c r="Q74" s="674"/>
      <c r="R74" s="729"/>
      <c r="S74" s="729"/>
      <c r="T74" s="729"/>
      <c r="U74" s="729"/>
      <c r="V74" s="729"/>
      <c r="W74" s="729"/>
      <c r="X74" s="729"/>
      <c r="Y74" s="729"/>
      <c r="Z74" s="729"/>
      <c r="AA74" s="729"/>
      <c r="AB74" s="729"/>
      <c r="AC74" s="729"/>
      <c r="AD74" s="729"/>
      <c r="AE74" s="729"/>
      <c r="AF74" s="729"/>
    </row>
    <row r="75" spans="1:32">
      <c r="A75" s="729"/>
      <c r="B75" s="674"/>
      <c r="C75" s="674"/>
      <c r="D75" s="674"/>
      <c r="E75" s="674"/>
      <c r="F75" s="674"/>
      <c r="G75" s="674"/>
      <c r="H75" s="674"/>
      <c r="I75" s="674"/>
      <c r="J75" s="674"/>
      <c r="K75" s="674"/>
      <c r="L75" s="674"/>
      <c r="M75" s="674"/>
      <c r="N75" s="674"/>
      <c r="O75" s="674"/>
      <c r="P75" s="674"/>
      <c r="Q75" s="674"/>
      <c r="R75" s="729"/>
      <c r="S75" s="729"/>
      <c r="T75" s="729"/>
      <c r="U75" s="729"/>
      <c r="V75" s="729"/>
      <c r="W75" s="729"/>
      <c r="X75" s="729"/>
      <c r="Y75" s="729"/>
      <c r="Z75" s="729"/>
      <c r="AA75" s="729"/>
      <c r="AB75" s="729"/>
      <c r="AC75" s="729"/>
      <c r="AD75" s="729"/>
      <c r="AE75" s="729"/>
      <c r="AF75" s="729"/>
    </row>
    <row r="76" spans="1:32">
      <c r="A76" s="729"/>
      <c r="B76" s="674"/>
      <c r="C76" s="674"/>
      <c r="D76" s="674"/>
      <c r="E76" s="674"/>
      <c r="F76" s="674"/>
      <c r="G76" s="674"/>
      <c r="H76" s="674"/>
      <c r="I76" s="674"/>
      <c r="J76" s="674"/>
      <c r="K76" s="674"/>
      <c r="L76" s="674"/>
      <c r="M76" s="674"/>
      <c r="N76" s="674"/>
      <c r="O76" s="674"/>
      <c r="P76" s="674"/>
      <c r="Q76" s="674"/>
      <c r="R76" s="729"/>
      <c r="S76" s="729"/>
      <c r="T76" s="729"/>
      <c r="U76" s="729"/>
      <c r="V76" s="729"/>
      <c r="W76" s="729"/>
      <c r="X76" s="729"/>
      <c r="Y76" s="729"/>
      <c r="Z76" s="729"/>
      <c r="AA76" s="729"/>
      <c r="AB76" s="729"/>
      <c r="AC76" s="729"/>
      <c r="AD76" s="729"/>
      <c r="AE76" s="729"/>
      <c r="AF76" s="729"/>
    </row>
    <row r="77" spans="1:32">
      <c r="A77" s="729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4"/>
      <c r="P77" s="674"/>
      <c r="Q77" s="674"/>
      <c r="R77" s="729"/>
      <c r="S77" s="729"/>
      <c r="T77" s="729"/>
      <c r="U77" s="729"/>
      <c r="V77" s="729"/>
      <c r="W77" s="729"/>
      <c r="X77" s="729"/>
      <c r="Y77" s="729"/>
      <c r="Z77" s="729"/>
      <c r="AA77" s="729"/>
      <c r="AB77" s="729"/>
      <c r="AC77" s="729"/>
      <c r="AD77" s="729"/>
      <c r="AE77" s="729"/>
      <c r="AF77" s="729"/>
    </row>
    <row r="78" spans="1:32">
      <c r="A78" s="729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4"/>
      <c r="P78" s="674"/>
      <c r="Q78" s="674"/>
      <c r="R78" s="729"/>
      <c r="S78" s="729"/>
      <c r="T78" s="729"/>
      <c r="U78" s="729"/>
      <c r="V78" s="729"/>
      <c r="W78" s="729"/>
      <c r="X78" s="729"/>
      <c r="Y78" s="729"/>
      <c r="Z78" s="729"/>
      <c r="AA78" s="729"/>
      <c r="AB78" s="729"/>
      <c r="AC78" s="729"/>
      <c r="AD78" s="729"/>
      <c r="AE78" s="729"/>
      <c r="AF78" s="729"/>
    </row>
    <row r="79" spans="1:32">
      <c r="A79" s="729"/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729"/>
      <c r="S79" s="729"/>
      <c r="T79" s="729"/>
      <c r="U79" s="729"/>
      <c r="V79" s="729"/>
      <c r="W79" s="729"/>
      <c r="X79" s="729"/>
      <c r="Y79" s="729"/>
      <c r="Z79" s="729"/>
      <c r="AA79" s="729"/>
      <c r="AB79" s="729"/>
      <c r="AC79" s="729"/>
      <c r="AD79" s="729"/>
      <c r="AE79" s="729"/>
      <c r="AF79" s="729"/>
    </row>
    <row r="80" spans="1:32">
      <c r="A80" s="729"/>
      <c r="B80" s="674"/>
      <c r="C80" s="674"/>
      <c r="D80" s="674"/>
      <c r="E80" s="674"/>
      <c r="F80" s="674"/>
      <c r="G80" s="674"/>
      <c r="H80" s="674"/>
      <c r="I80" s="674"/>
      <c r="J80" s="674"/>
      <c r="K80" s="674"/>
      <c r="L80" s="674"/>
      <c r="M80" s="674"/>
      <c r="N80" s="674"/>
      <c r="O80" s="674"/>
      <c r="P80" s="674"/>
      <c r="Q80" s="674"/>
      <c r="R80" s="729"/>
      <c r="S80" s="729"/>
      <c r="T80" s="729"/>
      <c r="U80" s="729"/>
      <c r="V80" s="729"/>
      <c r="W80" s="729"/>
      <c r="X80" s="729"/>
      <c r="Y80" s="729"/>
      <c r="Z80" s="729"/>
      <c r="AA80" s="729"/>
      <c r="AB80" s="729"/>
      <c r="AC80" s="729"/>
      <c r="AD80" s="729"/>
      <c r="AE80" s="729"/>
      <c r="AF80" s="729"/>
    </row>
    <row r="81" spans="1:32">
      <c r="A81" s="729"/>
      <c r="B81" s="674"/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674"/>
      <c r="N81" s="674"/>
      <c r="O81" s="674"/>
      <c r="P81" s="674"/>
      <c r="Q81" s="674"/>
      <c r="R81" s="729"/>
      <c r="S81" s="729"/>
      <c r="T81" s="729"/>
      <c r="U81" s="729"/>
      <c r="V81" s="729"/>
      <c r="W81" s="729"/>
      <c r="X81" s="729"/>
      <c r="Y81" s="729"/>
      <c r="Z81" s="729"/>
      <c r="AA81" s="729"/>
      <c r="AB81" s="729"/>
      <c r="AC81" s="729"/>
      <c r="AD81" s="729"/>
      <c r="AE81" s="729"/>
      <c r="AF81" s="729"/>
    </row>
    <row r="82" spans="1:32">
      <c r="A82" s="729"/>
      <c r="B82" s="674"/>
      <c r="C82" s="674"/>
      <c r="D82" s="674"/>
      <c r="E82" s="674"/>
      <c r="F82" s="674"/>
      <c r="G82" s="674"/>
      <c r="H82" s="674"/>
      <c r="I82" s="674"/>
      <c r="J82" s="674"/>
      <c r="K82" s="674"/>
      <c r="L82" s="674"/>
      <c r="M82" s="674"/>
      <c r="N82" s="674"/>
      <c r="O82" s="674"/>
      <c r="P82" s="674"/>
      <c r="Q82" s="674"/>
      <c r="R82" s="729"/>
      <c r="S82" s="729"/>
      <c r="T82" s="729"/>
      <c r="U82" s="729"/>
      <c r="V82" s="729"/>
      <c r="W82" s="729"/>
      <c r="X82" s="729"/>
      <c r="Y82" s="729"/>
      <c r="Z82" s="729"/>
      <c r="AA82" s="729"/>
      <c r="AB82" s="729"/>
      <c r="AC82" s="729"/>
      <c r="AD82" s="729"/>
      <c r="AE82" s="729"/>
      <c r="AF82" s="729"/>
    </row>
    <row r="83" spans="1:32">
      <c r="A83" s="729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4"/>
      <c r="P83" s="674"/>
      <c r="Q83" s="674"/>
      <c r="R83" s="729"/>
      <c r="S83" s="729"/>
      <c r="T83" s="729"/>
      <c r="U83" s="729"/>
      <c r="V83" s="729"/>
      <c r="W83" s="729"/>
      <c r="X83" s="729"/>
      <c r="Y83" s="729"/>
      <c r="Z83" s="729"/>
      <c r="AA83" s="729"/>
      <c r="AB83" s="729"/>
      <c r="AC83" s="729"/>
      <c r="AD83" s="729"/>
      <c r="AE83" s="729"/>
      <c r="AF83" s="729"/>
    </row>
    <row r="84" spans="1:32">
      <c r="A84" s="729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4"/>
      <c r="P84" s="674"/>
      <c r="Q84" s="674"/>
      <c r="R84" s="729"/>
      <c r="S84" s="729"/>
      <c r="T84" s="729"/>
      <c r="U84" s="729"/>
      <c r="V84" s="729"/>
      <c r="W84" s="729"/>
      <c r="X84" s="729"/>
      <c r="Y84" s="729"/>
      <c r="Z84" s="729"/>
      <c r="AA84" s="729"/>
      <c r="AB84" s="729"/>
      <c r="AC84" s="729"/>
      <c r="AD84" s="729"/>
      <c r="AE84" s="729"/>
      <c r="AF84" s="729"/>
    </row>
    <row r="85" spans="1:32">
      <c r="A85" s="729"/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729"/>
      <c r="S85" s="729"/>
      <c r="T85" s="729"/>
      <c r="U85" s="729"/>
      <c r="V85" s="729"/>
      <c r="W85" s="729"/>
      <c r="X85" s="729"/>
      <c r="Y85" s="729"/>
      <c r="Z85" s="729"/>
      <c r="AA85" s="729"/>
      <c r="AB85" s="729"/>
      <c r="AC85" s="729"/>
      <c r="AD85" s="729"/>
      <c r="AE85" s="729"/>
      <c r="AF85" s="729"/>
    </row>
    <row r="86" spans="1:32">
      <c r="A86" s="729"/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729"/>
      <c r="S86" s="729"/>
      <c r="T86" s="729"/>
      <c r="U86" s="729"/>
      <c r="V86" s="729"/>
      <c r="W86" s="729"/>
      <c r="X86" s="729"/>
      <c r="Y86" s="729"/>
      <c r="Z86" s="729"/>
      <c r="AA86" s="729"/>
      <c r="AB86" s="729"/>
      <c r="AC86" s="729"/>
      <c r="AD86" s="729"/>
      <c r="AE86" s="729"/>
      <c r="AF86" s="729"/>
    </row>
    <row r="87" spans="1:32">
      <c r="A87" s="729"/>
      <c r="B87" s="674"/>
      <c r="C87" s="674"/>
      <c r="D87" s="674"/>
      <c r="E87" s="674"/>
      <c r="F87" s="674"/>
      <c r="G87" s="674"/>
      <c r="H87" s="674"/>
      <c r="I87" s="674"/>
      <c r="J87" s="674"/>
      <c r="K87" s="674"/>
      <c r="L87" s="674"/>
      <c r="M87" s="674"/>
      <c r="N87" s="674"/>
      <c r="O87" s="674"/>
      <c r="P87" s="674"/>
      <c r="Q87" s="674"/>
      <c r="R87" s="729"/>
      <c r="S87" s="729"/>
      <c r="T87" s="729"/>
      <c r="U87" s="729"/>
      <c r="V87" s="729"/>
      <c r="W87" s="729"/>
      <c r="X87" s="729"/>
      <c r="Y87" s="729"/>
      <c r="Z87" s="729"/>
      <c r="AA87" s="729"/>
      <c r="AB87" s="729"/>
      <c r="AC87" s="729"/>
      <c r="AD87" s="729"/>
      <c r="AE87" s="729"/>
      <c r="AF87" s="729"/>
    </row>
    <row r="88" spans="1:32">
      <c r="A88" s="729"/>
      <c r="B88" s="674"/>
      <c r="C88" s="674"/>
      <c r="D88" s="674"/>
      <c r="E88" s="674"/>
      <c r="F88" s="674"/>
      <c r="G88" s="674"/>
      <c r="H88" s="674"/>
      <c r="I88" s="674"/>
      <c r="J88" s="674"/>
      <c r="K88" s="674"/>
      <c r="L88" s="674"/>
      <c r="M88" s="674"/>
      <c r="N88" s="674"/>
      <c r="O88" s="674"/>
      <c r="P88" s="674"/>
      <c r="Q88" s="674"/>
      <c r="R88" s="729"/>
      <c r="S88" s="729"/>
      <c r="T88" s="729"/>
      <c r="U88" s="729"/>
      <c r="V88" s="729"/>
      <c r="W88" s="729"/>
      <c r="X88" s="729"/>
      <c r="Y88" s="729"/>
      <c r="Z88" s="729"/>
      <c r="AA88" s="729"/>
      <c r="AB88" s="729"/>
      <c r="AC88" s="729"/>
      <c r="AD88" s="729"/>
      <c r="AE88" s="729"/>
      <c r="AF88" s="729"/>
    </row>
    <row r="89" spans="1:32">
      <c r="A89" s="729"/>
      <c r="B89" s="674"/>
      <c r="C89" s="674"/>
      <c r="D89" s="674"/>
      <c r="E89" s="674"/>
      <c r="F89" s="674"/>
      <c r="G89" s="674"/>
      <c r="H89" s="674"/>
      <c r="I89" s="674"/>
      <c r="J89" s="674"/>
      <c r="K89" s="674"/>
      <c r="L89" s="674"/>
      <c r="M89" s="674"/>
      <c r="N89" s="674"/>
      <c r="O89" s="674"/>
      <c r="P89" s="674"/>
      <c r="Q89" s="674"/>
      <c r="R89" s="729"/>
      <c r="S89" s="729"/>
      <c r="T89" s="729"/>
      <c r="U89" s="729"/>
      <c r="V89" s="729"/>
      <c r="W89" s="729"/>
      <c r="X89" s="729"/>
      <c r="Y89" s="729"/>
      <c r="Z89" s="729"/>
      <c r="AA89" s="729"/>
      <c r="AB89" s="729"/>
      <c r="AC89" s="729"/>
      <c r="AD89" s="729"/>
      <c r="AE89" s="729"/>
      <c r="AF89" s="729"/>
    </row>
    <row r="90" spans="1:32">
      <c r="A90" s="729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4"/>
      <c r="P90" s="674"/>
      <c r="Q90" s="674"/>
      <c r="R90" s="729"/>
      <c r="S90" s="729"/>
      <c r="T90" s="729"/>
      <c r="U90" s="729"/>
      <c r="V90" s="729"/>
      <c r="W90" s="729"/>
      <c r="X90" s="729"/>
      <c r="Y90" s="729"/>
      <c r="Z90" s="729"/>
      <c r="AA90" s="729"/>
      <c r="AB90" s="729"/>
      <c r="AC90" s="729"/>
      <c r="AD90" s="729"/>
      <c r="AE90" s="729"/>
      <c r="AF90" s="729"/>
    </row>
    <row r="91" spans="1:32">
      <c r="A91" s="729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4"/>
      <c r="P91" s="674"/>
      <c r="Q91" s="674"/>
      <c r="R91" s="729"/>
      <c r="S91" s="729"/>
      <c r="T91" s="729"/>
      <c r="U91" s="729"/>
      <c r="V91" s="729"/>
      <c r="W91" s="729"/>
      <c r="X91" s="729"/>
      <c r="Y91" s="729"/>
      <c r="Z91" s="729"/>
      <c r="AA91" s="729"/>
      <c r="AB91" s="729"/>
      <c r="AC91" s="729"/>
      <c r="AD91" s="729"/>
      <c r="AE91" s="729"/>
      <c r="AF91" s="729"/>
    </row>
    <row r="92" spans="1:32">
      <c r="A92" s="729"/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729"/>
      <c r="S92" s="729"/>
      <c r="T92" s="729"/>
      <c r="U92" s="729"/>
      <c r="V92" s="729"/>
      <c r="W92" s="729"/>
      <c r="X92" s="729"/>
      <c r="Y92" s="729"/>
      <c r="Z92" s="729"/>
      <c r="AA92" s="729"/>
      <c r="AB92" s="729"/>
      <c r="AC92" s="729"/>
      <c r="AD92" s="729"/>
      <c r="AE92" s="729"/>
      <c r="AF92" s="729"/>
    </row>
    <row r="93" spans="1:32">
      <c r="A93" s="729"/>
      <c r="B93" s="674"/>
      <c r="C93" s="674"/>
      <c r="D93" s="674"/>
      <c r="E93" s="674"/>
      <c r="F93" s="674"/>
      <c r="G93" s="674"/>
      <c r="H93" s="674"/>
      <c r="I93" s="674"/>
      <c r="J93" s="674"/>
      <c r="K93" s="674"/>
      <c r="L93" s="674"/>
      <c r="M93" s="674"/>
      <c r="N93" s="674"/>
      <c r="O93" s="674"/>
      <c r="P93" s="674"/>
      <c r="Q93" s="674"/>
      <c r="R93" s="729"/>
      <c r="S93" s="729"/>
      <c r="T93" s="729"/>
      <c r="U93" s="729"/>
      <c r="V93" s="729"/>
      <c r="W93" s="729"/>
      <c r="X93" s="729"/>
      <c r="Y93" s="729"/>
      <c r="Z93" s="729"/>
      <c r="AA93" s="729"/>
      <c r="AB93" s="729"/>
      <c r="AC93" s="729"/>
      <c r="AD93" s="729"/>
      <c r="AE93" s="729"/>
      <c r="AF93" s="729"/>
    </row>
    <row r="94" spans="1:32">
      <c r="A94" s="729"/>
      <c r="B94" s="674"/>
      <c r="C94" s="674"/>
      <c r="D94" s="674"/>
      <c r="E94" s="674"/>
      <c r="F94" s="674"/>
      <c r="G94" s="674"/>
      <c r="H94" s="674"/>
      <c r="I94" s="674"/>
      <c r="J94" s="674"/>
      <c r="K94" s="674"/>
      <c r="L94" s="674"/>
      <c r="M94" s="674"/>
      <c r="N94" s="674"/>
      <c r="O94" s="674"/>
      <c r="P94" s="674"/>
      <c r="Q94" s="674"/>
      <c r="R94" s="729"/>
      <c r="S94" s="729"/>
      <c r="T94" s="729"/>
      <c r="U94" s="729"/>
      <c r="V94" s="729"/>
      <c r="W94" s="729"/>
      <c r="X94" s="729"/>
      <c r="Y94" s="729"/>
      <c r="Z94" s="729"/>
      <c r="AA94" s="729"/>
      <c r="AB94" s="729"/>
      <c r="AC94" s="729"/>
      <c r="AD94" s="729"/>
      <c r="AE94" s="729"/>
      <c r="AF94" s="729"/>
    </row>
    <row r="95" spans="1:32">
      <c r="A95" s="729"/>
      <c r="B95" s="674"/>
      <c r="C95" s="674"/>
      <c r="D95" s="674"/>
      <c r="E95" s="674"/>
      <c r="F95" s="674"/>
      <c r="G95" s="674"/>
      <c r="H95" s="674"/>
      <c r="I95" s="674"/>
      <c r="J95" s="674"/>
      <c r="K95" s="674"/>
      <c r="L95" s="674"/>
      <c r="M95" s="674"/>
      <c r="N95" s="674"/>
      <c r="O95" s="674"/>
      <c r="P95" s="674"/>
      <c r="Q95" s="674"/>
      <c r="R95" s="729"/>
      <c r="S95" s="729"/>
      <c r="T95" s="729"/>
      <c r="U95" s="729"/>
      <c r="V95" s="729"/>
      <c r="W95" s="729"/>
      <c r="X95" s="729"/>
      <c r="Y95" s="729"/>
      <c r="Z95" s="729"/>
      <c r="AA95" s="729"/>
      <c r="AB95" s="729"/>
      <c r="AC95" s="729"/>
      <c r="AD95" s="729"/>
      <c r="AE95" s="729"/>
      <c r="AF95" s="729"/>
    </row>
    <row r="96" spans="1:32">
      <c r="A96" s="729"/>
      <c r="B96" s="674"/>
      <c r="C96" s="674"/>
      <c r="D96" s="674"/>
      <c r="E96" s="674"/>
      <c r="F96" s="674"/>
      <c r="G96" s="674"/>
      <c r="H96" s="674"/>
      <c r="I96" s="674"/>
      <c r="J96" s="674"/>
      <c r="K96" s="674"/>
      <c r="L96" s="674"/>
      <c r="M96" s="674"/>
      <c r="N96" s="674"/>
      <c r="O96" s="674"/>
      <c r="P96" s="674"/>
      <c r="Q96" s="674"/>
      <c r="R96" s="729"/>
      <c r="S96" s="729"/>
      <c r="T96" s="729"/>
      <c r="U96" s="729"/>
      <c r="V96" s="729"/>
      <c r="W96" s="729"/>
      <c r="X96" s="729"/>
      <c r="Y96" s="729"/>
      <c r="Z96" s="729"/>
      <c r="AA96" s="729"/>
      <c r="AB96" s="729"/>
      <c r="AC96" s="729"/>
      <c r="AD96" s="729"/>
      <c r="AE96" s="729"/>
      <c r="AF96" s="729"/>
    </row>
    <row r="97" spans="1:32">
      <c r="A97" s="729"/>
      <c r="B97" s="674"/>
      <c r="C97" s="674"/>
      <c r="D97" s="674"/>
      <c r="E97" s="674"/>
      <c r="F97" s="674"/>
      <c r="G97" s="674"/>
      <c r="H97" s="674"/>
      <c r="I97" s="674"/>
      <c r="J97" s="674"/>
      <c r="K97" s="674"/>
      <c r="L97" s="674"/>
      <c r="M97" s="674"/>
      <c r="N97" s="674"/>
      <c r="O97" s="674"/>
      <c r="P97" s="674"/>
      <c r="Q97" s="674"/>
      <c r="R97" s="729"/>
      <c r="S97" s="729"/>
      <c r="T97" s="729"/>
      <c r="U97" s="729"/>
      <c r="V97" s="729"/>
      <c r="W97" s="729"/>
      <c r="X97" s="729"/>
      <c r="Y97" s="729"/>
      <c r="Z97" s="729"/>
      <c r="AA97" s="729"/>
      <c r="AB97" s="729"/>
      <c r="AC97" s="729"/>
      <c r="AD97" s="729"/>
      <c r="AE97" s="729"/>
      <c r="AF97" s="729"/>
    </row>
    <row r="98" spans="1:32">
      <c r="A98" s="729"/>
      <c r="B98" s="674"/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74"/>
      <c r="Q98" s="674"/>
      <c r="R98" s="729"/>
      <c r="S98" s="729"/>
      <c r="T98" s="729"/>
      <c r="U98" s="729"/>
      <c r="V98" s="729"/>
      <c r="W98" s="729"/>
      <c r="X98" s="729"/>
      <c r="Y98" s="729"/>
      <c r="Z98" s="729"/>
      <c r="AA98" s="729"/>
      <c r="AB98" s="729"/>
      <c r="AC98" s="729"/>
      <c r="AD98" s="729"/>
      <c r="AE98" s="729"/>
      <c r="AF98" s="729"/>
    </row>
    <row r="99" spans="1:32">
      <c r="A99" s="729"/>
      <c r="B99" s="674"/>
      <c r="C99" s="674"/>
      <c r="D99" s="674"/>
      <c r="E99" s="674"/>
      <c r="F99" s="674"/>
      <c r="G99" s="674"/>
      <c r="H99" s="674"/>
      <c r="I99" s="674"/>
      <c r="J99" s="674"/>
      <c r="K99" s="674"/>
      <c r="L99" s="674"/>
      <c r="M99" s="674"/>
      <c r="N99" s="674"/>
      <c r="O99" s="674"/>
      <c r="P99" s="674"/>
      <c r="Q99" s="674"/>
      <c r="R99" s="729"/>
      <c r="S99" s="729"/>
      <c r="T99" s="729"/>
      <c r="U99" s="729"/>
      <c r="V99" s="729"/>
      <c r="W99" s="729"/>
      <c r="X99" s="729"/>
      <c r="Y99" s="729"/>
      <c r="Z99" s="729"/>
      <c r="AA99" s="729"/>
      <c r="AB99" s="729"/>
      <c r="AC99" s="729"/>
      <c r="AD99" s="729"/>
      <c r="AE99" s="729"/>
      <c r="AF99" s="729"/>
    </row>
    <row r="100" spans="1:32">
      <c r="A100" s="729"/>
      <c r="B100" s="674"/>
      <c r="C100" s="674"/>
      <c r="D100" s="674"/>
      <c r="E100" s="674"/>
      <c r="F100" s="674"/>
      <c r="G100" s="674"/>
      <c r="H100" s="674"/>
      <c r="I100" s="674"/>
      <c r="J100" s="674"/>
      <c r="K100" s="674"/>
      <c r="L100" s="674"/>
      <c r="M100" s="674"/>
      <c r="N100" s="674"/>
      <c r="O100" s="674"/>
      <c r="P100" s="674"/>
      <c r="Q100" s="674"/>
      <c r="R100" s="729"/>
      <c r="S100" s="729"/>
      <c r="T100" s="729"/>
      <c r="U100" s="729"/>
      <c r="V100" s="729"/>
      <c r="W100" s="729"/>
      <c r="X100" s="729"/>
      <c r="Y100" s="729"/>
      <c r="Z100" s="729"/>
      <c r="AA100" s="729"/>
      <c r="AB100" s="729"/>
      <c r="AC100" s="729"/>
      <c r="AD100" s="729"/>
      <c r="AE100" s="729"/>
      <c r="AF100" s="729"/>
    </row>
    <row r="101" spans="1:32">
      <c r="A101" s="729"/>
      <c r="B101" s="674"/>
      <c r="C101" s="674"/>
      <c r="D101" s="674"/>
      <c r="E101" s="674"/>
      <c r="F101" s="674"/>
      <c r="G101" s="674"/>
      <c r="H101" s="674"/>
      <c r="I101" s="674"/>
      <c r="J101" s="674"/>
      <c r="K101" s="674"/>
      <c r="L101" s="674"/>
      <c r="M101" s="674"/>
      <c r="N101" s="674"/>
      <c r="O101" s="674"/>
      <c r="P101" s="674"/>
      <c r="Q101" s="674"/>
      <c r="R101" s="729"/>
      <c r="S101" s="729"/>
      <c r="T101" s="729"/>
      <c r="U101" s="729"/>
      <c r="V101" s="729"/>
      <c r="W101" s="729"/>
      <c r="X101" s="729"/>
      <c r="Y101" s="729"/>
      <c r="Z101" s="729"/>
      <c r="AA101" s="729"/>
      <c r="AB101" s="729"/>
      <c r="AC101" s="729"/>
      <c r="AD101" s="729"/>
      <c r="AE101" s="729"/>
      <c r="AF101" s="729"/>
    </row>
    <row r="102" spans="1:32">
      <c r="A102" s="729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4"/>
      <c r="P102" s="674"/>
      <c r="Q102" s="674"/>
      <c r="R102" s="729"/>
      <c r="S102" s="729"/>
      <c r="T102" s="729"/>
      <c r="U102" s="729"/>
      <c r="V102" s="729"/>
      <c r="W102" s="729"/>
      <c r="X102" s="729"/>
      <c r="Y102" s="729"/>
      <c r="Z102" s="729"/>
      <c r="AA102" s="729"/>
      <c r="AB102" s="729"/>
      <c r="AC102" s="729"/>
      <c r="AD102" s="729"/>
      <c r="AE102" s="729"/>
      <c r="AF102" s="729"/>
    </row>
    <row r="103" spans="1:32">
      <c r="A103" s="729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4"/>
      <c r="P103" s="674"/>
      <c r="Q103" s="674"/>
      <c r="R103" s="729"/>
      <c r="S103" s="729"/>
      <c r="T103" s="729"/>
      <c r="U103" s="729"/>
      <c r="V103" s="729"/>
      <c r="W103" s="729"/>
      <c r="X103" s="729"/>
      <c r="Y103" s="729"/>
      <c r="Z103" s="729"/>
      <c r="AA103" s="729"/>
      <c r="AB103" s="729"/>
      <c r="AC103" s="729"/>
      <c r="AD103" s="729"/>
      <c r="AE103" s="729"/>
      <c r="AF103" s="729"/>
    </row>
    <row r="104" spans="1:32">
      <c r="A104" s="729"/>
      <c r="B104" s="464" t="s">
        <v>1142</v>
      </c>
      <c r="C104" s="464"/>
      <c r="D104" s="464"/>
      <c r="E104" s="464"/>
      <c r="F104" s="464"/>
      <c r="G104" s="464"/>
      <c r="H104" s="464"/>
      <c r="I104" s="464"/>
      <c r="J104" s="464"/>
      <c r="K104" s="464"/>
      <c r="L104" s="464"/>
      <c r="M104" s="464"/>
      <c r="N104" s="464"/>
      <c r="O104" s="464"/>
      <c r="P104" s="464"/>
      <c r="Q104" s="464"/>
      <c r="R104" s="729"/>
      <c r="S104" s="729"/>
      <c r="T104" s="729"/>
      <c r="U104" s="729"/>
      <c r="V104" s="729"/>
      <c r="W104" s="729"/>
      <c r="X104" s="729"/>
      <c r="Y104" s="729"/>
      <c r="Z104" s="729"/>
      <c r="AA104" s="729"/>
      <c r="AB104" s="729"/>
      <c r="AC104" s="729"/>
      <c r="AD104" s="729"/>
      <c r="AE104" s="729"/>
      <c r="AF104" s="729"/>
    </row>
    <row r="105" spans="1:32">
      <c r="A105" s="729"/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729"/>
      <c r="S105" s="729"/>
      <c r="T105" s="729"/>
      <c r="U105" s="729"/>
      <c r="V105" s="729"/>
      <c r="W105" s="729"/>
      <c r="X105" s="729"/>
      <c r="Y105" s="729"/>
      <c r="Z105" s="729"/>
      <c r="AA105" s="729"/>
      <c r="AB105" s="729"/>
      <c r="AC105" s="729"/>
      <c r="AD105" s="729"/>
      <c r="AE105" s="729"/>
      <c r="AF105" s="729"/>
    </row>
    <row r="106" spans="1:32" ht="30" customHeight="1">
      <c r="A106" s="729"/>
      <c r="B106" s="616" t="s">
        <v>371</v>
      </c>
      <c r="C106" s="615" t="s">
        <v>287</v>
      </c>
      <c r="D106" s="615"/>
      <c r="E106" s="615" t="s">
        <v>288</v>
      </c>
      <c r="F106" s="615"/>
      <c r="G106" s="615" t="s">
        <v>289</v>
      </c>
      <c r="H106" s="615"/>
      <c r="I106" s="615" t="s">
        <v>290</v>
      </c>
      <c r="J106" s="615"/>
      <c r="K106" s="615" t="s">
        <v>878</v>
      </c>
      <c r="L106" s="615"/>
      <c r="M106" s="615" t="s">
        <v>882</v>
      </c>
      <c r="N106" s="615"/>
      <c r="O106" s="461"/>
      <c r="P106" s="461"/>
      <c r="Q106" s="461"/>
      <c r="R106" s="729"/>
      <c r="S106" s="729"/>
      <c r="T106" s="729"/>
      <c r="U106" s="729"/>
      <c r="V106" s="729"/>
      <c r="W106" s="729"/>
      <c r="X106" s="729"/>
      <c r="Y106" s="729"/>
      <c r="Z106" s="729"/>
      <c r="AA106" s="729"/>
      <c r="AB106" s="729"/>
      <c r="AC106" s="729"/>
      <c r="AD106" s="729"/>
      <c r="AE106" s="729"/>
      <c r="AF106" s="729"/>
    </row>
    <row r="107" spans="1:32" ht="30" customHeight="1">
      <c r="A107" s="729"/>
      <c r="B107" s="616" t="s">
        <v>1135</v>
      </c>
      <c r="C107" s="614" t="s">
        <v>1136</v>
      </c>
      <c r="D107" s="614" t="s">
        <v>1137</v>
      </c>
      <c r="E107" s="614" t="s">
        <v>1136</v>
      </c>
      <c r="F107" s="614" t="s">
        <v>1137</v>
      </c>
      <c r="G107" s="614" t="s">
        <v>1136</v>
      </c>
      <c r="H107" s="614" t="s">
        <v>1137</v>
      </c>
      <c r="I107" s="614" t="s">
        <v>1136</v>
      </c>
      <c r="J107" s="614" t="s">
        <v>1137</v>
      </c>
      <c r="K107" s="614" t="s">
        <v>1136</v>
      </c>
      <c r="L107" s="614" t="s">
        <v>1137</v>
      </c>
      <c r="M107" s="614" t="s">
        <v>1136</v>
      </c>
      <c r="N107" s="614" t="s">
        <v>1137</v>
      </c>
      <c r="O107" s="461"/>
      <c r="P107" s="461"/>
      <c r="Q107" s="461"/>
      <c r="R107" s="729"/>
      <c r="S107" s="729"/>
      <c r="T107" s="729"/>
      <c r="U107" s="729"/>
      <c r="V107" s="729"/>
      <c r="W107" s="729"/>
      <c r="X107" s="729"/>
      <c r="Y107" s="729"/>
      <c r="Z107" s="729"/>
      <c r="AA107" s="729"/>
      <c r="AB107" s="729"/>
      <c r="AC107" s="729"/>
      <c r="AD107" s="729"/>
      <c r="AE107" s="729"/>
      <c r="AF107" s="729"/>
    </row>
    <row r="108" spans="1:32">
      <c r="A108" s="729"/>
      <c r="B108" s="909" t="s">
        <v>1138</v>
      </c>
      <c r="C108" s="910">
        <v>227928.83</v>
      </c>
      <c r="D108" s="911">
        <f>+C108</f>
        <v>227928.83</v>
      </c>
      <c r="E108" s="911">
        <f>+D108</f>
        <v>227928.83</v>
      </c>
      <c r="F108" s="910">
        <v>239271</v>
      </c>
      <c r="G108" s="911">
        <f>+F108</f>
        <v>239271</v>
      </c>
      <c r="H108" s="910">
        <v>243471</v>
      </c>
      <c r="I108" s="911">
        <f>+H108</f>
        <v>243471</v>
      </c>
      <c r="J108" s="910">
        <v>243471</v>
      </c>
      <c r="K108" s="911">
        <f>+J108</f>
        <v>243471</v>
      </c>
      <c r="L108" s="910">
        <v>247393</v>
      </c>
      <c r="M108" s="911">
        <f>+L108</f>
        <v>247393</v>
      </c>
      <c r="N108" s="910">
        <v>249580</v>
      </c>
      <c r="O108" s="674"/>
      <c r="P108" s="674"/>
      <c r="Q108" s="674"/>
      <c r="R108" s="729"/>
      <c r="S108" s="729"/>
      <c r="T108" s="729"/>
      <c r="U108" s="729"/>
      <c r="V108" s="729"/>
      <c r="W108" s="729"/>
      <c r="X108" s="729"/>
      <c r="Y108" s="729"/>
      <c r="Z108" s="729"/>
      <c r="AA108" s="729"/>
      <c r="AB108" s="729"/>
      <c r="AC108" s="729"/>
      <c r="AD108" s="729"/>
      <c r="AE108" s="729"/>
      <c r="AF108" s="729"/>
    </row>
    <row r="109" spans="1:32">
      <c r="A109" s="729"/>
      <c r="B109" s="909" t="s">
        <v>1139</v>
      </c>
      <c r="C109" s="910">
        <v>145619</v>
      </c>
      <c r="D109" s="910">
        <v>128981</v>
      </c>
      <c r="E109" s="911">
        <f t="shared" ref="E109:E111" si="11">+D109</f>
        <v>128981</v>
      </c>
      <c r="F109" s="910">
        <v>119379</v>
      </c>
      <c r="G109" s="911">
        <f t="shared" ref="G109:G111" si="12">+F109</f>
        <v>119379</v>
      </c>
      <c r="H109" s="910">
        <v>103188</v>
      </c>
      <c r="I109" s="911">
        <f t="shared" ref="I109:I111" si="13">+H109</f>
        <v>103188</v>
      </c>
      <c r="J109" s="910">
        <v>95037</v>
      </c>
      <c r="K109" s="911">
        <f t="shared" ref="K109:K111" si="14">+J109</f>
        <v>95037</v>
      </c>
      <c r="L109" s="910">
        <v>77687</v>
      </c>
      <c r="M109" s="911">
        <f t="shared" ref="M109:M111" si="15">+L109</f>
        <v>77687</v>
      </c>
      <c r="N109" s="910">
        <v>50254</v>
      </c>
      <c r="O109" s="674"/>
      <c r="P109" s="674"/>
      <c r="Q109" s="674"/>
      <c r="R109" s="729"/>
      <c r="S109" s="729"/>
      <c r="T109" s="729"/>
      <c r="U109" s="729"/>
      <c r="V109" s="729"/>
      <c r="W109" s="729"/>
      <c r="X109" s="729"/>
      <c r="Y109" s="729"/>
      <c r="Z109" s="729"/>
      <c r="AA109" s="729"/>
      <c r="AB109" s="729"/>
      <c r="AC109" s="729"/>
      <c r="AD109" s="729"/>
      <c r="AE109" s="729"/>
      <c r="AF109" s="729"/>
    </row>
    <row r="110" spans="1:32">
      <c r="A110" s="729"/>
      <c r="B110" s="909" t="s">
        <v>1140</v>
      </c>
      <c r="C110" s="911">
        <f>92028000/3790</f>
        <v>24281.794195250659</v>
      </c>
      <c r="D110" s="910">
        <v>23914</v>
      </c>
      <c r="E110" s="911">
        <f t="shared" si="11"/>
        <v>23914</v>
      </c>
      <c r="F110" s="910">
        <v>25287</v>
      </c>
      <c r="G110" s="911">
        <f t="shared" si="12"/>
        <v>25287</v>
      </c>
      <c r="H110" s="910">
        <v>25739</v>
      </c>
      <c r="I110" s="911">
        <f t="shared" si="13"/>
        <v>25739</v>
      </c>
      <c r="J110" s="910">
        <v>47170</v>
      </c>
      <c r="K110" s="911">
        <f t="shared" si="14"/>
        <v>47170</v>
      </c>
      <c r="L110" s="910">
        <v>47460</v>
      </c>
      <c r="M110" s="911">
        <f t="shared" si="15"/>
        <v>47460</v>
      </c>
      <c r="N110" s="910">
        <v>20928</v>
      </c>
      <c r="O110" s="674"/>
      <c r="P110" s="674"/>
      <c r="Q110" s="674"/>
      <c r="R110" s="729"/>
      <c r="S110" s="729"/>
      <c r="T110" s="729"/>
      <c r="U110" s="729"/>
      <c r="V110" s="729"/>
      <c r="W110" s="729"/>
      <c r="X110" s="729"/>
      <c r="Y110" s="729"/>
      <c r="Z110" s="729"/>
      <c r="AA110" s="729"/>
      <c r="AB110" s="729"/>
      <c r="AC110" s="729"/>
      <c r="AD110" s="729"/>
      <c r="AE110" s="729"/>
      <c r="AF110" s="729"/>
    </row>
    <row r="111" spans="1:32">
      <c r="A111" s="729"/>
      <c r="B111" s="909" t="s">
        <v>1141</v>
      </c>
      <c r="C111" s="911">
        <f>231140000/3790</f>
        <v>60986.807387862798</v>
      </c>
      <c r="D111" s="910">
        <v>42970</v>
      </c>
      <c r="E111" s="911">
        <f t="shared" si="11"/>
        <v>42970</v>
      </c>
      <c r="F111" s="910">
        <v>74142</v>
      </c>
      <c r="G111" s="911">
        <f t="shared" si="12"/>
        <v>74142</v>
      </c>
      <c r="H111" s="910">
        <v>47690</v>
      </c>
      <c r="I111" s="911">
        <f t="shared" si="13"/>
        <v>47690</v>
      </c>
      <c r="J111" s="910">
        <v>32978</v>
      </c>
      <c r="K111" s="911">
        <f t="shared" si="14"/>
        <v>32978</v>
      </c>
      <c r="L111" s="910">
        <v>14482</v>
      </c>
      <c r="M111" s="911">
        <f t="shared" si="15"/>
        <v>14482</v>
      </c>
      <c r="N111" s="910">
        <v>38582</v>
      </c>
      <c r="O111" s="674"/>
      <c r="P111" s="674"/>
      <c r="Q111" s="674"/>
      <c r="R111" s="729"/>
      <c r="S111" s="729"/>
      <c r="T111" s="729"/>
      <c r="U111" s="729"/>
      <c r="V111" s="729"/>
      <c r="W111" s="729"/>
      <c r="X111" s="729"/>
      <c r="Y111" s="729"/>
      <c r="Z111" s="729"/>
      <c r="AA111" s="729"/>
      <c r="AB111" s="729"/>
      <c r="AC111" s="729"/>
      <c r="AD111" s="729"/>
      <c r="AE111" s="729"/>
      <c r="AF111" s="729"/>
    </row>
    <row r="112" spans="1:32">
      <c r="A112" s="729"/>
      <c r="B112" s="729"/>
      <c r="C112" s="729"/>
      <c r="D112" s="729"/>
      <c r="E112" s="729"/>
      <c r="F112" s="729"/>
      <c r="G112" s="729"/>
      <c r="H112" s="729"/>
      <c r="I112" s="729"/>
      <c r="J112" s="729"/>
      <c r="K112" s="729"/>
      <c r="L112" s="729"/>
      <c r="M112" s="729"/>
      <c r="N112" s="729"/>
      <c r="O112" s="729"/>
      <c r="P112" s="729"/>
      <c r="Q112" s="729"/>
      <c r="R112" s="729"/>
      <c r="S112" s="729"/>
      <c r="T112" s="729"/>
      <c r="U112" s="729"/>
      <c r="V112" s="729"/>
      <c r="W112" s="729"/>
      <c r="X112" s="729"/>
      <c r="Y112" s="729"/>
      <c r="Z112" s="729"/>
      <c r="AA112" s="729"/>
      <c r="AB112" s="729"/>
      <c r="AC112" s="729"/>
      <c r="AD112" s="729"/>
      <c r="AE112" s="729"/>
      <c r="AF112" s="729"/>
    </row>
    <row r="113" spans="1:32">
      <c r="A113" s="729"/>
      <c r="B113" s="729"/>
      <c r="C113" s="729"/>
      <c r="D113" s="729"/>
      <c r="E113" s="729"/>
      <c r="F113" s="729"/>
      <c r="G113" s="729"/>
      <c r="H113" s="729"/>
      <c r="I113" s="729"/>
      <c r="J113" s="729"/>
      <c r="K113" s="729"/>
      <c r="L113" s="729"/>
      <c r="M113" s="729"/>
      <c r="N113" s="729"/>
      <c r="O113" s="729"/>
      <c r="P113" s="729"/>
      <c r="Q113" s="729"/>
      <c r="R113" s="729"/>
      <c r="S113" s="729"/>
      <c r="T113" s="729"/>
      <c r="U113" s="729"/>
      <c r="V113" s="729"/>
      <c r="W113" s="729"/>
      <c r="X113" s="729"/>
      <c r="Y113" s="729"/>
      <c r="Z113" s="729"/>
      <c r="AA113" s="729"/>
      <c r="AB113" s="729"/>
      <c r="AC113" s="729"/>
      <c r="AD113" s="729"/>
      <c r="AE113" s="729"/>
      <c r="AF113" s="729"/>
    </row>
    <row r="114" spans="1:32">
      <c r="A114" s="729"/>
      <c r="B114" s="729"/>
      <c r="C114" s="729"/>
      <c r="D114" s="729"/>
      <c r="E114" s="729"/>
      <c r="F114" s="729"/>
      <c r="G114" s="729"/>
      <c r="H114" s="729"/>
      <c r="I114" s="729"/>
      <c r="J114" s="729"/>
      <c r="K114" s="729"/>
      <c r="L114" s="729"/>
      <c r="M114" s="729"/>
      <c r="N114" s="729"/>
      <c r="O114" s="729"/>
      <c r="P114" s="729"/>
      <c r="Q114" s="729"/>
      <c r="R114" s="729"/>
      <c r="S114" s="729"/>
      <c r="T114" s="729"/>
      <c r="U114" s="729"/>
      <c r="V114" s="729"/>
      <c r="W114" s="729"/>
      <c r="X114" s="729"/>
      <c r="Y114" s="729"/>
      <c r="Z114" s="729"/>
      <c r="AA114" s="729"/>
      <c r="AB114" s="729"/>
      <c r="AC114" s="729"/>
      <c r="AD114" s="729"/>
      <c r="AE114" s="729"/>
      <c r="AF114" s="729"/>
    </row>
    <row r="115" spans="1:32">
      <c r="A115" s="729"/>
      <c r="B115" s="729"/>
      <c r="C115" s="729"/>
      <c r="D115" s="729"/>
      <c r="E115" s="729"/>
      <c r="F115" s="729"/>
      <c r="G115" s="729"/>
      <c r="H115" s="729"/>
      <c r="I115" s="729"/>
      <c r="J115" s="729"/>
      <c r="K115" s="729"/>
      <c r="L115" s="729"/>
      <c r="M115" s="729"/>
      <c r="N115" s="729"/>
      <c r="O115" s="729"/>
      <c r="P115" s="729"/>
      <c r="Q115" s="729"/>
      <c r="R115" s="729"/>
      <c r="S115" s="729"/>
      <c r="T115" s="729"/>
      <c r="U115" s="729"/>
      <c r="V115" s="729"/>
      <c r="W115" s="729"/>
      <c r="X115" s="729"/>
      <c r="Y115" s="729"/>
      <c r="Z115" s="729"/>
      <c r="AA115" s="729"/>
      <c r="AB115" s="729"/>
      <c r="AC115" s="729"/>
      <c r="AD115" s="729"/>
      <c r="AE115" s="729"/>
      <c r="AF115" s="729"/>
    </row>
    <row r="116" spans="1:3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29"/>
      <c r="P116" s="729"/>
      <c r="Q116" s="729"/>
      <c r="R116" s="729"/>
      <c r="S116" s="729"/>
      <c r="T116" s="729"/>
      <c r="U116" s="729"/>
      <c r="V116" s="729"/>
      <c r="W116" s="729"/>
      <c r="X116" s="729"/>
      <c r="Y116" s="729"/>
      <c r="Z116" s="729"/>
      <c r="AA116" s="729"/>
      <c r="AB116" s="729"/>
      <c r="AC116" s="729"/>
      <c r="AD116" s="729"/>
      <c r="AE116" s="729"/>
      <c r="AF116" s="729"/>
    </row>
    <row r="117" spans="1:3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29"/>
      <c r="P117" s="729"/>
      <c r="Q117" s="729"/>
      <c r="R117" s="729"/>
      <c r="S117" s="729"/>
      <c r="T117" s="729"/>
      <c r="U117" s="729"/>
      <c r="V117" s="729"/>
      <c r="W117" s="729"/>
      <c r="X117" s="729"/>
      <c r="Y117" s="729"/>
      <c r="Z117" s="729"/>
      <c r="AA117" s="729"/>
      <c r="AB117" s="729"/>
      <c r="AC117" s="729"/>
      <c r="AD117" s="729"/>
      <c r="AE117" s="729"/>
      <c r="AF117" s="729"/>
    </row>
    <row r="118" spans="1:32">
      <c r="A118" s="729"/>
      <c r="B118" s="729"/>
      <c r="C118" s="729"/>
      <c r="D118" s="729"/>
      <c r="E118" s="729"/>
      <c r="F118" s="729"/>
      <c r="G118" s="729"/>
      <c r="H118" s="729"/>
      <c r="I118" s="729"/>
      <c r="J118" s="729"/>
      <c r="K118" s="729"/>
      <c r="L118" s="729"/>
      <c r="M118" s="729"/>
      <c r="N118" s="729"/>
      <c r="O118" s="729"/>
      <c r="P118" s="729"/>
      <c r="Q118" s="729"/>
      <c r="R118" s="729"/>
      <c r="S118" s="729"/>
      <c r="T118" s="729"/>
      <c r="U118" s="729"/>
      <c r="V118" s="729"/>
      <c r="W118" s="729"/>
      <c r="X118" s="729"/>
      <c r="Y118" s="729"/>
      <c r="Z118" s="729"/>
      <c r="AA118" s="729"/>
      <c r="AB118" s="729"/>
      <c r="AC118" s="729"/>
      <c r="AD118" s="729"/>
      <c r="AE118" s="729"/>
      <c r="AF118" s="729"/>
    </row>
    <row r="119" spans="1:32">
      <c r="A119" s="729"/>
      <c r="B119" s="729"/>
      <c r="C119" s="729"/>
      <c r="D119" s="729"/>
      <c r="E119" s="729"/>
      <c r="F119" s="729"/>
      <c r="G119" s="729"/>
      <c r="H119" s="729"/>
      <c r="I119" s="729"/>
      <c r="J119" s="729"/>
      <c r="K119" s="729"/>
      <c r="L119" s="729"/>
      <c r="M119" s="729"/>
      <c r="N119" s="729"/>
      <c r="O119" s="729"/>
      <c r="P119" s="729"/>
      <c r="Q119" s="729"/>
      <c r="R119" s="729"/>
      <c r="S119" s="729"/>
      <c r="T119" s="729"/>
      <c r="U119" s="729"/>
      <c r="V119" s="729"/>
      <c r="W119" s="729"/>
      <c r="X119" s="729"/>
      <c r="Y119" s="729"/>
      <c r="Z119" s="729"/>
      <c r="AA119" s="729"/>
      <c r="AB119" s="729"/>
      <c r="AC119" s="729"/>
      <c r="AD119" s="729"/>
      <c r="AE119" s="729"/>
      <c r="AF119" s="729"/>
    </row>
    <row r="120" spans="1:32">
      <c r="A120" s="729"/>
      <c r="B120" s="729"/>
      <c r="C120" s="729"/>
      <c r="D120" s="729"/>
      <c r="E120" s="729"/>
      <c r="F120" s="729"/>
      <c r="G120" s="729"/>
      <c r="H120" s="729"/>
      <c r="I120" s="729"/>
      <c r="J120" s="729"/>
      <c r="K120" s="729"/>
      <c r="L120" s="729"/>
      <c r="M120" s="729"/>
      <c r="N120" s="729"/>
      <c r="O120" s="729"/>
      <c r="P120" s="729"/>
      <c r="Q120" s="729"/>
      <c r="R120" s="729"/>
      <c r="S120" s="729"/>
      <c r="T120" s="729"/>
      <c r="U120" s="729"/>
      <c r="V120" s="729"/>
      <c r="W120" s="729"/>
      <c r="X120" s="729"/>
      <c r="Y120" s="729"/>
      <c r="Z120" s="729"/>
      <c r="AA120" s="729"/>
      <c r="AB120" s="729"/>
      <c r="AC120" s="729"/>
      <c r="AD120" s="729"/>
      <c r="AE120" s="729"/>
      <c r="AF120" s="729"/>
    </row>
    <row r="121" spans="1:32">
      <c r="A121" s="729"/>
      <c r="B121" s="729"/>
      <c r="C121" s="729"/>
      <c r="D121" s="729"/>
      <c r="E121" s="729"/>
      <c r="F121" s="729"/>
      <c r="G121" s="729"/>
      <c r="H121" s="729"/>
      <c r="I121" s="729"/>
      <c r="J121" s="729"/>
      <c r="K121" s="729"/>
      <c r="L121" s="729"/>
      <c r="M121" s="729"/>
      <c r="N121" s="729"/>
      <c r="O121" s="729"/>
      <c r="P121" s="729"/>
      <c r="Q121" s="729"/>
      <c r="R121" s="729"/>
      <c r="S121" s="729"/>
      <c r="T121" s="729"/>
      <c r="U121" s="729"/>
      <c r="V121" s="729"/>
      <c r="W121" s="729"/>
      <c r="X121" s="729"/>
      <c r="Y121" s="729"/>
      <c r="Z121" s="729"/>
      <c r="AA121" s="729"/>
      <c r="AB121" s="729"/>
      <c r="AC121" s="729"/>
      <c r="AD121" s="729"/>
      <c r="AE121" s="729"/>
      <c r="AF121" s="729"/>
    </row>
    <row r="122" spans="1:32">
      <c r="A122" s="729"/>
      <c r="B122" s="729"/>
      <c r="C122" s="729"/>
      <c r="D122" s="729"/>
      <c r="E122" s="729"/>
      <c r="F122" s="729"/>
      <c r="G122" s="729"/>
      <c r="H122" s="729"/>
      <c r="I122" s="729"/>
      <c r="J122" s="729"/>
      <c r="K122" s="729"/>
      <c r="L122" s="729"/>
      <c r="M122" s="729"/>
      <c r="N122" s="729"/>
      <c r="O122" s="729"/>
      <c r="P122" s="729"/>
      <c r="Q122" s="729"/>
      <c r="R122" s="729"/>
      <c r="S122" s="729"/>
      <c r="T122" s="729"/>
      <c r="U122" s="729"/>
      <c r="V122" s="729"/>
      <c r="W122" s="729"/>
      <c r="X122" s="729"/>
      <c r="Y122" s="729"/>
      <c r="Z122" s="729"/>
      <c r="AA122" s="729"/>
      <c r="AB122" s="729"/>
      <c r="AC122" s="729"/>
      <c r="AD122" s="729"/>
      <c r="AE122" s="729"/>
      <c r="AF122" s="729"/>
    </row>
    <row r="123" spans="1:3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29"/>
      <c r="P123" s="729"/>
      <c r="Q123" s="729"/>
      <c r="R123" s="729"/>
      <c r="S123" s="729"/>
      <c r="T123" s="729"/>
      <c r="U123" s="729"/>
      <c r="V123" s="729"/>
      <c r="W123" s="729"/>
      <c r="X123" s="729"/>
      <c r="Y123" s="729"/>
      <c r="Z123" s="729"/>
      <c r="AA123" s="729"/>
      <c r="AB123" s="729"/>
      <c r="AC123" s="729"/>
      <c r="AD123" s="729"/>
      <c r="AE123" s="729"/>
      <c r="AF123" s="729"/>
    </row>
    <row r="124" spans="1:3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29"/>
      <c r="P124" s="729"/>
      <c r="Q124" s="729"/>
      <c r="R124" s="729"/>
      <c r="S124" s="729"/>
      <c r="T124" s="729"/>
      <c r="U124" s="729"/>
      <c r="V124" s="729"/>
      <c r="W124" s="729"/>
      <c r="X124" s="729"/>
      <c r="Y124" s="729"/>
      <c r="Z124" s="729"/>
      <c r="AA124" s="729"/>
      <c r="AB124" s="729"/>
      <c r="AC124" s="729"/>
      <c r="AD124" s="729"/>
      <c r="AE124" s="729"/>
      <c r="AF124" s="729"/>
    </row>
    <row r="125" spans="1:32">
      <c r="A125" s="729"/>
      <c r="B125" s="729"/>
      <c r="C125" s="729"/>
      <c r="D125" s="729"/>
      <c r="E125" s="729"/>
      <c r="F125" s="729"/>
      <c r="G125" s="729"/>
      <c r="H125" s="729"/>
      <c r="I125" s="729"/>
      <c r="J125" s="729"/>
      <c r="K125" s="729"/>
      <c r="L125" s="729"/>
      <c r="M125" s="729"/>
      <c r="N125" s="729"/>
      <c r="O125" s="729"/>
      <c r="P125" s="729"/>
      <c r="Q125" s="729"/>
      <c r="R125" s="729"/>
      <c r="S125" s="729"/>
      <c r="T125" s="729"/>
      <c r="U125" s="729"/>
      <c r="V125" s="729"/>
      <c r="W125" s="729"/>
      <c r="X125" s="729"/>
      <c r="Y125" s="729"/>
      <c r="Z125" s="729"/>
      <c r="AA125" s="729"/>
      <c r="AB125" s="729"/>
      <c r="AC125" s="729"/>
      <c r="AD125" s="729"/>
      <c r="AE125" s="729"/>
      <c r="AF125" s="729"/>
    </row>
    <row r="126" spans="1:32">
      <c r="A126" s="729"/>
      <c r="B126" s="729"/>
      <c r="C126" s="729"/>
      <c r="D126" s="729"/>
      <c r="E126" s="729"/>
      <c r="F126" s="729"/>
      <c r="G126" s="729"/>
      <c r="H126" s="729"/>
      <c r="I126" s="729"/>
      <c r="J126" s="729"/>
      <c r="K126" s="729"/>
      <c r="L126" s="729"/>
      <c r="M126" s="729"/>
      <c r="N126" s="729"/>
      <c r="O126" s="729"/>
      <c r="P126" s="729"/>
      <c r="Q126" s="729"/>
      <c r="R126" s="729"/>
      <c r="S126" s="729"/>
      <c r="T126" s="729"/>
      <c r="U126" s="729"/>
      <c r="V126" s="729"/>
      <c r="W126" s="729"/>
      <c r="X126" s="729"/>
      <c r="Y126" s="729"/>
      <c r="Z126" s="729"/>
      <c r="AA126" s="729"/>
      <c r="AB126" s="729"/>
      <c r="AC126" s="729"/>
      <c r="AD126" s="729"/>
      <c r="AE126" s="729"/>
      <c r="AF126" s="729"/>
    </row>
    <row r="127" spans="1:3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29"/>
      <c r="P127" s="729"/>
      <c r="Q127" s="729"/>
      <c r="R127" s="729"/>
      <c r="S127" s="729"/>
      <c r="T127" s="729"/>
      <c r="U127" s="729"/>
      <c r="V127" s="729"/>
      <c r="W127" s="729"/>
      <c r="X127" s="729"/>
      <c r="Y127" s="729"/>
      <c r="Z127" s="729"/>
      <c r="AA127" s="729"/>
      <c r="AB127" s="729"/>
      <c r="AC127" s="729"/>
      <c r="AD127" s="729"/>
      <c r="AE127" s="729"/>
      <c r="AF127" s="729"/>
    </row>
    <row r="128" spans="1:3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29"/>
      <c r="P128" s="729"/>
      <c r="Q128" s="729"/>
      <c r="R128" s="729"/>
      <c r="S128" s="729"/>
      <c r="T128" s="729"/>
      <c r="U128" s="729"/>
      <c r="V128" s="729"/>
      <c r="W128" s="729"/>
      <c r="X128" s="729"/>
      <c r="Y128" s="729"/>
      <c r="Z128" s="729"/>
      <c r="AA128" s="729"/>
      <c r="AB128" s="729"/>
      <c r="AC128" s="729"/>
      <c r="AD128" s="729"/>
      <c r="AE128" s="729"/>
      <c r="AF128" s="729"/>
    </row>
    <row r="129" spans="1:32">
      <c r="A129" s="729"/>
      <c r="B129" s="729"/>
      <c r="C129" s="729"/>
      <c r="D129" s="729"/>
      <c r="E129" s="729"/>
      <c r="F129" s="729"/>
      <c r="G129" s="729"/>
      <c r="H129" s="729"/>
      <c r="I129" s="729"/>
      <c r="J129" s="729"/>
      <c r="K129" s="729"/>
      <c r="L129" s="729"/>
      <c r="M129" s="729"/>
      <c r="N129" s="729"/>
      <c r="O129" s="729"/>
      <c r="P129" s="729"/>
      <c r="Q129" s="729"/>
      <c r="R129" s="729"/>
      <c r="S129" s="729"/>
      <c r="T129" s="729"/>
      <c r="U129" s="729"/>
      <c r="V129" s="729"/>
      <c r="W129" s="729"/>
      <c r="X129" s="729"/>
      <c r="Y129" s="729"/>
      <c r="Z129" s="729"/>
      <c r="AA129" s="729"/>
      <c r="AB129" s="729"/>
      <c r="AC129" s="729"/>
      <c r="AD129" s="729"/>
      <c r="AE129" s="729"/>
      <c r="AF129" s="729"/>
    </row>
    <row r="130" spans="1:32">
      <c r="A130" s="729"/>
      <c r="B130" s="729"/>
      <c r="C130" s="729"/>
      <c r="D130" s="729"/>
      <c r="E130" s="729"/>
      <c r="F130" s="729"/>
      <c r="G130" s="729"/>
      <c r="H130" s="729"/>
      <c r="I130" s="729"/>
      <c r="J130" s="729"/>
      <c r="K130" s="729"/>
      <c r="L130" s="729"/>
      <c r="M130" s="729"/>
      <c r="N130" s="729"/>
      <c r="O130" s="729"/>
      <c r="P130" s="729"/>
      <c r="Q130" s="729"/>
      <c r="R130" s="729"/>
      <c r="S130" s="729"/>
      <c r="T130" s="729"/>
      <c r="U130" s="729"/>
      <c r="V130" s="729"/>
      <c r="W130" s="729"/>
      <c r="X130" s="729"/>
      <c r="Y130" s="729"/>
      <c r="Z130" s="729"/>
      <c r="AA130" s="729"/>
      <c r="AB130" s="729"/>
      <c r="AC130" s="729"/>
      <c r="AD130" s="729"/>
      <c r="AE130" s="729"/>
      <c r="AF130" s="729"/>
    </row>
    <row r="131" spans="1:32">
      <c r="A131" s="729"/>
      <c r="B131" s="729"/>
      <c r="C131" s="729"/>
      <c r="D131" s="729"/>
      <c r="E131" s="729"/>
      <c r="F131" s="729"/>
      <c r="G131" s="729"/>
      <c r="H131" s="729"/>
      <c r="I131" s="729"/>
      <c r="J131" s="729"/>
      <c r="K131" s="729"/>
      <c r="L131" s="729"/>
      <c r="M131" s="729"/>
      <c r="N131" s="729"/>
      <c r="O131" s="729"/>
      <c r="P131" s="729"/>
      <c r="Q131" s="729"/>
      <c r="R131" s="729"/>
      <c r="S131" s="729"/>
      <c r="T131" s="729"/>
      <c r="U131" s="729"/>
      <c r="V131" s="729"/>
      <c r="W131" s="729"/>
      <c r="X131" s="729"/>
      <c r="Y131" s="729"/>
      <c r="Z131" s="729"/>
      <c r="AA131" s="729"/>
      <c r="AB131" s="729"/>
      <c r="AC131" s="729"/>
      <c r="AD131" s="729"/>
      <c r="AE131" s="729"/>
      <c r="AF131" s="729"/>
    </row>
    <row r="132" spans="1:32">
      <c r="A132" s="729"/>
      <c r="B132" s="729"/>
      <c r="C132" s="729"/>
      <c r="D132" s="729"/>
      <c r="E132" s="729"/>
      <c r="F132" s="729"/>
      <c r="G132" s="729"/>
      <c r="H132" s="729"/>
      <c r="I132" s="729"/>
      <c r="J132" s="729"/>
      <c r="K132" s="729"/>
      <c r="L132" s="729"/>
      <c r="M132" s="729"/>
      <c r="N132" s="729"/>
      <c r="O132" s="729"/>
      <c r="P132" s="729"/>
      <c r="Q132" s="729"/>
      <c r="R132" s="729"/>
      <c r="S132" s="729"/>
      <c r="T132" s="729"/>
      <c r="U132" s="729"/>
      <c r="V132" s="729"/>
      <c r="W132" s="729"/>
      <c r="X132" s="729"/>
      <c r="Y132" s="729"/>
      <c r="Z132" s="729"/>
      <c r="AA132" s="729"/>
      <c r="AB132" s="729"/>
      <c r="AC132" s="729"/>
      <c r="AD132" s="729"/>
      <c r="AE132" s="729"/>
      <c r="AF132" s="729"/>
    </row>
    <row r="133" spans="1:3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29"/>
      <c r="P133" s="729"/>
      <c r="Q133" s="729"/>
      <c r="R133" s="729"/>
      <c r="S133" s="729"/>
      <c r="T133" s="729"/>
      <c r="U133" s="729"/>
      <c r="V133" s="729"/>
      <c r="W133" s="729"/>
      <c r="X133" s="729"/>
      <c r="Y133" s="729"/>
      <c r="Z133" s="729"/>
      <c r="AA133" s="729"/>
      <c r="AB133" s="729"/>
      <c r="AC133" s="729"/>
      <c r="AD133" s="729"/>
      <c r="AE133" s="729"/>
      <c r="AF133" s="729"/>
    </row>
    <row r="134" spans="1:3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29"/>
      <c r="P134" s="729"/>
      <c r="Q134" s="729"/>
      <c r="R134" s="729"/>
      <c r="S134" s="729"/>
      <c r="T134" s="729"/>
      <c r="U134" s="729"/>
      <c r="V134" s="729"/>
      <c r="W134" s="729"/>
      <c r="X134" s="729"/>
      <c r="Y134" s="729"/>
      <c r="Z134" s="729"/>
      <c r="AA134" s="729"/>
      <c r="AB134" s="729"/>
      <c r="AC134" s="729"/>
      <c r="AD134" s="729"/>
      <c r="AE134" s="729"/>
      <c r="AF134" s="729"/>
    </row>
    <row r="135" spans="1:32">
      <c r="A135" s="729"/>
      <c r="B135" s="729"/>
      <c r="C135" s="729"/>
      <c r="D135" s="729"/>
      <c r="E135" s="729"/>
      <c r="F135" s="729"/>
      <c r="G135" s="729"/>
      <c r="H135" s="729"/>
      <c r="I135" s="729"/>
      <c r="J135" s="729"/>
      <c r="K135" s="729"/>
      <c r="L135" s="729"/>
      <c r="M135" s="729"/>
      <c r="N135" s="729"/>
      <c r="O135" s="729"/>
      <c r="P135" s="729"/>
      <c r="Q135" s="729"/>
      <c r="R135" s="729"/>
      <c r="S135" s="729"/>
      <c r="T135" s="729"/>
      <c r="U135" s="729"/>
      <c r="V135" s="729"/>
      <c r="W135" s="729"/>
      <c r="X135" s="729"/>
      <c r="Y135" s="729"/>
      <c r="Z135" s="729"/>
      <c r="AA135" s="729"/>
      <c r="AB135" s="729"/>
      <c r="AC135" s="729"/>
      <c r="AD135" s="729"/>
      <c r="AE135" s="729"/>
      <c r="AF135" s="729"/>
    </row>
    <row r="136" spans="1:32">
      <c r="A136" s="729"/>
      <c r="B136" s="729"/>
      <c r="C136" s="729"/>
      <c r="D136" s="729"/>
      <c r="E136" s="729"/>
      <c r="F136" s="729"/>
      <c r="G136" s="729"/>
      <c r="H136" s="729"/>
      <c r="I136" s="729"/>
      <c r="J136" s="729"/>
      <c r="K136" s="729"/>
      <c r="L136" s="729"/>
      <c r="M136" s="729"/>
      <c r="N136" s="729"/>
      <c r="O136" s="729"/>
      <c r="P136" s="729"/>
      <c r="Q136" s="729"/>
      <c r="R136" s="729"/>
      <c r="S136" s="729"/>
      <c r="T136" s="729"/>
      <c r="U136" s="729"/>
      <c r="V136" s="729"/>
      <c r="W136" s="729"/>
      <c r="X136" s="729"/>
      <c r="Y136" s="729"/>
      <c r="Z136" s="729"/>
      <c r="AA136" s="729"/>
      <c r="AB136" s="729"/>
      <c r="AC136" s="729"/>
      <c r="AD136" s="729"/>
      <c r="AE136" s="729"/>
      <c r="AF136" s="729"/>
    </row>
    <row r="137" spans="1:32">
      <c r="A137" s="729"/>
      <c r="B137" s="729"/>
      <c r="C137" s="729"/>
      <c r="D137" s="729"/>
      <c r="E137" s="729"/>
      <c r="F137" s="729"/>
      <c r="G137" s="729"/>
      <c r="H137" s="729"/>
      <c r="I137" s="729"/>
      <c r="J137" s="729"/>
      <c r="K137" s="729"/>
      <c r="L137" s="729"/>
      <c r="M137" s="729"/>
      <c r="N137" s="729"/>
      <c r="O137" s="729"/>
      <c r="P137" s="729"/>
      <c r="Q137" s="729"/>
      <c r="R137" s="729"/>
      <c r="S137" s="729"/>
      <c r="T137" s="729"/>
      <c r="U137" s="729"/>
      <c r="V137" s="729"/>
      <c r="W137" s="729"/>
      <c r="X137" s="729"/>
      <c r="Y137" s="729"/>
      <c r="Z137" s="729"/>
      <c r="AA137" s="729"/>
      <c r="AB137" s="729"/>
      <c r="AC137" s="729"/>
      <c r="AD137" s="729"/>
      <c r="AE137" s="729"/>
      <c r="AF137" s="729"/>
    </row>
    <row r="138" spans="1:3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29"/>
      <c r="P138" s="729"/>
      <c r="Q138" s="729"/>
      <c r="R138" s="729"/>
      <c r="S138" s="729"/>
      <c r="T138" s="729"/>
      <c r="U138" s="729"/>
      <c r="V138" s="729"/>
      <c r="W138" s="729"/>
      <c r="X138" s="729"/>
      <c r="Y138" s="729"/>
      <c r="Z138" s="729"/>
      <c r="AA138" s="729"/>
      <c r="AB138" s="729"/>
      <c r="AC138" s="729"/>
      <c r="AD138" s="729"/>
      <c r="AE138" s="729"/>
      <c r="AF138" s="729"/>
    </row>
    <row r="139" spans="1:3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29"/>
      <c r="P139" s="729"/>
      <c r="Q139" s="729"/>
      <c r="R139" s="729"/>
      <c r="S139" s="729"/>
      <c r="T139" s="729"/>
      <c r="U139" s="729"/>
      <c r="V139" s="729"/>
      <c r="W139" s="729"/>
      <c r="X139" s="729"/>
      <c r="Y139" s="729"/>
      <c r="Z139" s="729"/>
      <c r="AA139" s="729"/>
      <c r="AB139" s="729"/>
      <c r="AC139" s="729"/>
      <c r="AD139" s="729"/>
      <c r="AE139" s="729"/>
      <c r="AF139" s="729"/>
    </row>
    <row r="140" spans="1:32">
      <c r="A140" s="729"/>
      <c r="B140" s="729"/>
      <c r="C140" s="729"/>
      <c r="D140" s="729"/>
      <c r="E140" s="729"/>
      <c r="F140" s="729"/>
      <c r="G140" s="729"/>
      <c r="H140" s="729"/>
      <c r="I140" s="729"/>
      <c r="J140" s="729"/>
      <c r="K140" s="729"/>
      <c r="L140" s="729"/>
      <c r="M140" s="729"/>
      <c r="N140" s="729"/>
      <c r="O140" s="729"/>
      <c r="P140" s="729"/>
      <c r="Q140" s="729"/>
      <c r="R140" s="729"/>
      <c r="S140" s="729"/>
      <c r="T140" s="729"/>
      <c r="U140" s="729"/>
      <c r="V140" s="729"/>
      <c r="W140" s="729"/>
      <c r="X140" s="729"/>
      <c r="Y140" s="729"/>
      <c r="Z140" s="729"/>
      <c r="AA140" s="729"/>
      <c r="AB140" s="729"/>
      <c r="AC140" s="729"/>
      <c r="AD140" s="729"/>
      <c r="AE140" s="729"/>
      <c r="AF140" s="729"/>
    </row>
    <row r="141" spans="1:32">
      <c r="A141" s="729"/>
      <c r="B141" s="729"/>
      <c r="C141" s="729"/>
      <c r="D141" s="729"/>
      <c r="E141" s="729"/>
      <c r="F141" s="729"/>
      <c r="G141" s="729"/>
      <c r="H141" s="729"/>
      <c r="I141" s="729"/>
      <c r="J141" s="729"/>
      <c r="K141" s="729"/>
      <c r="L141" s="729"/>
      <c r="M141" s="729"/>
      <c r="N141" s="729"/>
      <c r="O141" s="729"/>
      <c r="P141" s="729"/>
      <c r="Q141" s="729"/>
      <c r="R141" s="729"/>
      <c r="S141" s="729"/>
      <c r="T141" s="729"/>
      <c r="U141" s="729"/>
      <c r="V141" s="729"/>
      <c r="W141" s="729"/>
      <c r="X141" s="729"/>
      <c r="Y141" s="729"/>
      <c r="Z141" s="729"/>
      <c r="AA141" s="729"/>
      <c r="AB141" s="729"/>
      <c r="AC141" s="729"/>
      <c r="AD141" s="729"/>
      <c r="AE141" s="729"/>
      <c r="AF141" s="729"/>
    </row>
    <row r="142" spans="1:32">
      <c r="A142" s="729"/>
      <c r="B142" s="729"/>
      <c r="C142" s="729"/>
      <c r="D142" s="729"/>
      <c r="E142" s="729"/>
      <c r="F142" s="729"/>
      <c r="G142" s="729"/>
      <c r="H142" s="729"/>
      <c r="I142" s="729"/>
      <c r="J142" s="729"/>
      <c r="K142" s="729"/>
      <c r="L142" s="729"/>
      <c r="M142" s="729"/>
      <c r="N142" s="729"/>
      <c r="O142" s="729"/>
      <c r="P142" s="729"/>
      <c r="Q142" s="729"/>
      <c r="R142" s="729"/>
      <c r="S142" s="729"/>
      <c r="T142" s="729"/>
      <c r="U142" s="729"/>
      <c r="V142" s="729"/>
      <c r="W142" s="729"/>
      <c r="X142" s="729"/>
      <c r="Y142" s="729"/>
      <c r="Z142" s="729"/>
      <c r="AA142" s="729"/>
      <c r="AB142" s="729"/>
      <c r="AC142" s="729"/>
      <c r="AD142" s="729"/>
      <c r="AE142" s="729"/>
      <c r="AF142" s="729"/>
    </row>
    <row r="143" spans="1:3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29"/>
      <c r="P143" s="729"/>
      <c r="Q143" s="729"/>
      <c r="R143" s="729"/>
      <c r="S143" s="729"/>
      <c r="T143" s="729"/>
      <c r="U143" s="729"/>
      <c r="V143" s="729"/>
      <c r="W143" s="729"/>
      <c r="X143" s="729"/>
      <c r="Y143" s="729"/>
      <c r="Z143" s="729"/>
      <c r="AA143" s="729"/>
      <c r="AB143" s="729"/>
      <c r="AC143" s="729"/>
      <c r="AD143" s="729"/>
      <c r="AE143" s="729"/>
      <c r="AF143" s="729"/>
    </row>
    <row r="144" spans="1:3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29"/>
      <c r="P144" s="729"/>
      <c r="Q144" s="729"/>
      <c r="R144" s="729"/>
      <c r="S144" s="729"/>
      <c r="T144" s="729"/>
      <c r="U144" s="729"/>
      <c r="V144" s="729"/>
      <c r="W144" s="729"/>
      <c r="X144" s="729"/>
      <c r="Y144" s="729"/>
      <c r="Z144" s="729"/>
      <c r="AA144" s="729"/>
      <c r="AB144" s="729"/>
      <c r="AC144" s="729"/>
      <c r="AD144" s="729"/>
      <c r="AE144" s="729"/>
      <c r="AF144" s="729"/>
    </row>
    <row r="145" spans="1:32">
      <c r="A145" s="729"/>
      <c r="B145" s="729"/>
      <c r="C145" s="729"/>
      <c r="D145" s="729"/>
      <c r="E145" s="729"/>
      <c r="F145" s="729"/>
      <c r="G145" s="729"/>
      <c r="H145" s="729"/>
      <c r="I145" s="729"/>
      <c r="J145" s="729"/>
      <c r="K145" s="729"/>
      <c r="L145" s="729"/>
      <c r="M145" s="729"/>
      <c r="N145" s="729"/>
      <c r="O145" s="729"/>
      <c r="P145" s="729"/>
      <c r="Q145" s="729"/>
      <c r="R145" s="729"/>
      <c r="S145" s="729"/>
      <c r="T145" s="729"/>
      <c r="U145" s="729"/>
      <c r="V145" s="729"/>
      <c r="W145" s="729"/>
      <c r="X145" s="729"/>
      <c r="Y145" s="729"/>
      <c r="Z145" s="729"/>
      <c r="AA145" s="729"/>
      <c r="AB145" s="729"/>
      <c r="AC145" s="729"/>
      <c r="AD145" s="729"/>
      <c r="AE145" s="729"/>
      <c r="AF145" s="729"/>
    </row>
    <row r="146" spans="1:32">
      <c r="A146" s="729"/>
      <c r="B146" s="729"/>
      <c r="C146" s="729"/>
      <c r="D146" s="729"/>
      <c r="E146" s="729"/>
      <c r="F146" s="729"/>
      <c r="G146" s="729"/>
      <c r="H146" s="729"/>
      <c r="I146" s="729"/>
      <c r="J146" s="729"/>
      <c r="K146" s="729"/>
      <c r="L146" s="729"/>
      <c r="M146" s="729"/>
      <c r="N146" s="729"/>
      <c r="O146" s="729"/>
      <c r="P146" s="729"/>
      <c r="Q146" s="729"/>
      <c r="R146" s="729"/>
      <c r="S146" s="729"/>
      <c r="T146" s="729"/>
      <c r="U146" s="729"/>
      <c r="V146" s="729"/>
      <c r="W146" s="729"/>
      <c r="X146" s="729"/>
      <c r="Y146" s="729"/>
      <c r="Z146" s="729"/>
      <c r="AA146" s="729"/>
      <c r="AB146" s="729"/>
      <c r="AC146" s="729"/>
      <c r="AD146" s="729"/>
      <c r="AE146" s="729"/>
      <c r="AF146" s="729"/>
    </row>
    <row r="147" spans="1:32">
      <c r="A147" s="729"/>
      <c r="B147" s="729"/>
      <c r="C147" s="729"/>
      <c r="D147" s="729"/>
      <c r="E147" s="729"/>
      <c r="F147" s="729"/>
      <c r="G147" s="729"/>
      <c r="H147" s="729"/>
      <c r="I147" s="729"/>
      <c r="J147" s="729"/>
      <c r="K147" s="729"/>
      <c r="L147" s="729"/>
      <c r="M147" s="729"/>
      <c r="N147" s="729"/>
      <c r="O147" s="729"/>
      <c r="P147" s="729"/>
      <c r="Q147" s="729"/>
      <c r="R147" s="729"/>
      <c r="S147" s="729"/>
      <c r="T147" s="729"/>
      <c r="U147" s="729"/>
      <c r="V147" s="729"/>
      <c r="W147" s="729"/>
      <c r="X147" s="729"/>
      <c r="Y147" s="729"/>
      <c r="Z147" s="729"/>
      <c r="AA147" s="729"/>
      <c r="AB147" s="729"/>
      <c r="AC147" s="729"/>
      <c r="AD147" s="729"/>
      <c r="AE147" s="729"/>
      <c r="AF147" s="729"/>
    </row>
    <row r="148" spans="1:32">
      <c r="A148" s="729"/>
      <c r="B148" s="729"/>
      <c r="C148" s="729"/>
      <c r="D148" s="729"/>
      <c r="E148" s="729"/>
      <c r="F148" s="729"/>
      <c r="G148" s="729"/>
      <c r="H148" s="729"/>
      <c r="I148" s="729"/>
      <c r="J148" s="729"/>
      <c r="K148" s="729"/>
      <c r="L148" s="729"/>
      <c r="M148" s="729"/>
      <c r="N148" s="729"/>
      <c r="O148" s="729"/>
      <c r="P148" s="729"/>
      <c r="Q148" s="729"/>
      <c r="R148" s="729"/>
      <c r="S148" s="729"/>
      <c r="T148" s="729"/>
      <c r="U148" s="729"/>
      <c r="V148" s="729"/>
      <c r="W148" s="729"/>
      <c r="X148" s="729"/>
      <c r="Y148" s="729"/>
      <c r="Z148" s="729"/>
      <c r="AA148" s="729"/>
      <c r="AB148" s="729"/>
      <c r="AC148" s="729"/>
      <c r="AD148" s="729"/>
      <c r="AE148" s="729"/>
      <c r="AF148" s="729"/>
    </row>
    <row r="149" spans="1:32">
      <c r="A149" s="729"/>
      <c r="B149" s="729"/>
      <c r="C149" s="729"/>
      <c r="D149" s="729"/>
      <c r="E149" s="729"/>
      <c r="F149" s="729"/>
      <c r="G149" s="729"/>
      <c r="H149" s="729"/>
      <c r="I149" s="729"/>
      <c r="J149" s="729"/>
      <c r="K149" s="729"/>
      <c r="L149" s="729"/>
      <c r="M149" s="729"/>
      <c r="N149" s="729"/>
      <c r="O149" s="729"/>
      <c r="P149" s="729"/>
      <c r="Q149" s="729"/>
      <c r="R149" s="729"/>
      <c r="S149" s="729"/>
      <c r="T149" s="729"/>
      <c r="U149" s="729"/>
      <c r="V149" s="729"/>
      <c r="W149" s="729"/>
      <c r="X149" s="729"/>
      <c r="Y149" s="729"/>
      <c r="Z149" s="729"/>
      <c r="AA149" s="729"/>
      <c r="AB149" s="729"/>
      <c r="AC149" s="729"/>
      <c r="AD149" s="729"/>
      <c r="AE149" s="729"/>
      <c r="AF149" s="729"/>
    </row>
    <row r="150" spans="1:32">
      <c r="A150" s="729"/>
      <c r="B150" s="729"/>
      <c r="C150" s="729"/>
      <c r="D150" s="729"/>
      <c r="E150" s="729"/>
      <c r="F150" s="729"/>
      <c r="G150" s="729"/>
      <c r="H150" s="729"/>
      <c r="I150" s="729"/>
      <c r="J150" s="729"/>
      <c r="K150" s="729"/>
      <c r="L150" s="729"/>
      <c r="M150" s="729"/>
      <c r="N150" s="729"/>
      <c r="O150" s="729"/>
      <c r="P150" s="729"/>
      <c r="Q150" s="729"/>
      <c r="R150" s="729"/>
      <c r="S150" s="729"/>
      <c r="T150" s="729"/>
      <c r="U150" s="729"/>
      <c r="V150" s="729"/>
      <c r="W150" s="729"/>
      <c r="X150" s="729"/>
      <c r="Y150" s="729"/>
      <c r="Z150" s="729"/>
      <c r="AA150" s="729"/>
      <c r="AB150" s="729"/>
      <c r="AC150" s="729"/>
      <c r="AD150" s="729"/>
      <c r="AE150" s="729"/>
      <c r="AF150" s="729"/>
    </row>
    <row r="151" spans="1:32">
      <c r="A151" s="729"/>
      <c r="B151" s="729"/>
      <c r="C151" s="729"/>
      <c r="D151" s="729"/>
      <c r="E151" s="729"/>
      <c r="F151" s="729"/>
      <c r="G151" s="729"/>
      <c r="H151" s="729"/>
      <c r="I151" s="729"/>
      <c r="J151" s="729"/>
      <c r="K151" s="729"/>
      <c r="L151" s="729"/>
      <c r="M151" s="729"/>
      <c r="N151" s="729"/>
      <c r="O151" s="729"/>
      <c r="P151" s="729"/>
      <c r="Q151" s="729"/>
      <c r="R151" s="729"/>
      <c r="S151" s="729"/>
      <c r="T151" s="729"/>
      <c r="U151" s="729"/>
      <c r="V151" s="729"/>
      <c r="W151" s="729"/>
      <c r="X151" s="729"/>
      <c r="Y151" s="729"/>
      <c r="Z151" s="729"/>
      <c r="AA151" s="729"/>
      <c r="AB151" s="729"/>
      <c r="AC151" s="729"/>
      <c r="AD151" s="729"/>
      <c r="AE151" s="729"/>
      <c r="AF151" s="729"/>
    </row>
    <row r="152" spans="1:32">
      <c r="A152" s="729"/>
      <c r="B152" s="729"/>
      <c r="C152" s="729"/>
      <c r="D152" s="729"/>
      <c r="E152" s="729"/>
      <c r="F152" s="729"/>
      <c r="G152" s="729"/>
      <c r="H152" s="729"/>
      <c r="I152" s="729"/>
      <c r="J152" s="729"/>
      <c r="K152" s="729"/>
      <c r="L152" s="729"/>
      <c r="M152" s="729"/>
      <c r="N152" s="729"/>
      <c r="O152" s="729"/>
      <c r="P152" s="729"/>
      <c r="Q152" s="729"/>
      <c r="R152" s="729"/>
      <c r="S152" s="729"/>
      <c r="T152" s="729"/>
      <c r="U152" s="729"/>
      <c r="V152" s="729"/>
      <c r="W152" s="729"/>
      <c r="X152" s="729"/>
      <c r="Y152" s="729"/>
      <c r="Z152" s="729"/>
      <c r="AA152" s="729"/>
      <c r="AB152" s="729"/>
      <c r="AC152" s="729"/>
      <c r="AD152" s="729"/>
      <c r="AE152" s="729"/>
      <c r="AF152" s="729"/>
    </row>
    <row r="153" spans="1:3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29"/>
      <c r="P153" s="729"/>
      <c r="Q153" s="729"/>
      <c r="R153" s="729"/>
      <c r="S153" s="729"/>
      <c r="T153" s="729"/>
      <c r="U153" s="729"/>
      <c r="V153" s="729"/>
      <c r="W153" s="729"/>
      <c r="X153" s="729"/>
      <c r="Y153" s="729"/>
      <c r="Z153" s="729"/>
      <c r="AA153" s="729"/>
      <c r="AB153" s="729"/>
      <c r="AC153" s="729"/>
      <c r="AD153" s="729"/>
      <c r="AE153" s="729"/>
      <c r="AF153" s="729"/>
    </row>
    <row r="154" spans="1:3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29"/>
      <c r="P154" s="729"/>
      <c r="Q154" s="729"/>
      <c r="R154" s="729"/>
      <c r="S154" s="729"/>
      <c r="T154" s="729"/>
      <c r="U154" s="729"/>
      <c r="V154" s="729"/>
      <c r="W154" s="729"/>
      <c r="X154" s="729"/>
      <c r="Y154" s="729"/>
      <c r="Z154" s="729"/>
      <c r="AA154" s="729"/>
      <c r="AB154" s="729"/>
      <c r="AC154" s="729"/>
      <c r="AD154" s="729"/>
      <c r="AE154" s="729"/>
      <c r="AF154" s="729"/>
    </row>
    <row r="155" spans="1:32">
      <c r="A155" s="729"/>
      <c r="B155" s="729"/>
      <c r="C155" s="729"/>
      <c r="D155" s="729"/>
      <c r="E155" s="729"/>
      <c r="F155" s="729"/>
      <c r="G155" s="729"/>
      <c r="H155" s="729"/>
      <c r="I155" s="729"/>
      <c r="J155" s="729"/>
      <c r="K155" s="729"/>
      <c r="L155" s="729"/>
      <c r="M155" s="729"/>
      <c r="N155" s="729"/>
      <c r="O155" s="729"/>
      <c r="P155" s="729"/>
      <c r="Q155" s="729"/>
      <c r="R155" s="729"/>
      <c r="S155" s="729"/>
      <c r="T155" s="729"/>
      <c r="U155" s="729"/>
      <c r="V155" s="729"/>
      <c r="W155" s="729"/>
      <c r="X155" s="729"/>
      <c r="Y155" s="729"/>
      <c r="Z155" s="729"/>
      <c r="AA155" s="729"/>
      <c r="AB155" s="729"/>
      <c r="AC155" s="729"/>
      <c r="AD155" s="729"/>
      <c r="AE155" s="729"/>
      <c r="AF155" s="729"/>
    </row>
    <row r="156" spans="1:32">
      <c r="A156" s="729"/>
      <c r="B156" s="729"/>
      <c r="C156" s="729"/>
      <c r="D156" s="729"/>
      <c r="E156" s="729"/>
      <c r="F156" s="729"/>
      <c r="G156" s="729"/>
      <c r="H156" s="729"/>
      <c r="I156" s="729"/>
      <c r="J156" s="729"/>
      <c r="K156" s="729"/>
      <c r="L156" s="729"/>
      <c r="M156" s="729"/>
      <c r="N156" s="729"/>
      <c r="O156" s="729"/>
      <c r="P156" s="729"/>
      <c r="Q156" s="729"/>
      <c r="R156" s="729"/>
      <c r="S156" s="729"/>
      <c r="T156" s="729"/>
      <c r="U156" s="729"/>
      <c r="V156" s="729"/>
      <c r="W156" s="729"/>
      <c r="X156" s="729"/>
      <c r="Y156" s="729"/>
      <c r="Z156" s="729"/>
      <c r="AA156" s="729"/>
      <c r="AB156" s="729"/>
      <c r="AC156" s="729"/>
      <c r="AD156" s="729"/>
      <c r="AE156" s="729"/>
      <c r="AF156" s="729"/>
    </row>
    <row r="157" spans="1:3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29"/>
      <c r="P157" s="729"/>
      <c r="Q157" s="729"/>
      <c r="R157" s="729"/>
      <c r="S157" s="729"/>
      <c r="T157" s="729"/>
      <c r="U157" s="729"/>
      <c r="V157" s="729"/>
      <c r="W157" s="729"/>
      <c r="X157" s="729"/>
      <c r="Y157" s="729"/>
      <c r="Z157" s="729"/>
      <c r="AA157" s="729"/>
      <c r="AB157" s="729"/>
      <c r="AC157" s="729"/>
      <c r="AD157" s="729"/>
      <c r="AE157" s="729"/>
      <c r="AF157" s="729"/>
    </row>
    <row r="158" spans="1:3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29"/>
      <c r="P158" s="729"/>
      <c r="Q158" s="729"/>
      <c r="R158" s="729"/>
      <c r="S158" s="729"/>
      <c r="T158" s="729"/>
      <c r="U158" s="729"/>
      <c r="V158" s="729"/>
      <c r="W158" s="729"/>
      <c r="X158" s="729"/>
      <c r="Y158" s="729"/>
      <c r="Z158" s="729"/>
      <c r="AA158" s="729"/>
      <c r="AB158" s="729"/>
      <c r="AC158" s="729"/>
      <c r="AD158" s="729"/>
      <c r="AE158" s="729"/>
      <c r="AF158" s="729"/>
    </row>
    <row r="159" spans="1:32">
      <c r="A159" s="729"/>
      <c r="B159" s="729"/>
      <c r="C159" s="729"/>
      <c r="D159" s="729"/>
      <c r="E159" s="729"/>
      <c r="F159" s="729"/>
      <c r="G159" s="729"/>
      <c r="H159" s="729"/>
      <c r="I159" s="729"/>
      <c r="J159" s="729"/>
      <c r="K159" s="729"/>
      <c r="L159" s="729"/>
      <c r="M159" s="729"/>
      <c r="N159" s="729"/>
      <c r="O159" s="729"/>
      <c r="P159" s="729"/>
      <c r="Q159" s="729"/>
      <c r="R159" s="729"/>
      <c r="S159" s="729"/>
      <c r="T159" s="729"/>
      <c r="U159" s="729"/>
      <c r="V159" s="729"/>
      <c r="W159" s="729"/>
      <c r="X159" s="729"/>
      <c r="Y159" s="729"/>
      <c r="Z159" s="729"/>
      <c r="AA159" s="729"/>
      <c r="AB159" s="729"/>
      <c r="AC159" s="729"/>
      <c r="AD159" s="729"/>
      <c r="AE159" s="729"/>
      <c r="AF159" s="729"/>
    </row>
    <row r="160" spans="1:32">
      <c r="A160" s="729"/>
      <c r="B160" s="729"/>
      <c r="C160" s="729"/>
      <c r="D160" s="729"/>
      <c r="E160" s="729"/>
      <c r="F160" s="729"/>
      <c r="G160" s="729"/>
      <c r="H160" s="729"/>
      <c r="I160" s="729"/>
      <c r="J160" s="729"/>
      <c r="K160" s="729"/>
      <c r="L160" s="729"/>
      <c r="M160" s="729"/>
      <c r="N160" s="729"/>
      <c r="O160" s="729"/>
      <c r="P160" s="729"/>
      <c r="Q160" s="729"/>
      <c r="R160" s="729"/>
      <c r="S160" s="729"/>
      <c r="T160" s="729"/>
      <c r="U160" s="729"/>
      <c r="V160" s="729"/>
      <c r="W160" s="729"/>
      <c r="X160" s="729"/>
      <c r="Y160" s="729"/>
      <c r="Z160" s="729"/>
      <c r="AA160" s="729"/>
      <c r="AB160" s="729"/>
      <c r="AC160" s="729"/>
      <c r="AD160" s="729"/>
      <c r="AE160" s="729"/>
      <c r="AF160" s="729"/>
    </row>
    <row r="161" spans="1:32">
      <c r="A161" s="729"/>
      <c r="B161" s="729"/>
      <c r="C161" s="729"/>
      <c r="D161" s="729"/>
      <c r="E161" s="729"/>
      <c r="F161" s="729"/>
      <c r="G161" s="729"/>
      <c r="H161" s="729"/>
      <c r="I161" s="729"/>
      <c r="J161" s="729"/>
      <c r="K161" s="729"/>
      <c r="L161" s="729"/>
      <c r="M161" s="729"/>
      <c r="N161" s="729"/>
      <c r="O161" s="729"/>
      <c r="P161" s="729"/>
      <c r="Q161" s="729"/>
      <c r="R161" s="729"/>
      <c r="S161" s="729"/>
      <c r="T161" s="729"/>
      <c r="U161" s="729"/>
      <c r="V161" s="729"/>
      <c r="W161" s="729"/>
      <c r="X161" s="729"/>
      <c r="Y161" s="729"/>
      <c r="Z161" s="729"/>
      <c r="AA161" s="729"/>
      <c r="AB161" s="729"/>
      <c r="AC161" s="729"/>
      <c r="AD161" s="729"/>
      <c r="AE161" s="729"/>
      <c r="AF161" s="729"/>
    </row>
    <row r="162" spans="1:32">
      <c r="A162" s="729"/>
      <c r="B162" s="729"/>
      <c r="C162" s="729"/>
      <c r="D162" s="729"/>
      <c r="E162" s="729"/>
      <c r="F162" s="729"/>
      <c r="G162" s="729"/>
      <c r="H162" s="729"/>
      <c r="I162" s="729"/>
      <c r="J162" s="729"/>
      <c r="K162" s="729"/>
      <c r="L162" s="729"/>
      <c r="M162" s="729"/>
      <c r="N162" s="729"/>
      <c r="O162" s="729"/>
      <c r="P162" s="729"/>
      <c r="Q162" s="729"/>
      <c r="R162" s="729"/>
      <c r="S162" s="729"/>
      <c r="T162" s="729"/>
      <c r="U162" s="729"/>
      <c r="V162" s="729"/>
      <c r="W162" s="729"/>
      <c r="X162" s="729"/>
      <c r="Y162" s="729"/>
      <c r="Z162" s="729"/>
      <c r="AA162" s="729"/>
      <c r="AB162" s="729"/>
      <c r="AC162" s="729"/>
      <c r="AD162" s="729"/>
      <c r="AE162" s="729"/>
      <c r="AF162" s="729"/>
    </row>
    <row r="163" spans="1:32">
      <c r="A163" s="729"/>
      <c r="B163" s="729"/>
      <c r="C163" s="729"/>
      <c r="D163" s="729"/>
      <c r="E163" s="729"/>
      <c r="F163" s="729"/>
      <c r="G163" s="729"/>
      <c r="H163" s="729"/>
      <c r="I163" s="729"/>
      <c r="J163" s="729"/>
      <c r="K163" s="729"/>
      <c r="L163" s="729"/>
      <c r="M163" s="729"/>
      <c r="N163" s="729"/>
      <c r="O163" s="729"/>
      <c r="P163" s="729"/>
      <c r="Q163" s="729"/>
      <c r="R163" s="729"/>
      <c r="S163" s="729"/>
      <c r="T163" s="729"/>
      <c r="U163" s="729"/>
      <c r="V163" s="729"/>
      <c r="W163" s="729"/>
      <c r="X163" s="729"/>
      <c r="Y163" s="729"/>
      <c r="Z163" s="729"/>
      <c r="AA163" s="729"/>
      <c r="AB163" s="729"/>
      <c r="AC163" s="729"/>
      <c r="AD163" s="729"/>
      <c r="AE163" s="729"/>
      <c r="AF163" s="729"/>
    </row>
    <row r="164" spans="1:3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29"/>
      <c r="P164" s="729"/>
      <c r="Q164" s="729"/>
      <c r="R164" s="729"/>
      <c r="S164" s="729"/>
      <c r="T164" s="729"/>
      <c r="U164" s="729"/>
      <c r="V164" s="729"/>
      <c r="W164" s="729"/>
      <c r="X164" s="729"/>
      <c r="Y164" s="729"/>
      <c r="Z164" s="729"/>
      <c r="AA164" s="729"/>
      <c r="AB164" s="729"/>
      <c r="AC164" s="729"/>
      <c r="AD164" s="729"/>
      <c r="AE164" s="729"/>
      <c r="AF164" s="729"/>
    </row>
    <row r="165" spans="1:3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29"/>
      <c r="P165" s="729"/>
      <c r="Q165" s="729"/>
      <c r="R165" s="729"/>
      <c r="S165" s="729"/>
      <c r="T165" s="729"/>
      <c r="U165" s="729"/>
      <c r="V165" s="729"/>
      <c r="W165" s="729"/>
      <c r="X165" s="729"/>
      <c r="Y165" s="729"/>
      <c r="Z165" s="729"/>
      <c r="AA165" s="729"/>
      <c r="AB165" s="729"/>
      <c r="AC165" s="729"/>
      <c r="AD165" s="729"/>
      <c r="AE165" s="729"/>
      <c r="AF165" s="729"/>
    </row>
    <row r="166" spans="1:32">
      <c r="A166" s="729"/>
      <c r="B166" s="729"/>
      <c r="C166" s="729"/>
      <c r="D166" s="729"/>
      <c r="E166" s="729"/>
      <c r="F166" s="729"/>
      <c r="G166" s="729"/>
      <c r="H166" s="729"/>
      <c r="I166" s="729"/>
      <c r="J166" s="729"/>
      <c r="K166" s="729"/>
      <c r="L166" s="729"/>
      <c r="M166" s="729"/>
      <c r="N166" s="729"/>
      <c r="O166" s="729"/>
      <c r="P166" s="729"/>
      <c r="Q166" s="729"/>
      <c r="R166" s="729"/>
      <c r="S166" s="729"/>
      <c r="T166" s="729"/>
      <c r="U166" s="729"/>
      <c r="V166" s="729"/>
      <c r="W166" s="729"/>
      <c r="X166" s="729"/>
      <c r="Y166" s="729"/>
      <c r="Z166" s="729"/>
      <c r="AA166" s="729"/>
      <c r="AB166" s="729"/>
      <c r="AC166" s="729"/>
      <c r="AD166" s="729"/>
      <c r="AE166" s="729"/>
      <c r="AF166" s="729"/>
    </row>
    <row r="167" spans="1:32">
      <c r="A167" s="729"/>
      <c r="B167" s="729"/>
      <c r="C167" s="729"/>
      <c r="D167" s="729"/>
      <c r="E167" s="729"/>
      <c r="F167" s="729"/>
      <c r="G167" s="729"/>
      <c r="H167" s="729"/>
      <c r="I167" s="729"/>
      <c r="J167" s="729"/>
      <c r="K167" s="729"/>
      <c r="L167" s="729"/>
      <c r="M167" s="729"/>
      <c r="N167" s="729"/>
      <c r="O167" s="729"/>
      <c r="P167" s="729"/>
      <c r="Q167" s="729"/>
      <c r="R167" s="729"/>
      <c r="S167" s="729"/>
      <c r="T167" s="729"/>
      <c r="U167" s="729"/>
      <c r="V167" s="729"/>
      <c r="W167" s="729"/>
      <c r="X167" s="729"/>
      <c r="Y167" s="729"/>
      <c r="Z167" s="729"/>
      <c r="AA167" s="729"/>
      <c r="AB167" s="729"/>
      <c r="AC167" s="729"/>
      <c r="AD167" s="729"/>
      <c r="AE167" s="729"/>
      <c r="AF167" s="729"/>
    </row>
    <row r="168" spans="1:32">
      <c r="A168" s="729"/>
      <c r="B168" s="729"/>
      <c r="C168" s="729"/>
      <c r="D168" s="729"/>
      <c r="E168" s="729"/>
      <c r="F168" s="729"/>
      <c r="G168" s="729"/>
      <c r="H168" s="729"/>
      <c r="I168" s="729"/>
      <c r="J168" s="729"/>
      <c r="K168" s="729"/>
      <c r="L168" s="729"/>
      <c r="M168" s="729"/>
      <c r="N168" s="729"/>
      <c r="O168" s="729"/>
      <c r="P168" s="729"/>
      <c r="Q168" s="729"/>
      <c r="R168" s="729"/>
      <c r="S168" s="729"/>
      <c r="T168" s="729"/>
      <c r="U168" s="729"/>
      <c r="V168" s="729"/>
      <c r="W168" s="729"/>
      <c r="X168" s="729"/>
      <c r="Y168" s="729"/>
      <c r="Z168" s="729"/>
      <c r="AA168" s="729"/>
      <c r="AB168" s="729"/>
      <c r="AC168" s="729"/>
      <c r="AD168" s="729"/>
      <c r="AE168" s="729"/>
      <c r="AF168" s="729"/>
    </row>
    <row r="169" spans="1:3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29"/>
      <c r="P169" s="729"/>
      <c r="Q169" s="729"/>
      <c r="R169" s="729"/>
      <c r="S169" s="729"/>
      <c r="T169" s="729"/>
      <c r="U169" s="729"/>
      <c r="V169" s="729"/>
      <c r="W169" s="729"/>
      <c r="X169" s="729"/>
      <c r="Y169" s="729"/>
      <c r="Z169" s="729"/>
      <c r="AA169" s="729"/>
      <c r="AB169" s="729"/>
      <c r="AC169" s="729"/>
      <c r="AD169" s="729"/>
      <c r="AE169" s="729"/>
      <c r="AF169" s="729"/>
    </row>
    <row r="170" spans="1:3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29"/>
      <c r="P170" s="729"/>
      <c r="Q170" s="729"/>
      <c r="R170" s="729"/>
      <c r="S170" s="729"/>
      <c r="T170" s="729"/>
      <c r="U170" s="729"/>
      <c r="V170" s="729"/>
      <c r="W170" s="729"/>
      <c r="X170" s="729"/>
      <c r="Y170" s="729"/>
      <c r="Z170" s="729"/>
      <c r="AA170" s="729"/>
      <c r="AB170" s="729"/>
      <c r="AC170" s="729"/>
      <c r="AD170" s="729"/>
      <c r="AE170" s="729"/>
      <c r="AF170" s="729"/>
    </row>
    <row r="171" spans="1:32">
      <c r="A171" s="729"/>
      <c r="B171" s="729"/>
      <c r="C171" s="729"/>
      <c r="D171" s="729"/>
      <c r="E171" s="729"/>
      <c r="F171" s="729"/>
      <c r="G171" s="729"/>
      <c r="H171" s="729"/>
      <c r="I171" s="729"/>
      <c r="J171" s="729"/>
      <c r="K171" s="729"/>
      <c r="L171" s="729"/>
      <c r="M171" s="729"/>
      <c r="N171" s="729"/>
      <c r="O171" s="729"/>
      <c r="P171" s="729"/>
      <c r="Q171" s="729"/>
      <c r="R171" s="729"/>
      <c r="S171" s="729"/>
      <c r="T171" s="729"/>
      <c r="U171" s="729"/>
      <c r="V171" s="729"/>
      <c r="W171" s="729"/>
      <c r="X171" s="729"/>
      <c r="Y171" s="729"/>
      <c r="Z171" s="729"/>
      <c r="AA171" s="729"/>
      <c r="AB171" s="729"/>
      <c r="AC171" s="729"/>
      <c r="AD171" s="729"/>
      <c r="AE171" s="729"/>
      <c r="AF171" s="729"/>
    </row>
    <row r="172" spans="1:32">
      <c r="A172" s="729"/>
      <c r="B172" s="729"/>
      <c r="C172" s="729"/>
      <c r="D172" s="729"/>
      <c r="E172" s="729"/>
      <c r="F172" s="729"/>
      <c r="G172" s="729"/>
      <c r="H172" s="729"/>
      <c r="I172" s="729"/>
      <c r="J172" s="729"/>
      <c r="K172" s="729"/>
      <c r="L172" s="729"/>
      <c r="M172" s="729"/>
      <c r="N172" s="729"/>
      <c r="O172" s="729"/>
      <c r="P172" s="729"/>
      <c r="Q172" s="729"/>
      <c r="R172" s="729"/>
      <c r="S172" s="729"/>
      <c r="T172" s="729"/>
      <c r="U172" s="729"/>
      <c r="V172" s="729"/>
      <c r="W172" s="729"/>
      <c r="X172" s="729"/>
      <c r="Y172" s="729"/>
      <c r="Z172" s="729"/>
      <c r="AA172" s="729"/>
      <c r="AB172" s="729"/>
      <c r="AC172" s="729"/>
      <c r="AD172" s="729"/>
      <c r="AE172" s="729"/>
      <c r="AF172" s="729"/>
    </row>
    <row r="173" spans="1:32">
      <c r="A173" s="729"/>
      <c r="B173" s="729"/>
      <c r="C173" s="729"/>
      <c r="D173" s="729"/>
      <c r="E173" s="729"/>
      <c r="F173" s="729"/>
      <c r="G173" s="729"/>
      <c r="H173" s="729"/>
      <c r="I173" s="729"/>
      <c r="J173" s="729"/>
      <c r="K173" s="729"/>
      <c r="L173" s="729"/>
      <c r="M173" s="729"/>
      <c r="N173" s="729"/>
      <c r="O173" s="729"/>
      <c r="P173" s="729"/>
      <c r="Q173" s="729"/>
      <c r="R173" s="729"/>
      <c r="S173" s="729"/>
      <c r="T173" s="729"/>
      <c r="U173" s="729"/>
      <c r="V173" s="729"/>
      <c r="W173" s="729"/>
      <c r="X173" s="729"/>
      <c r="Y173" s="729"/>
      <c r="Z173" s="729"/>
      <c r="AA173" s="729"/>
      <c r="AB173" s="729"/>
      <c r="AC173" s="729"/>
      <c r="AD173" s="729"/>
      <c r="AE173" s="729"/>
      <c r="AF173" s="729"/>
    </row>
    <row r="174" spans="1:32">
      <c r="A174" s="729"/>
      <c r="B174" s="729"/>
      <c r="C174" s="729"/>
      <c r="D174" s="729"/>
      <c r="E174" s="729"/>
      <c r="F174" s="729"/>
      <c r="G174" s="729"/>
      <c r="H174" s="729"/>
      <c r="I174" s="729"/>
      <c r="J174" s="729"/>
      <c r="K174" s="729"/>
      <c r="L174" s="729"/>
      <c r="M174" s="729"/>
      <c r="N174" s="729"/>
      <c r="O174" s="729"/>
      <c r="P174" s="729"/>
      <c r="Q174" s="729"/>
      <c r="R174" s="729"/>
      <c r="S174" s="729"/>
      <c r="T174" s="729"/>
      <c r="U174" s="729"/>
      <c r="V174" s="729"/>
      <c r="W174" s="729"/>
      <c r="X174" s="729"/>
      <c r="Y174" s="729"/>
      <c r="Z174" s="729"/>
      <c r="AA174" s="729"/>
      <c r="AB174" s="729"/>
      <c r="AC174" s="729"/>
      <c r="AD174" s="729"/>
      <c r="AE174" s="729"/>
      <c r="AF174" s="729"/>
    </row>
    <row r="175" spans="1:32">
      <c r="A175" s="729"/>
      <c r="B175" s="729"/>
      <c r="C175" s="729"/>
      <c r="D175" s="729"/>
      <c r="E175" s="729"/>
      <c r="F175" s="729"/>
      <c r="G175" s="729"/>
      <c r="H175" s="729"/>
      <c r="I175" s="729"/>
      <c r="J175" s="729"/>
      <c r="K175" s="729"/>
      <c r="L175" s="729"/>
      <c r="M175" s="729"/>
      <c r="N175" s="729"/>
      <c r="O175" s="729"/>
      <c r="P175" s="729"/>
      <c r="Q175" s="729"/>
      <c r="R175" s="729"/>
      <c r="S175" s="729"/>
      <c r="T175" s="729"/>
      <c r="U175" s="729"/>
      <c r="V175" s="729"/>
      <c r="W175" s="729"/>
      <c r="X175" s="729"/>
      <c r="Y175" s="729"/>
      <c r="Z175" s="729"/>
      <c r="AA175" s="729"/>
      <c r="AB175" s="729"/>
      <c r="AC175" s="729"/>
      <c r="AD175" s="729"/>
      <c r="AE175" s="729"/>
      <c r="AF175" s="729"/>
    </row>
    <row r="176" spans="1:32">
      <c r="A176" s="729"/>
      <c r="B176" s="729"/>
      <c r="C176" s="729"/>
      <c r="D176" s="729"/>
      <c r="E176" s="729"/>
      <c r="F176" s="729"/>
      <c r="G176" s="729"/>
      <c r="H176" s="729"/>
      <c r="I176" s="729"/>
      <c r="J176" s="729"/>
      <c r="K176" s="729"/>
      <c r="L176" s="729"/>
      <c r="M176" s="729"/>
      <c r="N176" s="729"/>
      <c r="O176" s="729"/>
      <c r="P176" s="729"/>
      <c r="Q176" s="729"/>
      <c r="R176" s="729"/>
      <c r="S176" s="729"/>
      <c r="T176" s="729"/>
      <c r="U176" s="729"/>
      <c r="V176" s="729"/>
      <c r="W176" s="729"/>
      <c r="X176" s="729"/>
      <c r="Y176" s="729"/>
      <c r="Z176" s="729"/>
      <c r="AA176" s="729"/>
      <c r="AB176" s="729"/>
      <c r="AC176" s="729"/>
      <c r="AD176" s="729"/>
      <c r="AE176" s="729"/>
      <c r="AF176" s="729"/>
    </row>
    <row r="177" spans="1:32">
      <c r="A177" s="729"/>
      <c r="B177" s="729"/>
      <c r="C177" s="729"/>
      <c r="D177" s="729"/>
      <c r="E177" s="729"/>
      <c r="F177" s="729"/>
      <c r="G177" s="729"/>
      <c r="H177" s="729"/>
      <c r="I177" s="729"/>
      <c r="J177" s="729"/>
      <c r="K177" s="729"/>
      <c r="L177" s="729"/>
      <c r="M177" s="729"/>
      <c r="N177" s="729"/>
      <c r="O177" s="729"/>
      <c r="P177" s="729"/>
      <c r="Q177" s="729"/>
      <c r="R177" s="729"/>
      <c r="S177" s="729"/>
      <c r="T177" s="729"/>
      <c r="U177" s="729"/>
      <c r="V177" s="729"/>
      <c r="W177" s="729"/>
      <c r="X177" s="729"/>
      <c r="Y177" s="729"/>
      <c r="Z177" s="729"/>
      <c r="AA177" s="729"/>
      <c r="AB177" s="729"/>
      <c r="AC177" s="729"/>
      <c r="AD177" s="729"/>
      <c r="AE177" s="729"/>
      <c r="AF177" s="729"/>
    </row>
    <row r="178" spans="1:32">
      <c r="A178" s="729"/>
      <c r="B178" s="729"/>
      <c r="C178" s="729"/>
      <c r="D178" s="729"/>
      <c r="E178" s="729"/>
      <c r="F178" s="729"/>
      <c r="G178" s="729"/>
      <c r="H178" s="729"/>
      <c r="I178" s="729"/>
      <c r="J178" s="729"/>
      <c r="K178" s="729"/>
      <c r="L178" s="729"/>
      <c r="M178" s="729"/>
      <c r="N178" s="729"/>
      <c r="O178" s="729"/>
      <c r="P178" s="729"/>
      <c r="Q178" s="729"/>
      <c r="R178" s="729"/>
      <c r="S178" s="729"/>
      <c r="T178" s="729"/>
      <c r="U178" s="729"/>
      <c r="V178" s="729"/>
      <c r="W178" s="729"/>
      <c r="X178" s="729"/>
      <c r="Y178" s="729"/>
      <c r="Z178" s="729"/>
      <c r="AA178" s="729"/>
      <c r="AB178" s="729"/>
      <c r="AC178" s="729"/>
      <c r="AD178" s="729"/>
      <c r="AE178" s="729"/>
      <c r="AF178" s="729"/>
    </row>
    <row r="179" spans="1:32">
      <c r="A179" s="729"/>
      <c r="B179" s="729"/>
      <c r="C179" s="729"/>
      <c r="D179" s="729"/>
      <c r="E179" s="729"/>
      <c r="F179" s="729"/>
      <c r="G179" s="729"/>
      <c r="H179" s="729"/>
      <c r="I179" s="729"/>
      <c r="J179" s="729"/>
      <c r="K179" s="729"/>
      <c r="L179" s="729"/>
      <c r="M179" s="729"/>
      <c r="N179" s="729"/>
      <c r="O179" s="729"/>
      <c r="P179" s="729"/>
      <c r="Q179" s="729"/>
      <c r="R179" s="729"/>
      <c r="S179" s="729"/>
      <c r="T179" s="729"/>
      <c r="U179" s="729"/>
      <c r="V179" s="729"/>
      <c r="W179" s="729"/>
      <c r="X179" s="729"/>
      <c r="Y179" s="729"/>
      <c r="Z179" s="729"/>
      <c r="AA179" s="729"/>
      <c r="AB179" s="729"/>
      <c r="AC179" s="729"/>
      <c r="AD179" s="729"/>
      <c r="AE179" s="729"/>
      <c r="AF179" s="729"/>
    </row>
    <row r="180" spans="1:32">
      <c r="A180" s="729"/>
      <c r="B180" s="729"/>
      <c r="C180" s="729"/>
      <c r="D180" s="729"/>
      <c r="E180" s="729"/>
      <c r="F180" s="729"/>
      <c r="G180" s="729"/>
      <c r="H180" s="729"/>
      <c r="I180" s="729"/>
      <c r="J180" s="729"/>
      <c r="K180" s="729"/>
      <c r="L180" s="729"/>
      <c r="M180" s="729"/>
      <c r="N180" s="729"/>
      <c r="O180" s="729"/>
      <c r="P180" s="729"/>
      <c r="Q180" s="729"/>
      <c r="R180" s="729"/>
      <c r="S180" s="729"/>
      <c r="T180" s="729"/>
      <c r="U180" s="729"/>
      <c r="V180" s="729"/>
      <c r="W180" s="729"/>
      <c r="X180" s="729"/>
      <c r="Y180" s="729"/>
      <c r="Z180" s="729"/>
      <c r="AA180" s="729"/>
      <c r="AB180" s="729"/>
      <c r="AC180" s="729"/>
      <c r="AD180" s="729"/>
      <c r="AE180" s="729"/>
      <c r="AF180" s="729"/>
    </row>
    <row r="181" spans="1:32">
      <c r="A181" s="729"/>
      <c r="B181" s="729"/>
      <c r="C181" s="729"/>
      <c r="D181" s="729"/>
      <c r="E181" s="729"/>
      <c r="F181" s="729"/>
      <c r="G181" s="729"/>
      <c r="H181" s="729"/>
      <c r="I181" s="729"/>
      <c r="J181" s="729"/>
      <c r="K181" s="729"/>
      <c r="L181" s="729"/>
      <c r="M181" s="729"/>
      <c r="N181" s="729"/>
      <c r="O181" s="729"/>
      <c r="P181" s="729"/>
      <c r="Q181" s="729"/>
      <c r="R181" s="729"/>
      <c r="S181" s="729"/>
      <c r="T181" s="729"/>
      <c r="U181" s="729"/>
      <c r="V181" s="729"/>
      <c r="W181" s="729"/>
      <c r="X181" s="729"/>
      <c r="Y181" s="729"/>
      <c r="Z181" s="729"/>
      <c r="AA181" s="729"/>
      <c r="AB181" s="729"/>
      <c r="AC181" s="729"/>
      <c r="AD181" s="729"/>
      <c r="AE181" s="729"/>
      <c r="AF181" s="729"/>
    </row>
    <row r="182" spans="1:32">
      <c r="A182" s="729"/>
      <c r="B182" s="729"/>
      <c r="C182" s="729"/>
      <c r="D182" s="729"/>
      <c r="E182" s="729"/>
      <c r="F182" s="729"/>
      <c r="G182" s="729"/>
      <c r="H182" s="729"/>
      <c r="I182" s="729"/>
      <c r="J182" s="729"/>
      <c r="K182" s="729"/>
      <c r="L182" s="729"/>
      <c r="M182" s="729"/>
      <c r="N182" s="729"/>
      <c r="O182" s="729"/>
      <c r="P182" s="729"/>
      <c r="Q182" s="729"/>
      <c r="R182" s="729"/>
      <c r="S182" s="729"/>
      <c r="T182" s="729"/>
      <c r="U182" s="729"/>
      <c r="V182" s="729"/>
      <c r="W182" s="729"/>
      <c r="X182" s="729"/>
      <c r="Y182" s="729"/>
      <c r="Z182" s="729"/>
      <c r="AA182" s="729"/>
      <c r="AB182" s="729"/>
      <c r="AC182" s="729"/>
      <c r="AD182" s="729"/>
      <c r="AE182" s="729"/>
      <c r="AF182" s="729"/>
    </row>
    <row r="183" spans="1:32">
      <c r="A183" s="729"/>
      <c r="B183" s="729"/>
      <c r="C183" s="729"/>
      <c r="D183" s="729"/>
      <c r="E183" s="729"/>
      <c r="F183" s="729"/>
      <c r="G183" s="729"/>
      <c r="H183" s="729"/>
      <c r="I183" s="729"/>
      <c r="J183" s="729"/>
      <c r="K183" s="729"/>
      <c r="L183" s="729"/>
      <c r="M183" s="729"/>
      <c r="N183" s="729"/>
      <c r="O183" s="729"/>
      <c r="P183" s="729"/>
      <c r="Q183" s="729"/>
      <c r="R183" s="729"/>
      <c r="S183" s="729"/>
      <c r="T183" s="729"/>
      <c r="U183" s="729"/>
      <c r="V183" s="729"/>
      <c r="W183" s="729"/>
      <c r="X183" s="729"/>
      <c r="Y183" s="729"/>
      <c r="Z183" s="729"/>
      <c r="AA183" s="729"/>
      <c r="AB183" s="729"/>
      <c r="AC183" s="729"/>
      <c r="AD183" s="729"/>
      <c r="AE183" s="729"/>
      <c r="AF183" s="729"/>
    </row>
    <row r="184" spans="1:3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29"/>
      <c r="P184" s="729"/>
      <c r="Q184" s="729"/>
      <c r="R184" s="729"/>
      <c r="S184" s="729"/>
      <c r="T184" s="729"/>
      <c r="U184" s="729"/>
      <c r="V184" s="729"/>
      <c r="W184" s="729"/>
      <c r="X184" s="729"/>
      <c r="Y184" s="729"/>
      <c r="Z184" s="729"/>
      <c r="AA184" s="729"/>
      <c r="AB184" s="729"/>
      <c r="AC184" s="729"/>
      <c r="AD184" s="729"/>
      <c r="AE184" s="729"/>
      <c r="AF184" s="729"/>
    </row>
    <row r="185" spans="1:3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29"/>
      <c r="P185" s="729"/>
      <c r="Q185" s="729"/>
      <c r="R185" s="729"/>
      <c r="S185" s="729"/>
      <c r="T185" s="729"/>
      <c r="U185" s="729"/>
      <c r="V185" s="729"/>
      <c r="W185" s="729"/>
      <c r="X185" s="729"/>
      <c r="Y185" s="729"/>
      <c r="Z185" s="729"/>
      <c r="AA185" s="729"/>
      <c r="AB185" s="729"/>
      <c r="AC185" s="729"/>
      <c r="AD185" s="729"/>
      <c r="AE185" s="729"/>
      <c r="AF185" s="729"/>
    </row>
    <row r="186" spans="1:32">
      <c r="A186" s="729"/>
      <c r="B186" s="729"/>
      <c r="C186" s="729"/>
      <c r="D186" s="729"/>
      <c r="E186" s="729"/>
      <c r="F186" s="729"/>
      <c r="G186" s="729"/>
      <c r="H186" s="729"/>
      <c r="I186" s="729"/>
      <c r="J186" s="729"/>
      <c r="K186" s="729"/>
      <c r="L186" s="729"/>
      <c r="M186" s="729"/>
      <c r="N186" s="729"/>
      <c r="O186" s="729"/>
      <c r="P186" s="729"/>
      <c r="Q186" s="729"/>
      <c r="R186" s="729"/>
      <c r="S186" s="729"/>
      <c r="T186" s="729"/>
      <c r="U186" s="729"/>
      <c r="V186" s="729"/>
      <c r="W186" s="729"/>
      <c r="X186" s="729"/>
      <c r="Y186" s="729"/>
      <c r="Z186" s="729"/>
      <c r="AA186" s="729"/>
      <c r="AB186" s="729"/>
      <c r="AC186" s="729"/>
      <c r="AD186" s="729"/>
      <c r="AE186" s="729"/>
      <c r="AF186" s="729"/>
    </row>
    <row r="187" spans="1:32">
      <c r="A187" s="729"/>
      <c r="B187" s="729"/>
      <c r="C187" s="729"/>
      <c r="D187" s="729"/>
      <c r="E187" s="729"/>
      <c r="F187" s="729"/>
      <c r="G187" s="729"/>
      <c r="H187" s="729"/>
      <c r="I187" s="729"/>
      <c r="J187" s="729"/>
      <c r="K187" s="729"/>
      <c r="L187" s="729"/>
      <c r="M187" s="729"/>
      <c r="N187" s="729"/>
      <c r="O187" s="729"/>
      <c r="P187" s="729"/>
      <c r="Q187" s="729"/>
      <c r="R187" s="729"/>
      <c r="S187" s="729"/>
      <c r="T187" s="729"/>
      <c r="U187" s="729"/>
      <c r="V187" s="729"/>
      <c r="W187" s="729"/>
      <c r="X187" s="729"/>
      <c r="Y187" s="729"/>
      <c r="Z187" s="729"/>
      <c r="AA187" s="729"/>
      <c r="AB187" s="729"/>
      <c r="AC187" s="729"/>
      <c r="AD187" s="729"/>
      <c r="AE187" s="729"/>
      <c r="AF187" s="729"/>
    </row>
    <row r="188" spans="1:32">
      <c r="A188" s="729"/>
      <c r="B188" s="729"/>
      <c r="C188" s="729"/>
      <c r="D188" s="729"/>
      <c r="E188" s="729"/>
      <c r="F188" s="729"/>
      <c r="G188" s="729"/>
      <c r="H188" s="729"/>
      <c r="I188" s="729"/>
      <c r="J188" s="729"/>
      <c r="K188" s="729"/>
      <c r="L188" s="729"/>
      <c r="M188" s="729"/>
      <c r="N188" s="729"/>
      <c r="O188" s="729"/>
      <c r="P188" s="729"/>
      <c r="Q188" s="729"/>
      <c r="R188" s="729"/>
      <c r="S188" s="729"/>
      <c r="T188" s="729"/>
      <c r="U188" s="729"/>
      <c r="V188" s="729"/>
      <c r="W188" s="729"/>
      <c r="X188" s="729"/>
      <c r="Y188" s="729"/>
      <c r="Z188" s="729"/>
      <c r="AA188" s="729"/>
      <c r="AB188" s="729"/>
      <c r="AC188" s="729"/>
      <c r="AD188" s="729"/>
      <c r="AE188" s="729"/>
      <c r="AF188" s="729"/>
    </row>
    <row r="189" spans="1:32">
      <c r="A189" s="729"/>
      <c r="B189" s="729"/>
      <c r="C189" s="729"/>
      <c r="D189" s="729"/>
      <c r="E189" s="729"/>
      <c r="F189" s="729"/>
      <c r="G189" s="729"/>
      <c r="H189" s="729"/>
      <c r="I189" s="729"/>
      <c r="J189" s="729"/>
      <c r="K189" s="729"/>
      <c r="L189" s="729"/>
      <c r="M189" s="729"/>
      <c r="N189" s="729"/>
      <c r="O189" s="729"/>
      <c r="P189" s="729"/>
      <c r="Q189" s="729"/>
      <c r="R189" s="729"/>
      <c r="S189" s="729"/>
      <c r="T189" s="729"/>
      <c r="U189" s="729"/>
      <c r="V189" s="729"/>
      <c r="W189" s="729"/>
      <c r="X189" s="729"/>
      <c r="Y189" s="729"/>
      <c r="Z189" s="729"/>
      <c r="AA189" s="729"/>
      <c r="AB189" s="729"/>
      <c r="AC189" s="729"/>
      <c r="AD189" s="729"/>
      <c r="AE189" s="729"/>
      <c r="AF189" s="729"/>
    </row>
    <row r="190" spans="1:3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29"/>
      <c r="P190" s="729"/>
      <c r="Q190" s="729"/>
      <c r="R190" s="729"/>
      <c r="S190" s="729"/>
      <c r="T190" s="729"/>
      <c r="U190" s="729"/>
      <c r="V190" s="729"/>
      <c r="W190" s="729"/>
      <c r="X190" s="729"/>
      <c r="Y190" s="729"/>
      <c r="Z190" s="729"/>
      <c r="AA190" s="729"/>
      <c r="AB190" s="729"/>
      <c r="AC190" s="729"/>
      <c r="AD190" s="729"/>
      <c r="AE190" s="729"/>
      <c r="AF190" s="729"/>
    </row>
    <row r="191" spans="1:3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29"/>
      <c r="P191" s="729"/>
      <c r="Q191" s="729"/>
      <c r="R191" s="729"/>
      <c r="S191" s="729"/>
      <c r="T191" s="729"/>
      <c r="U191" s="729"/>
      <c r="V191" s="729"/>
      <c r="W191" s="729"/>
      <c r="X191" s="729"/>
      <c r="Y191" s="729"/>
      <c r="Z191" s="729"/>
      <c r="AA191" s="729"/>
      <c r="AB191" s="729"/>
      <c r="AC191" s="729"/>
      <c r="AD191" s="729"/>
      <c r="AE191" s="729"/>
      <c r="AF191" s="729"/>
    </row>
    <row r="192" spans="1:32">
      <c r="A192" s="729"/>
      <c r="B192" s="729"/>
      <c r="C192" s="729"/>
      <c r="D192" s="729"/>
      <c r="E192" s="729"/>
      <c r="F192" s="729"/>
      <c r="G192" s="729"/>
      <c r="H192" s="729"/>
      <c r="I192" s="729"/>
      <c r="J192" s="729"/>
      <c r="K192" s="729"/>
      <c r="L192" s="729"/>
      <c r="M192" s="729"/>
      <c r="N192" s="729"/>
      <c r="O192" s="729"/>
      <c r="P192" s="729"/>
      <c r="Q192" s="729"/>
      <c r="R192" s="729"/>
      <c r="S192" s="729"/>
      <c r="T192" s="729"/>
      <c r="U192" s="729"/>
      <c r="V192" s="729"/>
      <c r="W192" s="729"/>
      <c r="X192" s="729"/>
      <c r="Y192" s="729"/>
      <c r="Z192" s="729"/>
      <c r="AA192" s="729"/>
      <c r="AB192" s="729"/>
      <c r="AC192" s="729"/>
      <c r="AD192" s="729"/>
      <c r="AE192" s="729"/>
      <c r="AF192" s="729"/>
    </row>
    <row r="193" spans="1:32">
      <c r="A193" s="729"/>
      <c r="B193" s="729"/>
      <c r="C193" s="729"/>
      <c r="D193" s="729"/>
      <c r="E193" s="729"/>
      <c r="F193" s="729"/>
      <c r="G193" s="729"/>
      <c r="H193" s="729"/>
      <c r="I193" s="729"/>
      <c r="J193" s="729"/>
      <c r="K193" s="729"/>
      <c r="L193" s="729"/>
      <c r="M193" s="729"/>
      <c r="N193" s="729"/>
      <c r="O193" s="729"/>
      <c r="P193" s="729"/>
      <c r="Q193" s="729"/>
      <c r="R193" s="729"/>
      <c r="S193" s="729"/>
      <c r="T193" s="729"/>
      <c r="U193" s="729"/>
      <c r="V193" s="729"/>
      <c r="W193" s="729"/>
      <c r="X193" s="729"/>
      <c r="Y193" s="729"/>
      <c r="Z193" s="729"/>
      <c r="AA193" s="729"/>
      <c r="AB193" s="729"/>
      <c r="AC193" s="729"/>
      <c r="AD193" s="729"/>
      <c r="AE193" s="729"/>
      <c r="AF193" s="729"/>
    </row>
    <row r="194" spans="1:3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29"/>
      <c r="P194" s="729"/>
      <c r="Q194" s="729"/>
      <c r="R194" s="729"/>
      <c r="S194" s="729"/>
      <c r="T194" s="729"/>
      <c r="U194" s="729"/>
      <c r="V194" s="729"/>
      <c r="W194" s="729"/>
      <c r="X194" s="729"/>
      <c r="Y194" s="729"/>
      <c r="Z194" s="729"/>
      <c r="AA194" s="729"/>
      <c r="AB194" s="729"/>
      <c r="AC194" s="729"/>
      <c r="AD194" s="729"/>
      <c r="AE194" s="729"/>
      <c r="AF194" s="729"/>
    </row>
    <row r="195" spans="1:3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29"/>
      <c r="P195" s="729"/>
      <c r="Q195" s="729"/>
      <c r="R195" s="729"/>
      <c r="S195" s="729"/>
      <c r="T195" s="729"/>
      <c r="U195" s="729"/>
      <c r="V195" s="729"/>
      <c r="W195" s="729"/>
      <c r="X195" s="729"/>
      <c r="Y195" s="729"/>
      <c r="Z195" s="729"/>
      <c r="AA195" s="729"/>
      <c r="AB195" s="729"/>
      <c r="AC195" s="729"/>
      <c r="AD195" s="729"/>
      <c r="AE195" s="729"/>
      <c r="AF195" s="729"/>
    </row>
    <row r="196" spans="1:32">
      <c r="A196" s="729"/>
      <c r="B196" s="729"/>
      <c r="C196" s="729"/>
      <c r="D196" s="729"/>
      <c r="E196" s="729"/>
      <c r="F196" s="729"/>
      <c r="G196" s="729"/>
      <c r="H196" s="729"/>
      <c r="I196" s="729"/>
      <c r="J196" s="729"/>
      <c r="K196" s="729"/>
      <c r="L196" s="729"/>
      <c r="M196" s="729"/>
      <c r="N196" s="729"/>
      <c r="O196" s="729"/>
      <c r="P196" s="729"/>
      <c r="Q196" s="729"/>
      <c r="R196" s="729"/>
      <c r="S196" s="729"/>
      <c r="T196" s="729"/>
      <c r="U196" s="729"/>
      <c r="V196" s="729"/>
      <c r="W196" s="729"/>
      <c r="X196" s="729"/>
      <c r="Y196" s="729"/>
      <c r="Z196" s="729"/>
      <c r="AA196" s="729"/>
      <c r="AB196" s="729"/>
      <c r="AC196" s="729"/>
      <c r="AD196" s="729"/>
      <c r="AE196" s="729"/>
      <c r="AF196" s="729"/>
    </row>
    <row r="197" spans="1:32">
      <c r="A197" s="729"/>
      <c r="B197" s="729"/>
      <c r="C197" s="729"/>
      <c r="D197" s="729"/>
      <c r="E197" s="729"/>
      <c r="F197" s="729"/>
      <c r="G197" s="729"/>
      <c r="H197" s="729"/>
      <c r="I197" s="729"/>
      <c r="J197" s="729"/>
      <c r="K197" s="729"/>
      <c r="L197" s="729"/>
      <c r="M197" s="729"/>
      <c r="N197" s="729"/>
      <c r="O197" s="729"/>
      <c r="P197" s="729"/>
      <c r="Q197" s="729"/>
      <c r="R197" s="729"/>
      <c r="S197" s="729"/>
      <c r="T197" s="729"/>
      <c r="U197" s="729"/>
      <c r="V197" s="729"/>
      <c r="W197" s="729"/>
      <c r="X197" s="729"/>
      <c r="Y197" s="729"/>
      <c r="Z197" s="729"/>
      <c r="AA197" s="729"/>
      <c r="AB197" s="729"/>
      <c r="AC197" s="729"/>
      <c r="AD197" s="729"/>
      <c r="AE197" s="729"/>
      <c r="AF197" s="729"/>
    </row>
    <row r="198" spans="1:3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29"/>
      <c r="P198" s="729"/>
      <c r="Q198" s="729"/>
      <c r="R198" s="729"/>
      <c r="S198" s="729"/>
      <c r="T198" s="729"/>
      <c r="U198" s="729"/>
      <c r="V198" s="729"/>
      <c r="W198" s="729"/>
      <c r="X198" s="729"/>
      <c r="Y198" s="729"/>
      <c r="Z198" s="729"/>
      <c r="AA198" s="729"/>
      <c r="AB198" s="729"/>
      <c r="AC198" s="729"/>
      <c r="AD198" s="729"/>
      <c r="AE198" s="729"/>
      <c r="AF198" s="729"/>
    </row>
    <row r="199" spans="1:3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29"/>
      <c r="P199" s="729"/>
      <c r="Q199" s="729"/>
      <c r="R199" s="729"/>
      <c r="S199" s="729"/>
      <c r="T199" s="729"/>
      <c r="U199" s="729"/>
      <c r="V199" s="729"/>
      <c r="W199" s="729"/>
      <c r="X199" s="729"/>
      <c r="Y199" s="729"/>
      <c r="Z199" s="729"/>
      <c r="AA199" s="729"/>
      <c r="AB199" s="729"/>
      <c r="AC199" s="729"/>
      <c r="AD199" s="729"/>
      <c r="AE199" s="729"/>
      <c r="AF199" s="729"/>
    </row>
    <row r="200" spans="1:32">
      <c r="A200" s="729"/>
      <c r="B200" s="729"/>
      <c r="C200" s="729"/>
      <c r="D200" s="729"/>
      <c r="E200" s="729"/>
      <c r="F200" s="729"/>
      <c r="G200" s="729"/>
      <c r="H200" s="729"/>
      <c r="I200" s="729"/>
      <c r="J200" s="729"/>
      <c r="K200" s="729"/>
      <c r="L200" s="729"/>
      <c r="M200" s="729"/>
      <c r="N200" s="729"/>
      <c r="O200" s="729"/>
      <c r="P200" s="729"/>
      <c r="Q200" s="729"/>
      <c r="R200" s="729"/>
      <c r="S200" s="729"/>
      <c r="T200" s="729"/>
      <c r="U200" s="729"/>
      <c r="V200" s="729"/>
      <c r="W200" s="729"/>
      <c r="X200" s="729"/>
      <c r="Y200" s="729"/>
      <c r="Z200" s="729"/>
      <c r="AA200" s="729"/>
      <c r="AB200" s="729"/>
      <c r="AC200" s="729"/>
      <c r="AD200" s="729"/>
      <c r="AE200" s="729"/>
      <c r="AF200" s="729"/>
    </row>
    <row r="201" spans="1:32">
      <c r="A201" s="729"/>
      <c r="B201" s="729"/>
      <c r="C201" s="729"/>
      <c r="D201" s="729"/>
      <c r="E201" s="729"/>
      <c r="F201" s="729"/>
      <c r="G201" s="729"/>
      <c r="H201" s="729"/>
      <c r="I201" s="729"/>
      <c r="J201" s="729"/>
      <c r="K201" s="729"/>
      <c r="L201" s="729"/>
      <c r="M201" s="729"/>
      <c r="N201" s="729"/>
      <c r="O201" s="729"/>
      <c r="P201" s="729"/>
      <c r="Q201" s="729"/>
      <c r="R201" s="729"/>
      <c r="S201" s="729"/>
      <c r="T201" s="729"/>
      <c r="U201" s="729"/>
      <c r="V201" s="729"/>
      <c r="W201" s="729"/>
      <c r="X201" s="729"/>
      <c r="Y201" s="729"/>
      <c r="Z201" s="729"/>
      <c r="AA201" s="729"/>
      <c r="AB201" s="729"/>
      <c r="AC201" s="729"/>
      <c r="AD201" s="729"/>
      <c r="AE201" s="729"/>
      <c r="AF201" s="729"/>
    </row>
    <row r="202" spans="1:32">
      <c r="A202" s="729"/>
      <c r="B202" s="729"/>
      <c r="C202" s="729"/>
      <c r="D202" s="729"/>
      <c r="E202" s="729"/>
      <c r="F202" s="729"/>
      <c r="G202" s="729"/>
      <c r="H202" s="729"/>
      <c r="I202" s="729"/>
      <c r="J202" s="729"/>
      <c r="K202" s="729"/>
      <c r="L202" s="729"/>
      <c r="M202" s="729"/>
      <c r="N202" s="729"/>
      <c r="O202" s="729"/>
      <c r="P202" s="729"/>
      <c r="Q202" s="729"/>
      <c r="R202" s="729"/>
      <c r="S202" s="729"/>
      <c r="T202" s="729"/>
      <c r="U202" s="729"/>
      <c r="V202" s="729"/>
      <c r="W202" s="729"/>
      <c r="X202" s="729"/>
      <c r="Y202" s="729"/>
      <c r="Z202" s="729"/>
      <c r="AA202" s="729"/>
      <c r="AB202" s="729"/>
      <c r="AC202" s="729"/>
      <c r="AD202" s="729"/>
      <c r="AE202" s="729"/>
      <c r="AF202" s="729"/>
    </row>
    <row r="203" spans="1:32">
      <c r="A203" s="729"/>
      <c r="B203" s="729"/>
      <c r="C203" s="729"/>
      <c r="D203" s="729"/>
      <c r="E203" s="729"/>
      <c r="F203" s="729"/>
      <c r="G203" s="729"/>
      <c r="H203" s="729"/>
      <c r="I203" s="729"/>
      <c r="J203" s="729"/>
      <c r="K203" s="729"/>
      <c r="L203" s="729"/>
      <c r="M203" s="729"/>
      <c r="N203" s="729"/>
      <c r="O203" s="729"/>
      <c r="P203" s="729"/>
      <c r="Q203" s="729"/>
      <c r="R203" s="729"/>
      <c r="S203" s="729"/>
      <c r="T203" s="729"/>
      <c r="U203" s="729"/>
      <c r="V203" s="729"/>
      <c r="W203" s="729"/>
      <c r="X203" s="729"/>
      <c r="Y203" s="729"/>
      <c r="Z203" s="729"/>
      <c r="AA203" s="729"/>
      <c r="AB203" s="729"/>
      <c r="AC203" s="729"/>
      <c r="AD203" s="729"/>
      <c r="AE203" s="729"/>
      <c r="AF203" s="729"/>
    </row>
    <row r="204" spans="1:32">
      <c r="A204" s="729"/>
      <c r="B204" s="729"/>
      <c r="C204" s="729"/>
      <c r="D204" s="729"/>
      <c r="E204" s="729"/>
      <c r="F204" s="729"/>
      <c r="G204" s="729"/>
      <c r="H204" s="729"/>
      <c r="I204" s="729"/>
      <c r="J204" s="729"/>
      <c r="K204" s="729"/>
      <c r="L204" s="729"/>
      <c r="M204" s="729"/>
      <c r="N204" s="729"/>
      <c r="O204" s="729"/>
      <c r="P204" s="729"/>
      <c r="Q204" s="729"/>
      <c r="R204" s="729"/>
      <c r="S204" s="729"/>
      <c r="T204" s="729"/>
      <c r="U204" s="729"/>
      <c r="V204" s="729"/>
      <c r="W204" s="729"/>
      <c r="X204" s="729"/>
      <c r="Y204" s="729"/>
      <c r="Z204" s="729"/>
      <c r="AA204" s="729"/>
      <c r="AB204" s="729"/>
      <c r="AC204" s="729"/>
      <c r="AD204" s="729"/>
      <c r="AE204" s="729"/>
      <c r="AF204" s="729"/>
    </row>
    <row r="205" spans="1:32">
      <c r="A205" s="729"/>
      <c r="B205" s="729"/>
      <c r="C205" s="729"/>
      <c r="D205" s="729"/>
      <c r="E205" s="729"/>
      <c r="F205" s="729"/>
      <c r="G205" s="729"/>
      <c r="H205" s="729"/>
      <c r="I205" s="729"/>
      <c r="J205" s="729"/>
      <c r="K205" s="729"/>
      <c r="L205" s="729"/>
      <c r="M205" s="729"/>
      <c r="N205" s="729"/>
      <c r="O205" s="729"/>
      <c r="P205" s="729"/>
      <c r="Q205" s="729"/>
      <c r="R205" s="729"/>
      <c r="S205" s="729"/>
      <c r="T205" s="729"/>
      <c r="U205" s="729"/>
      <c r="V205" s="729"/>
      <c r="W205" s="729"/>
      <c r="X205" s="729"/>
      <c r="Y205" s="729"/>
      <c r="Z205" s="729"/>
      <c r="AA205" s="729"/>
      <c r="AB205" s="729"/>
      <c r="AC205" s="729"/>
      <c r="AD205" s="729"/>
      <c r="AE205" s="729"/>
      <c r="AF205" s="729"/>
    </row>
    <row r="206" spans="1:32">
      <c r="A206" s="729"/>
      <c r="B206" s="729"/>
      <c r="C206" s="729"/>
      <c r="D206" s="729"/>
      <c r="E206" s="729"/>
      <c r="F206" s="729"/>
      <c r="G206" s="729"/>
      <c r="H206" s="729"/>
      <c r="I206" s="729"/>
      <c r="J206" s="729"/>
      <c r="K206" s="729"/>
      <c r="L206" s="729"/>
      <c r="M206" s="729"/>
      <c r="N206" s="729"/>
      <c r="O206" s="729"/>
      <c r="P206" s="729"/>
      <c r="Q206" s="729"/>
      <c r="R206" s="729"/>
      <c r="S206" s="729"/>
      <c r="T206" s="729"/>
      <c r="U206" s="729"/>
      <c r="V206" s="729"/>
      <c r="W206" s="729"/>
      <c r="X206" s="729"/>
      <c r="Y206" s="729"/>
      <c r="Z206" s="729"/>
      <c r="AA206" s="729"/>
      <c r="AB206" s="729"/>
      <c r="AC206" s="729"/>
      <c r="AD206" s="729"/>
      <c r="AE206" s="729"/>
      <c r="AF206" s="729"/>
    </row>
    <row r="207" spans="1:32">
      <c r="A207" s="729"/>
      <c r="B207" s="729"/>
      <c r="C207" s="729"/>
      <c r="D207" s="729"/>
      <c r="E207" s="729"/>
      <c r="F207" s="729"/>
      <c r="G207" s="729"/>
      <c r="H207" s="729"/>
      <c r="I207" s="729"/>
      <c r="J207" s="729"/>
      <c r="K207" s="729"/>
      <c r="L207" s="729"/>
      <c r="M207" s="729"/>
      <c r="N207" s="729"/>
      <c r="O207" s="729"/>
      <c r="P207" s="729"/>
      <c r="Q207" s="729"/>
      <c r="R207" s="729"/>
      <c r="S207" s="729"/>
      <c r="T207" s="729"/>
      <c r="U207" s="729"/>
      <c r="V207" s="729"/>
      <c r="W207" s="729"/>
      <c r="X207" s="729"/>
      <c r="Y207" s="729"/>
      <c r="Z207" s="729"/>
      <c r="AA207" s="729"/>
      <c r="AB207" s="729"/>
      <c r="AC207" s="729"/>
      <c r="AD207" s="729"/>
      <c r="AE207" s="729"/>
      <c r="AF207" s="729"/>
    </row>
    <row r="208" spans="1:32">
      <c r="A208" s="729"/>
      <c r="B208" s="729"/>
      <c r="C208" s="729"/>
      <c r="D208" s="729"/>
      <c r="E208" s="729"/>
      <c r="F208" s="729"/>
      <c r="G208" s="729"/>
      <c r="H208" s="729"/>
      <c r="I208" s="729"/>
      <c r="J208" s="729"/>
      <c r="K208" s="729"/>
      <c r="L208" s="729"/>
      <c r="M208" s="729"/>
      <c r="N208" s="729"/>
      <c r="O208" s="729"/>
      <c r="P208" s="729"/>
      <c r="Q208" s="729"/>
      <c r="R208" s="729"/>
      <c r="S208" s="729"/>
      <c r="T208" s="729"/>
      <c r="U208" s="729"/>
      <c r="V208" s="729"/>
      <c r="W208" s="729"/>
      <c r="X208" s="729"/>
      <c r="Y208" s="729"/>
      <c r="Z208" s="729"/>
      <c r="AA208" s="729"/>
      <c r="AB208" s="729"/>
      <c r="AC208" s="729"/>
      <c r="AD208" s="729"/>
      <c r="AE208" s="729"/>
      <c r="AF208" s="729"/>
    </row>
    <row r="209" spans="1:32">
      <c r="A209" s="729"/>
      <c r="B209" s="729"/>
      <c r="C209" s="729"/>
      <c r="D209" s="729"/>
      <c r="E209" s="729"/>
      <c r="F209" s="729"/>
      <c r="G209" s="729"/>
      <c r="H209" s="729"/>
      <c r="I209" s="729"/>
      <c r="J209" s="729"/>
      <c r="K209" s="729"/>
      <c r="L209" s="729"/>
      <c r="M209" s="729"/>
      <c r="N209" s="729"/>
      <c r="O209" s="729"/>
      <c r="P209" s="729"/>
      <c r="Q209" s="729"/>
      <c r="R209" s="729"/>
      <c r="S209" s="729"/>
      <c r="T209" s="729"/>
      <c r="U209" s="729"/>
      <c r="V209" s="729"/>
      <c r="W209" s="729"/>
      <c r="X209" s="729"/>
      <c r="Y209" s="729"/>
      <c r="Z209" s="729"/>
      <c r="AA209" s="729"/>
      <c r="AB209" s="729"/>
      <c r="AC209" s="729"/>
      <c r="AD209" s="729"/>
      <c r="AE209" s="729"/>
      <c r="AF209" s="729"/>
    </row>
    <row r="210" spans="1:3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29"/>
      <c r="P210" s="729"/>
      <c r="Q210" s="729"/>
      <c r="R210" s="729"/>
      <c r="S210" s="729"/>
      <c r="T210" s="729"/>
      <c r="U210" s="729"/>
      <c r="V210" s="729"/>
      <c r="W210" s="729"/>
      <c r="X210" s="729"/>
      <c r="Y210" s="729"/>
      <c r="Z210" s="729"/>
      <c r="AA210" s="729"/>
      <c r="AB210" s="729"/>
      <c r="AC210" s="729"/>
      <c r="AD210" s="729"/>
      <c r="AE210" s="729"/>
      <c r="AF210" s="729"/>
    </row>
    <row r="211" spans="1:3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29"/>
      <c r="P211" s="729"/>
      <c r="Q211" s="729"/>
      <c r="R211" s="729"/>
      <c r="S211" s="729"/>
      <c r="T211" s="729"/>
      <c r="U211" s="729"/>
      <c r="V211" s="729"/>
      <c r="W211" s="729"/>
      <c r="X211" s="729"/>
      <c r="Y211" s="729"/>
      <c r="Z211" s="729"/>
      <c r="AA211" s="729"/>
      <c r="AB211" s="729"/>
      <c r="AC211" s="729"/>
      <c r="AD211" s="729"/>
      <c r="AE211" s="729"/>
      <c r="AF211" s="729"/>
    </row>
    <row r="212" spans="1:32">
      <c r="A212" s="729"/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729"/>
      <c r="AB212" s="729"/>
      <c r="AC212" s="729"/>
      <c r="AD212" s="729"/>
      <c r="AE212" s="729"/>
      <c r="AF212" s="729"/>
    </row>
    <row r="213" spans="1:32">
      <c r="A213" s="729"/>
      <c r="B213" s="729"/>
      <c r="C213" s="729"/>
      <c r="D213" s="729"/>
      <c r="E213" s="729"/>
      <c r="F213" s="729"/>
      <c r="G213" s="729"/>
      <c r="H213" s="729"/>
      <c r="I213" s="729"/>
      <c r="J213" s="729"/>
      <c r="K213" s="729"/>
      <c r="L213" s="729"/>
      <c r="M213" s="729"/>
      <c r="N213" s="729"/>
      <c r="O213" s="729"/>
      <c r="P213" s="729"/>
      <c r="Q213" s="729"/>
      <c r="R213" s="729"/>
      <c r="S213" s="729"/>
      <c r="T213" s="729"/>
      <c r="U213" s="729"/>
      <c r="V213" s="729"/>
      <c r="W213" s="729"/>
      <c r="X213" s="729"/>
      <c r="Y213" s="729"/>
      <c r="Z213" s="729"/>
      <c r="AA213" s="729"/>
      <c r="AB213" s="729"/>
      <c r="AC213" s="729"/>
      <c r="AD213" s="729"/>
      <c r="AE213" s="729"/>
      <c r="AF213" s="729"/>
    </row>
    <row r="214" spans="1:32">
      <c r="A214" s="729"/>
      <c r="B214" s="729"/>
      <c r="C214" s="729"/>
      <c r="D214" s="729"/>
      <c r="E214" s="729"/>
      <c r="F214" s="729"/>
      <c r="G214" s="729"/>
      <c r="H214" s="729"/>
      <c r="I214" s="729"/>
      <c r="J214" s="729"/>
      <c r="K214" s="729"/>
      <c r="L214" s="729"/>
      <c r="M214" s="729"/>
      <c r="N214" s="729"/>
      <c r="O214" s="729"/>
      <c r="P214" s="729"/>
      <c r="Q214" s="729"/>
      <c r="R214" s="729"/>
      <c r="S214" s="729"/>
      <c r="T214" s="729"/>
      <c r="U214" s="729"/>
      <c r="V214" s="729"/>
      <c r="W214" s="729"/>
      <c r="X214" s="729"/>
      <c r="Y214" s="729"/>
      <c r="Z214" s="729"/>
      <c r="AA214" s="729"/>
      <c r="AB214" s="729"/>
      <c r="AC214" s="729"/>
      <c r="AD214" s="729"/>
      <c r="AE214" s="729"/>
      <c r="AF214" s="729"/>
    </row>
    <row r="215" spans="1:3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29"/>
      <c r="P215" s="729"/>
      <c r="Q215" s="729"/>
      <c r="R215" s="729"/>
      <c r="S215" s="729"/>
      <c r="T215" s="729"/>
      <c r="U215" s="729"/>
      <c r="V215" s="729"/>
      <c r="W215" s="729"/>
      <c r="X215" s="729"/>
      <c r="Y215" s="729"/>
      <c r="Z215" s="729"/>
      <c r="AA215" s="729"/>
      <c r="AB215" s="729"/>
      <c r="AC215" s="729"/>
      <c r="AD215" s="729"/>
      <c r="AE215" s="729"/>
      <c r="AF215" s="729"/>
    </row>
    <row r="216" spans="1:3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29"/>
      <c r="P216" s="729"/>
      <c r="Q216" s="729"/>
      <c r="R216" s="729"/>
      <c r="S216" s="729"/>
      <c r="T216" s="729"/>
      <c r="U216" s="729"/>
      <c r="V216" s="729"/>
      <c r="W216" s="729"/>
      <c r="X216" s="729"/>
      <c r="Y216" s="729"/>
      <c r="Z216" s="729"/>
      <c r="AA216" s="729"/>
      <c r="AB216" s="729"/>
      <c r="AC216" s="729"/>
      <c r="AD216" s="729"/>
      <c r="AE216" s="729"/>
      <c r="AF216" s="729"/>
    </row>
    <row r="217" spans="1:32">
      <c r="A217" s="729"/>
      <c r="B217" s="729"/>
      <c r="C217" s="729"/>
      <c r="D217" s="729"/>
      <c r="E217" s="729"/>
      <c r="F217" s="729"/>
      <c r="G217" s="729"/>
      <c r="H217" s="729"/>
      <c r="I217" s="729"/>
      <c r="J217" s="729"/>
      <c r="K217" s="729"/>
      <c r="L217" s="729"/>
      <c r="M217" s="729"/>
      <c r="N217" s="729"/>
      <c r="O217" s="729"/>
      <c r="P217" s="729"/>
      <c r="Q217" s="729"/>
      <c r="R217" s="729"/>
      <c r="S217" s="729"/>
      <c r="T217" s="729"/>
      <c r="U217" s="729"/>
      <c r="V217" s="729"/>
      <c r="W217" s="729"/>
      <c r="X217" s="729"/>
      <c r="Y217" s="729"/>
      <c r="Z217" s="729"/>
      <c r="AA217" s="729"/>
      <c r="AB217" s="729"/>
      <c r="AC217" s="729"/>
      <c r="AD217" s="729"/>
      <c r="AE217" s="729"/>
      <c r="AF217" s="729"/>
    </row>
    <row r="218" spans="1:32">
      <c r="A218" s="729"/>
      <c r="B218" s="729"/>
      <c r="C218" s="729"/>
      <c r="D218" s="729"/>
      <c r="E218" s="729"/>
      <c r="F218" s="729"/>
      <c r="G218" s="729"/>
      <c r="H218" s="729"/>
      <c r="I218" s="729"/>
      <c r="J218" s="729"/>
      <c r="K218" s="729"/>
      <c r="L218" s="729"/>
      <c r="M218" s="729"/>
      <c r="N218" s="729"/>
      <c r="O218" s="729"/>
      <c r="P218" s="729"/>
      <c r="Q218" s="729"/>
      <c r="R218" s="729"/>
      <c r="S218" s="729"/>
      <c r="T218" s="729"/>
      <c r="U218" s="729"/>
      <c r="V218" s="729"/>
      <c r="W218" s="729"/>
      <c r="X218" s="729"/>
      <c r="Y218" s="729"/>
      <c r="Z218" s="729"/>
      <c r="AA218" s="729"/>
      <c r="AB218" s="729"/>
      <c r="AC218" s="729"/>
      <c r="AD218" s="729"/>
      <c r="AE218" s="729"/>
      <c r="AF218" s="729"/>
    </row>
    <row r="219" spans="1:32">
      <c r="A219" s="729"/>
      <c r="B219" s="729"/>
      <c r="C219" s="729"/>
      <c r="D219" s="729"/>
      <c r="E219" s="729"/>
      <c r="F219" s="729"/>
      <c r="G219" s="729"/>
      <c r="H219" s="729"/>
      <c r="I219" s="729"/>
      <c r="J219" s="729"/>
      <c r="K219" s="729"/>
      <c r="L219" s="729"/>
      <c r="M219" s="729"/>
      <c r="N219" s="729"/>
      <c r="O219" s="729"/>
      <c r="P219" s="729"/>
      <c r="Q219" s="729"/>
      <c r="R219" s="729"/>
      <c r="S219" s="729"/>
      <c r="T219" s="729"/>
      <c r="U219" s="729"/>
      <c r="V219" s="729"/>
      <c r="W219" s="729"/>
      <c r="X219" s="729"/>
      <c r="Y219" s="729"/>
      <c r="Z219" s="729"/>
      <c r="AA219" s="729"/>
      <c r="AB219" s="729"/>
      <c r="AC219" s="729"/>
      <c r="AD219" s="729"/>
      <c r="AE219" s="729"/>
      <c r="AF219" s="729"/>
    </row>
    <row r="220" spans="1:32">
      <c r="A220" s="729"/>
      <c r="B220" s="729"/>
      <c r="C220" s="729"/>
      <c r="D220" s="729"/>
      <c r="E220" s="729"/>
      <c r="F220" s="729"/>
      <c r="G220" s="729"/>
      <c r="H220" s="729"/>
      <c r="I220" s="729"/>
      <c r="J220" s="729"/>
      <c r="K220" s="729"/>
      <c r="L220" s="729"/>
      <c r="M220" s="729"/>
      <c r="N220" s="729"/>
      <c r="O220" s="729"/>
      <c r="P220" s="729"/>
      <c r="Q220" s="729"/>
      <c r="R220" s="729"/>
      <c r="S220" s="729"/>
      <c r="T220" s="729"/>
      <c r="U220" s="729"/>
      <c r="V220" s="729"/>
      <c r="W220" s="729"/>
      <c r="X220" s="729"/>
      <c r="Y220" s="729"/>
      <c r="Z220" s="729"/>
      <c r="AA220" s="729"/>
      <c r="AB220" s="729"/>
      <c r="AC220" s="729"/>
      <c r="AD220" s="729"/>
      <c r="AE220" s="729"/>
      <c r="AF220" s="729"/>
    </row>
    <row r="221" spans="1:32">
      <c r="A221" s="729"/>
      <c r="B221" s="729"/>
      <c r="C221" s="729"/>
      <c r="D221" s="729"/>
      <c r="E221" s="729"/>
      <c r="F221" s="729"/>
      <c r="G221" s="729"/>
      <c r="H221" s="729"/>
      <c r="I221" s="729"/>
      <c r="J221" s="729"/>
      <c r="K221" s="729"/>
      <c r="L221" s="729"/>
      <c r="M221" s="729"/>
      <c r="N221" s="729"/>
      <c r="O221" s="729"/>
      <c r="P221" s="729"/>
      <c r="Q221" s="729"/>
      <c r="R221" s="729"/>
      <c r="S221" s="729"/>
      <c r="T221" s="729"/>
      <c r="U221" s="729"/>
      <c r="V221" s="729"/>
      <c r="W221" s="729"/>
      <c r="X221" s="729"/>
      <c r="Y221" s="729"/>
      <c r="Z221" s="729"/>
      <c r="AA221" s="729"/>
      <c r="AB221" s="729"/>
      <c r="AC221" s="729"/>
      <c r="AD221" s="729"/>
      <c r="AE221" s="729"/>
      <c r="AF221" s="729"/>
    </row>
    <row r="222" spans="1:32">
      <c r="A222" s="729"/>
      <c r="B222" s="729"/>
      <c r="C222" s="729"/>
      <c r="D222" s="729"/>
      <c r="E222" s="729"/>
      <c r="F222" s="729"/>
      <c r="G222" s="729"/>
      <c r="H222" s="729"/>
      <c r="I222" s="729"/>
      <c r="J222" s="729"/>
      <c r="K222" s="729"/>
      <c r="L222" s="729"/>
      <c r="M222" s="729"/>
      <c r="N222" s="729"/>
      <c r="O222" s="729"/>
      <c r="P222" s="729"/>
      <c r="Q222" s="729"/>
      <c r="R222" s="729"/>
      <c r="S222" s="729"/>
      <c r="T222" s="729"/>
      <c r="U222" s="729"/>
      <c r="V222" s="729"/>
      <c r="W222" s="729"/>
      <c r="X222" s="729"/>
      <c r="Y222" s="729"/>
      <c r="Z222" s="729"/>
      <c r="AA222" s="729"/>
      <c r="AB222" s="729"/>
      <c r="AC222" s="729"/>
      <c r="AD222" s="729"/>
      <c r="AE222" s="729"/>
      <c r="AF222" s="729"/>
    </row>
    <row r="223" spans="1:32">
      <c r="A223" s="729"/>
      <c r="B223" s="729"/>
      <c r="C223" s="729"/>
      <c r="D223" s="729"/>
      <c r="E223" s="729"/>
      <c r="F223" s="729"/>
      <c r="G223" s="729"/>
      <c r="H223" s="729"/>
      <c r="I223" s="729"/>
      <c r="J223" s="729"/>
      <c r="K223" s="729"/>
      <c r="L223" s="729"/>
      <c r="M223" s="729"/>
      <c r="N223" s="729"/>
      <c r="O223" s="729"/>
      <c r="P223" s="729"/>
      <c r="Q223" s="729"/>
      <c r="R223" s="729"/>
      <c r="S223" s="729"/>
      <c r="T223" s="729"/>
      <c r="U223" s="729"/>
      <c r="V223" s="729"/>
      <c r="W223" s="729"/>
      <c r="X223" s="729"/>
      <c r="Y223" s="729"/>
      <c r="Z223" s="729"/>
      <c r="AA223" s="729"/>
      <c r="AB223" s="729"/>
      <c r="AC223" s="729"/>
      <c r="AD223" s="729"/>
      <c r="AE223" s="729"/>
      <c r="AF223" s="729"/>
    </row>
    <row r="224" spans="1:32">
      <c r="A224" s="729"/>
      <c r="B224" s="729"/>
      <c r="C224" s="729"/>
      <c r="D224" s="729"/>
      <c r="E224" s="729"/>
      <c r="F224" s="729"/>
      <c r="G224" s="729"/>
      <c r="H224" s="729"/>
      <c r="I224" s="729"/>
      <c r="J224" s="729"/>
      <c r="K224" s="729"/>
      <c r="L224" s="729"/>
      <c r="M224" s="729"/>
      <c r="N224" s="729"/>
      <c r="O224" s="729"/>
      <c r="P224" s="729"/>
      <c r="Q224" s="729"/>
      <c r="R224" s="729"/>
      <c r="S224" s="729"/>
      <c r="T224" s="729"/>
      <c r="U224" s="729"/>
      <c r="V224" s="729"/>
      <c r="W224" s="729"/>
      <c r="X224" s="729"/>
      <c r="Y224" s="729"/>
      <c r="Z224" s="729"/>
      <c r="AA224" s="729"/>
      <c r="AB224" s="729"/>
      <c r="AC224" s="729"/>
      <c r="AD224" s="729"/>
      <c r="AE224" s="729"/>
      <c r="AF224" s="729"/>
    </row>
    <row r="225" spans="1:32">
      <c r="A225" s="729"/>
      <c r="B225" s="729"/>
      <c r="C225" s="729"/>
      <c r="D225" s="729"/>
      <c r="E225" s="729"/>
      <c r="F225" s="729"/>
      <c r="G225" s="729"/>
      <c r="H225" s="729"/>
      <c r="I225" s="729"/>
      <c r="J225" s="729"/>
      <c r="K225" s="729"/>
      <c r="L225" s="729"/>
      <c r="M225" s="729"/>
      <c r="N225" s="729"/>
      <c r="O225" s="729"/>
      <c r="P225" s="729"/>
      <c r="Q225" s="729"/>
      <c r="R225" s="729"/>
      <c r="S225" s="729"/>
      <c r="T225" s="729"/>
      <c r="U225" s="729"/>
      <c r="V225" s="729"/>
      <c r="W225" s="729"/>
      <c r="X225" s="729"/>
      <c r="Y225" s="729"/>
      <c r="Z225" s="729"/>
      <c r="AA225" s="729"/>
      <c r="AB225" s="729"/>
      <c r="AC225" s="729"/>
      <c r="AD225" s="729"/>
      <c r="AE225" s="729"/>
      <c r="AF225" s="729"/>
    </row>
    <row r="226" spans="1:32">
      <c r="A226" s="729"/>
      <c r="B226" s="729"/>
      <c r="C226" s="729"/>
      <c r="D226" s="729"/>
      <c r="E226" s="729"/>
      <c r="F226" s="729"/>
      <c r="G226" s="729"/>
      <c r="H226" s="729"/>
      <c r="I226" s="729"/>
      <c r="J226" s="729"/>
      <c r="K226" s="729"/>
      <c r="L226" s="729"/>
      <c r="M226" s="729"/>
      <c r="N226" s="729"/>
      <c r="O226" s="729"/>
      <c r="P226" s="729"/>
      <c r="Q226" s="729"/>
      <c r="R226" s="729"/>
      <c r="S226" s="729"/>
      <c r="T226" s="729"/>
      <c r="U226" s="729"/>
      <c r="V226" s="729"/>
      <c r="W226" s="729"/>
      <c r="X226" s="729"/>
      <c r="Y226" s="729"/>
      <c r="Z226" s="729"/>
      <c r="AA226" s="729"/>
      <c r="AB226" s="729"/>
      <c r="AC226" s="729"/>
      <c r="AD226" s="729"/>
      <c r="AE226" s="729"/>
      <c r="AF226" s="729"/>
    </row>
    <row r="227" spans="1:32">
      <c r="A227" s="729"/>
      <c r="B227" s="729"/>
      <c r="C227" s="729"/>
      <c r="D227" s="729"/>
      <c r="E227" s="729"/>
      <c r="F227" s="729"/>
      <c r="G227" s="729"/>
      <c r="H227" s="729"/>
      <c r="I227" s="729"/>
      <c r="J227" s="729"/>
      <c r="K227" s="729"/>
      <c r="L227" s="729"/>
      <c r="M227" s="729"/>
      <c r="N227" s="729"/>
      <c r="O227" s="729"/>
      <c r="P227" s="729"/>
      <c r="Q227" s="729"/>
      <c r="R227" s="729"/>
      <c r="S227" s="729"/>
      <c r="T227" s="729"/>
      <c r="U227" s="729"/>
      <c r="V227" s="729"/>
      <c r="W227" s="729"/>
      <c r="X227" s="729"/>
      <c r="Y227" s="729"/>
      <c r="Z227" s="729"/>
      <c r="AA227" s="729"/>
      <c r="AB227" s="729"/>
      <c r="AC227" s="729"/>
      <c r="AD227" s="729"/>
      <c r="AE227" s="729"/>
      <c r="AF227" s="729"/>
    </row>
    <row r="228" spans="1:32">
      <c r="A228" s="729"/>
      <c r="B228" s="729"/>
      <c r="C228" s="729"/>
      <c r="D228" s="729"/>
      <c r="E228" s="729"/>
      <c r="F228" s="729"/>
      <c r="G228" s="729"/>
      <c r="H228" s="729"/>
      <c r="I228" s="729"/>
      <c r="J228" s="729"/>
      <c r="K228" s="729"/>
      <c r="L228" s="729"/>
      <c r="M228" s="729"/>
      <c r="N228" s="729"/>
      <c r="O228" s="729"/>
      <c r="P228" s="729"/>
      <c r="Q228" s="729"/>
      <c r="R228" s="729"/>
      <c r="S228" s="729"/>
      <c r="T228" s="729"/>
      <c r="U228" s="729"/>
      <c r="V228" s="729"/>
      <c r="W228" s="729"/>
      <c r="X228" s="729"/>
      <c r="Y228" s="729"/>
      <c r="Z228" s="729"/>
      <c r="AA228" s="729"/>
      <c r="AB228" s="729"/>
      <c r="AC228" s="729"/>
      <c r="AD228" s="729"/>
      <c r="AE228" s="729"/>
      <c r="AF228" s="729"/>
    </row>
    <row r="229" spans="1:32">
      <c r="A229" s="729"/>
      <c r="B229" s="729"/>
      <c r="C229" s="729"/>
      <c r="D229" s="729"/>
      <c r="E229" s="729"/>
      <c r="F229" s="729"/>
      <c r="G229" s="729"/>
      <c r="H229" s="729"/>
      <c r="I229" s="729"/>
      <c r="J229" s="729"/>
      <c r="K229" s="729"/>
      <c r="L229" s="729"/>
      <c r="M229" s="729"/>
      <c r="N229" s="729"/>
      <c r="O229" s="729"/>
      <c r="P229" s="729"/>
      <c r="Q229" s="729"/>
      <c r="R229" s="729"/>
      <c r="S229" s="729"/>
      <c r="T229" s="729"/>
      <c r="U229" s="729"/>
      <c r="V229" s="729"/>
      <c r="W229" s="729"/>
      <c r="X229" s="729"/>
      <c r="Y229" s="729"/>
      <c r="Z229" s="729"/>
      <c r="AA229" s="729"/>
      <c r="AB229" s="729"/>
      <c r="AC229" s="729"/>
      <c r="AD229" s="729"/>
      <c r="AE229" s="729"/>
      <c r="AF229" s="729"/>
    </row>
    <row r="230" spans="1:32">
      <c r="A230" s="729"/>
      <c r="B230" s="729"/>
      <c r="C230" s="729"/>
      <c r="D230" s="729"/>
      <c r="E230" s="729"/>
      <c r="F230" s="729"/>
      <c r="G230" s="729"/>
      <c r="H230" s="729"/>
      <c r="I230" s="729"/>
      <c r="J230" s="729"/>
      <c r="K230" s="729"/>
      <c r="L230" s="729"/>
      <c r="M230" s="729"/>
      <c r="N230" s="729"/>
      <c r="O230" s="729"/>
      <c r="P230" s="729"/>
      <c r="Q230" s="729"/>
      <c r="R230" s="729"/>
      <c r="S230" s="729"/>
      <c r="T230" s="729"/>
      <c r="U230" s="729"/>
      <c r="V230" s="729"/>
      <c r="W230" s="729"/>
      <c r="X230" s="729"/>
      <c r="Y230" s="729"/>
      <c r="Z230" s="729"/>
      <c r="AA230" s="729"/>
      <c r="AB230" s="729"/>
      <c r="AC230" s="729"/>
      <c r="AD230" s="729"/>
      <c r="AE230" s="729"/>
      <c r="AF230" s="729"/>
    </row>
    <row r="231" spans="1:32">
      <c r="A231" s="729"/>
      <c r="B231" s="729"/>
      <c r="C231" s="729"/>
      <c r="D231" s="729"/>
      <c r="E231" s="729"/>
      <c r="F231" s="729"/>
      <c r="G231" s="729"/>
      <c r="H231" s="729"/>
      <c r="I231" s="729"/>
      <c r="J231" s="729"/>
      <c r="K231" s="729"/>
      <c r="L231" s="729"/>
      <c r="M231" s="729"/>
      <c r="N231" s="729"/>
      <c r="O231" s="729"/>
      <c r="P231" s="729"/>
      <c r="Q231" s="729"/>
      <c r="R231" s="729"/>
      <c r="S231" s="729"/>
      <c r="T231" s="729"/>
      <c r="U231" s="729"/>
      <c r="V231" s="729"/>
      <c r="W231" s="729"/>
      <c r="X231" s="729"/>
      <c r="Y231" s="729"/>
      <c r="Z231" s="729"/>
      <c r="AA231" s="729"/>
      <c r="AB231" s="729"/>
      <c r="AC231" s="729"/>
      <c r="AD231" s="729"/>
      <c r="AE231" s="729"/>
      <c r="AF231" s="729"/>
    </row>
  </sheetData>
  <mergeCells count="9">
    <mergeCell ref="B2:O2"/>
    <mergeCell ref="B3:O3"/>
    <mergeCell ref="B22:P22"/>
    <mergeCell ref="C106:D106"/>
    <mergeCell ref="E106:F106"/>
    <mergeCell ref="G106:H106"/>
    <mergeCell ref="I106:J106"/>
    <mergeCell ref="K106:L106"/>
    <mergeCell ref="M106:N10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17</vt:i4>
      </vt:variant>
    </vt:vector>
  </HeadingPairs>
  <TitlesOfParts>
    <vt:vector size="27" baseType="lpstr">
      <vt:lpstr>Burn &amp; RunW</vt:lpstr>
      <vt:lpstr>Ppto Ene. 2026</vt:lpstr>
      <vt:lpstr>Revenue</vt:lpstr>
      <vt:lpstr>Inputs</vt:lpstr>
      <vt:lpstr>Modelo Base</vt:lpstr>
      <vt:lpstr>Consol. Pptos</vt:lpstr>
      <vt:lpstr>Informe Accionista</vt:lpstr>
      <vt:lpstr>Consolidado </vt:lpstr>
      <vt:lpstr>Dashboard Gráficos</vt:lpstr>
      <vt:lpstr>Ppto Combinado 2026</vt:lpstr>
      <vt:lpstr>CostoVentasBase</vt:lpstr>
      <vt:lpstr>DeltaModQ2</vt:lpstr>
      <vt:lpstr>DeltaModQ3</vt:lpstr>
      <vt:lpstr>DeltaModQ4</vt:lpstr>
      <vt:lpstr>DeltaVtasQ2</vt:lpstr>
      <vt:lpstr>DeltaVtasQ3</vt:lpstr>
      <vt:lpstr>DeltaVtasQ4</vt:lpstr>
      <vt:lpstr>GtosAdminBase</vt:lpstr>
      <vt:lpstr>GtosNoOpBase</vt:lpstr>
      <vt:lpstr>GtosOpInflado</vt:lpstr>
      <vt:lpstr>GtosVentasBase</vt:lpstr>
      <vt:lpstr>InflacionAnual</vt:lpstr>
      <vt:lpstr>IngNoOpBase</vt:lpstr>
      <vt:lpstr>Revenue!Print_Area</vt:lpstr>
      <vt:lpstr>TasaDeudaLp</vt:lpstr>
      <vt:lpstr>TasaImpuesto</vt:lpstr>
      <vt:lpstr>TrmLargoPlazo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2026-04-28T13:58:13Z</dcterms:created>
  <dcterms:modified xsi:type="dcterms:W3CDTF">2026-08-13T17:15:55Z</dcterms:modified>
  <cp:category/>
  <cp:contentStatus/>
</cp:coreProperties>
</file>